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Sys.dir.co.jp\document\部室別エリア\B50_金融フロントシステム部\PUBLIC\パートナー\DAT\SS_ALL\09 Weekly Report\(WB4)週次報告_20260219~0225\"/>
    </mc:Choice>
  </mc:AlternateContent>
  <xr:revisionPtr revIDLastSave="0" documentId="13_ncr:1_{8E2CB427-FBE7-4921-A45A-051D3FF7ED1D}" xr6:coauthVersionLast="47" xr6:coauthVersionMax="47" xr10:uidLastSave="{00000000-0000-0000-0000-000000000000}"/>
  <bookViews>
    <workbookView xWindow="-120" yWindow="-120" windowWidth="29040" windowHeight="15720" tabRatio="825" activeTab="3" xr2:uid="{00000000-000D-0000-FFFF-FFFF00000000}"/>
  </bookViews>
  <sheets>
    <sheet name="説明" sheetId="11" r:id="rId1"/>
    <sheet name="案件．要員情報まとめ" sheetId="10" r:id="rId2"/>
    <sheet name="案件．要員情報" sheetId="1" r:id="rId3"/>
    <sheet name="週次報告" sheetId="6" r:id="rId4"/>
    <sheet name="休暇" sheetId="8" r:id="rId5"/>
    <sheet name="祝日" sheetId="7" r:id="rId6"/>
    <sheet name="DIRタスク対応の人月まとめ" sheetId="12" r:id="rId7"/>
    <sheet name="Not Available" sheetId="4" r:id="rId8"/>
  </sheets>
  <externalReferences>
    <externalReference r:id="rId9"/>
  </externalReferences>
  <definedNames>
    <definedName name="_xlnm._FilterDatabase" localSheetId="1" hidden="1">'案件．要員情報まとめ'!$A$5:$AO$167</definedName>
    <definedName name="Division" localSheetId="6">'[1]Not Available'!$B$2:$B$7</definedName>
    <definedName name="Division">'Not Available'!$B$2:$B$7</definedName>
    <definedName name="_xlnm.Print_Area" localSheetId="6">DIRタスク対応の人月まとめ!$A$1:$Q$17</definedName>
    <definedName name="_xlnm.Print_Area" localSheetId="5">祝日!$A$1:$J$70</definedName>
    <definedName name="Status" localSheetId="6">'[1]Not Available'!$B$10:$B$13</definedName>
    <definedName name="Status" localSheetId="1">'Not Available'!$B$10:$B$13</definedName>
    <definedName name="Status">'Not Available'!$B$10:$B$13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E183" i="1" l="1"/>
  <c r="DK201" i="1"/>
  <c r="DJ201" i="1"/>
  <c r="DI201" i="1"/>
  <c r="DH201" i="1"/>
  <c r="DE201" i="1"/>
  <c r="DJ199" i="1"/>
  <c r="DE199" i="1"/>
  <c r="DG177" i="1"/>
  <c r="DE177" i="1"/>
  <c r="DK179" i="1"/>
  <c r="DJ179" i="1"/>
  <c r="DI179" i="1"/>
  <c r="DH179" i="1"/>
  <c r="DG179" i="1"/>
  <c r="DF179" i="1"/>
  <c r="DE179" i="1"/>
  <c r="DK175" i="1"/>
  <c r="DJ175" i="1"/>
  <c r="DI175" i="1"/>
  <c r="DH175" i="1"/>
  <c r="DG175" i="1"/>
  <c r="DF175" i="1"/>
  <c r="DE175" i="1"/>
  <c r="DK108" i="1"/>
  <c r="DG108" i="1"/>
  <c r="DE108" i="1"/>
  <c r="DH106" i="1"/>
  <c r="DF106" i="1"/>
  <c r="DE106" i="1"/>
  <c r="DJ114" i="1"/>
  <c r="DH114" i="1"/>
  <c r="DF114" i="1"/>
  <c r="DE114" i="1"/>
  <c r="DI118" i="1"/>
  <c r="DG118" i="1"/>
  <c r="DE118" i="1"/>
  <c r="DE117" i="1"/>
  <c r="DK118" i="1"/>
  <c r="DJ118" i="1"/>
  <c r="DH118" i="1"/>
  <c r="DF118" i="1"/>
  <c r="DK117" i="1"/>
  <c r="DJ117" i="1"/>
  <c r="DI117" i="1"/>
  <c r="DH117" i="1"/>
  <c r="DG117" i="1"/>
  <c r="DF117" i="1"/>
  <c r="DJ102" i="1"/>
  <c r="DI102" i="1"/>
  <c r="DF102" i="1"/>
  <c r="DI116" i="1"/>
  <c r="DG116" i="1"/>
  <c r="DE116" i="1"/>
  <c r="DK112" i="1"/>
  <c r="DE112" i="1"/>
  <c r="DI110" i="1"/>
  <c r="DE110" i="1"/>
  <c r="DG8" i="1"/>
  <c r="DF8" i="1"/>
  <c r="AI199" i="8" l="1"/>
  <c r="AH199" i="8"/>
  <c r="AI198" i="8"/>
  <c r="AH198" i="8"/>
  <c r="AI197" i="8"/>
  <c r="AH197" i="8"/>
  <c r="AI196" i="8"/>
  <c r="AH196" i="8"/>
  <c r="AI195" i="8"/>
  <c r="AH195" i="8"/>
  <c r="AI194" i="8"/>
  <c r="AH194" i="8"/>
  <c r="AI193" i="8"/>
  <c r="AH193" i="8"/>
  <c r="AI189" i="8"/>
  <c r="AH189" i="8"/>
  <c r="AI188" i="8"/>
  <c r="AH188" i="8"/>
  <c r="AI187" i="8"/>
  <c r="AH187" i="8"/>
  <c r="AI186" i="8"/>
  <c r="AH186" i="8"/>
  <c r="AI185" i="8"/>
  <c r="AH185" i="8"/>
  <c r="AI184" i="8"/>
  <c r="AH184" i="8"/>
  <c r="AI183" i="8"/>
  <c r="AH183" i="8"/>
  <c r="AI179" i="8"/>
  <c r="AH179" i="8"/>
  <c r="AI178" i="8"/>
  <c r="AH178" i="8"/>
  <c r="AI177" i="8"/>
  <c r="AH177" i="8"/>
  <c r="AI176" i="8"/>
  <c r="AH176" i="8"/>
  <c r="AI175" i="8"/>
  <c r="AH175" i="8"/>
  <c r="AI174" i="8"/>
  <c r="AH174" i="8"/>
  <c r="AI173" i="8"/>
  <c r="AH173" i="8"/>
  <c r="AI169" i="8"/>
  <c r="AH169" i="8"/>
  <c r="AI168" i="8"/>
  <c r="AH168" i="8"/>
  <c r="AI167" i="8"/>
  <c r="AH167" i="8"/>
  <c r="AI166" i="8"/>
  <c r="AH166" i="8"/>
  <c r="AI165" i="8"/>
  <c r="AH165" i="8"/>
  <c r="AI164" i="8"/>
  <c r="AH164" i="8"/>
  <c r="AI163" i="8"/>
  <c r="AH163" i="8"/>
  <c r="I117" i="1" l="1"/>
  <c r="H117" i="1"/>
  <c r="DI106" i="1"/>
  <c r="DG104" i="1"/>
  <c r="DE104" i="1"/>
  <c r="DH110" i="1"/>
  <c r="DE102" i="1"/>
  <c r="DK116" i="1"/>
  <c r="DK8" i="1"/>
  <c r="DK200" i="1"/>
  <c r="DJ200" i="1"/>
  <c r="DI200" i="1"/>
  <c r="DH200" i="1"/>
  <c r="DG200" i="1"/>
  <c r="DF200" i="1"/>
  <c r="DE200" i="1"/>
  <c r="DG201" i="1"/>
  <c r="DK177" i="1"/>
  <c r="DJ177" i="1"/>
  <c r="DI177" i="1"/>
  <c r="DH177" i="1"/>
  <c r="DF177" i="1"/>
  <c r="DH109" i="1"/>
  <c r="DI109" i="1"/>
  <c r="DG109" i="1"/>
  <c r="DK103" i="1"/>
  <c r="DG103" i="1"/>
  <c r="DF113" i="1"/>
  <c r="DJ113" i="1"/>
  <c r="DJ111" i="1"/>
  <c r="DF109" i="1"/>
  <c r="DI115" i="1"/>
  <c r="DG115" i="1"/>
  <c r="DE115" i="1"/>
  <c r="DJ116" i="1"/>
  <c r="DH116" i="1"/>
  <c r="DF116" i="1"/>
  <c r="I115" i="1" s="1"/>
  <c r="DK115" i="1"/>
  <c r="DJ115" i="1"/>
  <c r="DH115" i="1"/>
  <c r="DF115" i="1"/>
  <c r="H115" i="1" s="1"/>
  <c r="DJ112" i="1"/>
  <c r="DF112" i="1"/>
  <c r="DG110" i="1"/>
  <c r="DF110" i="1"/>
  <c r="DK111" i="1"/>
  <c r="DF111" i="1"/>
  <c r="DK107" i="1"/>
  <c r="DG107" i="1"/>
  <c r="DJ105" i="1"/>
  <c r="DI105" i="1"/>
  <c r="DH105" i="1"/>
  <c r="DJ106" i="1"/>
  <c r="DK104" i="1"/>
  <c r="DE113" i="1"/>
  <c r="DE109" i="1"/>
  <c r="DE111" i="1"/>
  <c r="DE107" i="1"/>
  <c r="DE103" i="1"/>
  <c r="DE101" i="1"/>
  <c r="DF101" i="1"/>
  <c r="DF49" i="1"/>
  <c r="DE49" i="1"/>
  <c r="DK7" i="1"/>
  <c r="DJ7" i="1"/>
  <c r="DI7" i="1"/>
  <c r="DH7" i="1"/>
  <c r="DG7" i="1"/>
  <c r="DF7" i="1"/>
  <c r="DI8" i="1"/>
  <c r="H200" i="1" l="1"/>
  <c r="I178" i="1"/>
  <c r="I176" i="1"/>
  <c r="I174" i="1"/>
  <c r="DE182" i="1" l="1"/>
  <c r="DK176" i="1"/>
  <c r="DJ176" i="1"/>
  <c r="DI176" i="1"/>
  <c r="DH176" i="1"/>
  <c r="DG176" i="1"/>
  <c r="DF176" i="1"/>
  <c r="DE176" i="1"/>
  <c r="DK178" i="1"/>
  <c r="DJ178" i="1"/>
  <c r="DI178" i="1"/>
  <c r="DH178" i="1"/>
  <c r="DG178" i="1"/>
  <c r="DF178" i="1"/>
  <c r="DE178" i="1"/>
  <c r="DK174" i="1"/>
  <c r="DJ174" i="1"/>
  <c r="DI174" i="1"/>
  <c r="DH174" i="1"/>
  <c r="DG174" i="1"/>
  <c r="DF174" i="1"/>
  <c r="DE174" i="1"/>
  <c r="H174" i="1" s="1"/>
  <c r="DD200" i="1"/>
  <c r="DC200" i="1"/>
  <c r="DB200" i="1"/>
  <c r="DA200" i="1"/>
  <c r="CY200" i="1"/>
  <c r="DB198" i="1"/>
  <c r="CZ198" i="1"/>
  <c r="CY198" i="1"/>
  <c r="CX182" i="1"/>
  <c r="DD111" i="1"/>
  <c r="DC111" i="1"/>
  <c r="DB109" i="1"/>
  <c r="CZ109" i="1"/>
  <c r="DA109" i="1"/>
  <c r="CX105" i="1"/>
  <c r="DD103" i="1"/>
  <c r="CZ103" i="1"/>
  <c r="DC101" i="1"/>
  <c r="DB101" i="1"/>
  <c r="CY101" i="1"/>
  <c r="DD101" i="1"/>
  <c r="DA101" i="1"/>
  <c r="CZ101" i="1"/>
  <c r="CX101" i="1"/>
  <c r="CZ99" i="1"/>
  <c r="DB97" i="1"/>
  <c r="DD97" i="1"/>
  <c r="CZ97" i="1"/>
  <c r="CY97" i="1"/>
  <c r="DD95" i="1"/>
  <c r="DC95" i="1"/>
  <c r="CY83" i="1"/>
  <c r="DD83" i="1"/>
  <c r="DC83" i="1"/>
  <c r="CX83" i="1"/>
  <c r="DD49" i="1"/>
  <c r="CY49" i="1"/>
  <c r="CX49" i="1"/>
  <c r="DC7" i="1"/>
  <c r="DB7" i="1"/>
  <c r="DA7" i="1"/>
  <c r="DD7" i="1"/>
  <c r="CZ7" i="1"/>
  <c r="DC102" i="1"/>
  <c r="DD108" i="1"/>
  <c r="DD104" i="1"/>
  <c r="DF201" i="1"/>
  <c r="I200" i="1" s="1"/>
  <c r="DF108" i="1"/>
  <c r="DF50" i="1"/>
  <c r="DE50" i="1"/>
  <c r="DK207" i="1"/>
  <c r="DJ207" i="1"/>
  <c r="DI207" i="1"/>
  <c r="DH207" i="1"/>
  <c r="DG207" i="1"/>
  <c r="DF207" i="1"/>
  <c r="DE207" i="1"/>
  <c r="DK206" i="1"/>
  <c r="DJ206" i="1"/>
  <c r="DI206" i="1"/>
  <c r="DH206" i="1"/>
  <c r="DG206" i="1"/>
  <c r="DF206" i="1"/>
  <c r="DE206" i="1"/>
  <c r="DK205" i="1"/>
  <c r="DJ205" i="1"/>
  <c r="DI205" i="1"/>
  <c r="DH205" i="1"/>
  <c r="DG205" i="1"/>
  <c r="DF205" i="1"/>
  <c r="DE205" i="1"/>
  <c r="DK204" i="1"/>
  <c r="DJ204" i="1"/>
  <c r="DI204" i="1"/>
  <c r="DH204" i="1"/>
  <c r="DG204" i="1"/>
  <c r="DF204" i="1"/>
  <c r="DE204" i="1"/>
  <c r="H204" i="1" s="1"/>
  <c r="DK203" i="1"/>
  <c r="DJ203" i="1"/>
  <c r="DJ209" i="1" s="1"/>
  <c r="DI203" i="1"/>
  <c r="DH203" i="1"/>
  <c r="DG203" i="1"/>
  <c r="DF203" i="1"/>
  <c r="DE203" i="1"/>
  <c r="DK202" i="1"/>
  <c r="DJ202" i="1"/>
  <c r="DI202" i="1"/>
  <c r="DH202" i="1"/>
  <c r="DG202" i="1"/>
  <c r="DF202" i="1"/>
  <c r="DE202" i="1"/>
  <c r="H202" i="1" s="1"/>
  <c r="DF209" i="1"/>
  <c r="DE208" i="1"/>
  <c r="DK199" i="1"/>
  <c r="DI199" i="1"/>
  <c r="DH199" i="1"/>
  <c r="DG199" i="1"/>
  <c r="DG209" i="1" s="1"/>
  <c r="DF199" i="1"/>
  <c r="I198" i="1"/>
  <c r="DK198" i="1"/>
  <c r="DJ198" i="1"/>
  <c r="DI198" i="1"/>
  <c r="DI208" i="1" s="1"/>
  <c r="DH198" i="1"/>
  <c r="DG198" i="1"/>
  <c r="DF198" i="1"/>
  <c r="DF208" i="1" s="1"/>
  <c r="DE198" i="1"/>
  <c r="DH208" i="1"/>
  <c r="DI209" i="1"/>
  <c r="DJ208" i="1"/>
  <c r="DK209" i="1"/>
  <c r="DK185" i="1"/>
  <c r="DJ185" i="1"/>
  <c r="DI185" i="1"/>
  <c r="DH185" i="1"/>
  <c r="DG185" i="1"/>
  <c r="DF185" i="1"/>
  <c r="DE185" i="1"/>
  <c r="DK184" i="1"/>
  <c r="DJ184" i="1"/>
  <c r="DI184" i="1"/>
  <c r="DH184" i="1"/>
  <c r="DG184" i="1"/>
  <c r="DF184" i="1"/>
  <c r="DE184" i="1"/>
  <c r="H184" i="1" s="1"/>
  <c r="DK183" i="1"/>
  <c r="DJ183" i="1"/>
  <c r="DI183" i="1"/>
  <c r="DH183" i="1"/>
  <c r="DG183" i="1"/>
  <c r="DF183" i="1"/>
  <c r="DK182" i="1"/>
  <c r="DJ182" i="1"/>
  <c r="DI182" i="1"/>
  <c r="DH182" i="1"/>
  <c r="DG182" i="1"/>
  <c r="DF182" i="1"/>
  <c r="DK181" i="1"/>
  <c r="DJ181" i="1"/>
  <c r="DI181" i="1"/>
  <c r="DH181" i="1"/>
  <c r="DG181" i="1"/>
  <c r="DF181" i="1"/>
  <c r="DE181" i="1"/>
  <c r="DK180" i="1"/>
  <c r="DJ180" i="1"/>
  <c r="DI180" i="1"/>
  <c r="DH180" i="1"/>
  <c r="DG180" i="1"/>
  <c r="DF180" i="1"/>
  <c r="DE180" i="1"/>
  <c r="H180" i="1" s="1"/>
  <c r="DK114" i="1"/>
  <c r="DI114" i="1"/>
  <c r="DG114" i="1"/>
  <c r="DK113" i="1"/>
  <c r="DI113" i="1"/>
  <c r="DH113" i="1"/>
  <c r="DG113" i="1"/>
  <c r="DI112" i="1"/>
  <c r="DH112" i="1"/>
  <c r="DG112" i="1"/>
  <c r="I111" i="1" s="1"/>
  <c r="DI111" i="1"/>
  <c r="DH111" i="1"/>
  <c r="DG111" i="1"/>
  <c r="DK110" i="1"/>
  <c r="DJ110" i="1"/>
  <c r="DK109" i="1"/>
  <c r="DJ109" i="1"/>
  <c r="DJ108" i="1"/>
  <c r="DI108" i="1"/>
  <c r="DH108" i="1"/>
  <c r="DJ107" i="1"/>
  <c r="DI107" i="1"/>
  <c r="DH107" i="1"/>
  <c r="DF107" i="1"/>
  <c r="H107" i="1" s="1"/>
  <c r="DK106" i="1"/>
  <c r="DG106" i="1"/>
  <c r="I105" i="1" s="1"/>
  <c r="DK105" i="1"/>
  <c r="DG105" i="1"/>
  <c r="DF105" i="1"/>
  <c r="DE105" i="1"/>
  <c r="H105" i="1" s="1"/>
  <c r="DJ104" i="1"/>
  <c r="DI104" i="1"/>
  <c r="DH104" i="1"/>
  <c r="DF104" i="1"/>
  <c r="I103" i="1" s="1"/>
  <c r="DJ103" i="1"/>
  <c r="DI103" i="1"/>
  <c r="DH103" i="1"/>
  <c r="DF103" i="1"/>
  <c r="H103" i="1" s="1"/>
  <c r="DK102" i="1"/>
  <c r="DH102" i="1"/>
  <c r="DG102" i="1"/>
  <c r="DK101" i="1"/>
  <c r="DJ101" i="1"/>
  <c r="DI101" i="1"/>
  <c r="DH101" i="1"/>
  <c r="DG101" i="1"/>
  <c r="H101" i="1" s="1"/>
  <c r="DK100" i="1"/>
  <c r="DJ100" i="1"/>
  <c r="DI100" i="1"/>
  <c r="DH100" i="1"/>
  <c r="DG100" i="1"/>
  <c r="DF100" i="1"/>
  <c r="DE100" i="1"/>
  <c r="DK99" i="1"/>
  <c r="DJ99" i="1"/>
  <c r="DI99" i="1"/>
  <c r="DH99" i="1"/>
  <c r="DG99" i="1"/>
  <c r="DF99" i="1"/>
  <c r="DE99" i="1"/>
  <c r="H99" i="1" s="1"/>
  <c r="DK98" i="1"/>
  <c r="DJ98" i="1"/>
  <c r="DI98" i="1"/>
  <c r="DH98" i="1"/>
  <c r="DG98" i="1"/>
  <c r="DF98" i="1"/>
  <c r="DE98" i="1"/>
  <c r="DK97" i="1"/>
  <c r="DJ97" i="1"/>
  <c r="DI97" i="1"/>
  <c r="DH97" i="1"/>
  <c r="DG97" i="1"/>
  <c r="DF97" i="1"/>
  <c r="DE97" i="1"/>
  <c r="H97" i="1" s="1"/>
  <c r="DK96" i="1"/>
  <c r="DJ96" i="1"/>
  <c r="DI96" i="1"/>
  <c r="DH96" i="1"/>
  <c r="DG96" i="1"/>
  <c r="DF96" i="1"/>
  <c r="DE96" i="1"/>
  <c r="DK95" i="1"/>
  <c r="DJ95" i="1"/>
  <c r="DI95" i="1"/>
  <c r="DH95" i="1"/>
  <c r="DG95" i="1"/>
  <c r="DF95" i="1"/>
  <c r="DE95" i="1"/>
  <c r="H95" i="1" s="1"/>
  <c r="DK84" i="1"/>
  <c r="DJ84" i="1"/>
  <c r="DI84" i="1"/>
  <c r="DH84" i="1"/>
  <c r="DG84" i="1"/>
  <c r="DF84" i="1"/>
  <c r="DE84" i="1"/>
  <c r="DK83" i="1"/>
  <c r="DJ83" i="1"/>
  <c r="DI83" i="1"/>
  <c r="DH83" i="1"/>
  <c r="DG83" i="1"/>
  <c r="DF83" i="1"/>
  <c r="DE83" i="1"/>
  <c r="H83" i="1" s="1"/>
  <c r="DK50" i="1"/>
  <c r="DJ50" i="1"/>
  <c r="DI50" i="1"/>
  <c r="DH50" i="1"/>
  <c r="DG50" i="1"/>
  <c r="DK49" i="1"/>
  <c r="DJ49" i="1"/>
  <c r="DI49" i="1"/>
  <c r="DH49" i="1"/>
  <c r="DG49" i="1"/>
  <c r="DJ8" i="1"/>
  <c r="DH8" i="1"/>
  <c r="DE8" i="1"/>
  <c r="DE7" i="1"/>
  <c r="DI94" i="1"/>
  <c r="DH94" i="1"/>
  <c r="DG94" i="1"/>
  <c r="DF94" i="1"/>
  <c r="DE94" i="1"/>
  <c r="DI93" i="1"/>
  <c r="DH93" i="1"/>
  <c r="DG93" i="1"/>
  <c r="DF93" i="1"/>
  <c r="DE93" i="1"/>
  <c r="DI92" i="1"/>
  <c r="DH92" i="1"/>
  <c r="DG92" i="1"/>
  <c r="DF92" i="1"/>
  <c r="DE92" i="1"/>
  <c r="DI91" i="1"/>
  <c r="DH91" i="1"/>
  <c r="DG91" i="1"/>
  <c r="DF91" i="1"/>
  <c r="DE91" i="1"/>
  <c r="DI90" i="1"/>
  <c r="DH90" i="1"/>
  <c r="DG90" i="1"/>
  <c r="DF90" i="1"/>
  <c r="DE90" i="1"/>
  <c r="DI89" i="1"/>
  <c r="DH89" i="1"/>
  <c r="DG89" i="1"/>
  <c r="DF89" i="1"/>
  <c r="DE89" i="1"/>
  <c r="DI88" i="1"/>
  <c r="DH88" i="1"/>
  <c r="DG88" i="1"/>
  <c r="DF88" i="1"/>
  <c r="DE88" i="1"/>
  <c r="DI87" i="1"/>
  <c r="DH87" i="1"/>
  <c r="DG87" i="1"/>
  <c r="DF87" i="1"/>
  <c r="DE87" i="1"/>
  <c r="DI86" i="1"/>
  <c r="DH86" i="1"/>
  <c r="DG86" i="1"/>
  <c r="DF86" i="1"/>
  <c r="DE86" i="1"/>
  <c r="DI85" i="1"/>
  <c r="DH85" i="1"/>
  <c r="DG85" i="1"/>
  <c r="DF85" i="1"/>
  <c r="DE85" i="1"/>
  <c r="DI82" i="1"/>
  <c r="DH82" i="1"/>
  <c r="DG82" i="1"/>
  <c r="DF82" i="1"/>
  <c r="DE82" i="1"/>
  <c r="DI81" i="1"/>
  <c r="DH81" i="1"/>
  <c r="DG81" i="1"/>
  <c r="DF81" i="1"/>
  <c r="DE81" i="1"/>
  <c r="DI80" i="1"/>
  <c r="DH80" i="1"/>
  <c r="DG80" i="1"/>
  <c r="DF80" i="1"/>
  <c r="DE80" i="1"/>
  <c r="DI79" i="1"/>
  <c r="DH79" i="1"/>
  <c r="DG79" i="1"/>
  <c r="DF79" i="1"/>
  <c r="DE79" i="1"/>
  <c r="DI78" i="1"/>
  <c r="DH78" i="1"/>
  <c r="DG78" i="1"/>
  <c r="DF78" i="1"/>
  <c r="DE78" i="1"/>
  <c r="DI77" i="1"/>
  <c r="DH77" i="1"/>
  <c r="DG77" i="1"/>
  <c r="DF77" i="1"/>
  <c r="DE77" i="1"/>
  <c r="DI76" i="1"/>
  <c r="DH76" i="1"/>
  <c r="DG76" i="1"/>
  <c r="DF76" i="1"/>
  <c r="DE76" i="1"/>
  <c r="DI75" i="1"/>
  <c r="DH75" i="1"/>
  <c r="DG75" i="1"/>
  <c r="DF75" i="1"/>
  <c r="DE75" i="1"/>
  <c r="DI74" i="1"/>
  <c r="DH74" i="1"/>
  <c r="DG74" i="1"/>
  <c r="DF74" i="1"/>
  <c r="DE74" i="1"/>
  <c r="DI73" i="1"/>
  <c r="DH73" i="1"/>
  <c r="DG73" i="1"/>
  <c r="DF73" i="1"/>
  <c r="DE73" i="1"/>
  <c r="DI72" i="1"/>
  <c r="DH72" i="1"/>
  <c r="DG72" i="1"/>
  <c r="DF72" i="1"/>
  <c r="DE72" i="1"/>
  <c r="DI71" i="1"/>
  <c r="DH71" i="1"/>
  <c r="DG71" i="1"/>
  <c r="DF71" i="1"/>
  <c r="DE71" i="1"/>
  <c r="DI70" i="1"/>
  <c r="DH70" i="1"/>
  <c r="DG70" i="1"/>
  <c r="DF70" i="1"/>
  <c r="DE70" i="1"/>
  <c r="DI69" i="1"/>
  <c r="DH69" i="1"/>
  <c r="DG69" i="1"/>
  <c r="DF69" i="1"/>
  <c r="DE69" i="1"/>
  <c r="DI68" i="1"/>
  <c r="DH68" i="1"/>
  <c r="DG68" i="1"/>
  <c r="DF68" i="1"/>
  <c r="DE68" i="1"/>
  <c r="DI67" i="1"/>
  <c r="DH67" i="1"/>
  <c r="DG67" i="1"/>
  <c r="DF67" i="1"/>
  <c r="DE67" i="1"/>
  <c r="DI66" i="1"/>
  <c r="DH66" i="1"/>
  <c r="DG66" i="1"/>
  <c r="DF66" i="1"/>
  <c r="DE66" i="1"/>
  <c r="DI65" i="1"/>
  <c r="DH65" i="1"/>
  <c r="DG65" i="1"/>
  <c r="DF65" i="1"/>
  <c r="DE65" i="1"/>
  <c r="DI64" i="1"/>
  <c r="DH64" i="1"/>
  <c r="DG64" i="1"/>
  <c r="DF64" i="1"/>
  <c r="DE64" i="1"/>
  <c r="DI63" i="1"/>
  <c r="DH63" i="1"/>
  <c r="DG63" i="1"/>
  <c r="DF63" i="1"/>
  <c r="DE63" i="1"/>
  <c r="DI62" i="1"/>
  <c r="DH62" i="1"/>
  <c r="DG62" i="1"/>
  <c r="DF62" i="1"/>
  <c r="DE62" i="1"/>
  <c r="DI61" i="1"/>
  <c r="DH61" i="1"/>
  <c r="DG61" i="1"/>
  <c r="DF61" i="1"/>
  <c r="DE61" i="1"/>
  <c r="DI60" i="1"/>
  <c r="DH60" i="1"/>
  <c r="DG60" i="1"/>
  <c r="DF60" i="1"/>
  <c r="DE60" i="1"/>
  <c r="DI59" i="1"/>
  <c r="DH59" i="1"/>
  <c r="DG59" i="1"/>
  <c r="DF59" i="1"/>
  <c r="DE59" i="1"/>
  <c r="DI58" i="1"/>
  <c r="DH58" i="1"/>
  <c r="DG58" i="1"/>
  <c r="DF58" i="1"/>
  <c r="DE58" i="1"/>
  <c r="DI57" i="1"/>
  <c r="DH57" i="1"/>
  <c r="DG57" i="1"/>
  <c r="DF57" i="1"/>
  <c r="DE57" i="1"/>
  <c r="DI56" i="1"/>
  <c r="DH56" i="1"/>
  <c r="DG56" i="1"/>
  <c r="DF56" i="1"/>
  <c r="DE56" i="1"/>
  <c r="DI55" i="1"/>
  <c r="DH55" i="1"/>
  <c r="DG55" i="1"/>
  <c r="DF55" i="1"/>
  <c r="DE55" i="1"/>
  <c r="DI54" i="1"/>
  <c r="DH54" i="1"/>
  <c r="DG54" i="1"/>
  <c r="DF54" i="1"/>
  <c r="DE54" i="1"/>
  <c r="DI53" i="1"/>
  <c r="DH53" i="1"/>
  <c r="DG53" i="1"/>
  <c r="DF53" i="1"/>
  <c r="DE53" i="1"/>
  <c r="DI52" i="1"/>
  <c r="DH52" i="1"/>
  <c r="DG52" i="1"/>
  <c r="DF52" i="1"/>
  <c r="DE52" i="1"/>
  <c r="DI51" i="1"/>
  <c r="DH51" i="1"/>
  <c r="DG51" i="1"/>
  <c r="DF51" i="1"/>
  <c r="DE51" i="1"/>
  <c r="DI48" i="1"/>
  <c r="DH48" i="1"/>
  <c r="DG48" i="1"/>
  <c r="DF48" i="1"/>
  <c r="DE48" i="1"/>
  <c r="DI47" i="1"/>
  <c r="DH47" i="1"/>
  <c r="DG47" i="1"/>
  <c r="DF47" i="1"/>
  <c r="DE47" i="1"/>
  <c r="DI46" i="1"/>
  <c r="DH46" i="1"/>
  <c r="DG46" i="1"/>
  <c r="DF46" i="1"/>
  <c r="DE46" i="1"/>
  <c r="DI45" i="1"/>
  <c r="DH45" i="1"/>
  <c r="DG45" i="1"/>
  <c r="DF45" i="1"/>
  <c r="DE45" i="1"/>
  <c r="DI44" i="1"/>
  <c r="DH44" i="1"/>
  <c r="DG44" i="1"/>
  <c r="DF44" i="1"/>
  <c r="DE44" i="1"/>
  <c r="DI43" i="1"/>
  <c r="DH43" i="1"/>
  <c r="DG43" i="1"/>
  <c r="DF43" i="1"/>
  <c r="DE43" i="1"/>
  <c r="DI42" i="1"/>
  <c r="DH42" i="1"/>
  <c r="DG42" i="1"/>
  <c r="DF42" i="1"/>
  <c r="DE42" i="1"/>
  <c r="DI41" i="1"/>
  <c r="DH41" i="1"/>
  <c r="DG41" i="1"/>
  <c r="DF41" i="1"/>
  <c r="DE41" i="1"/>
  <c r="DI40" i="1"/>
  <c r="DH40" i="1"/>
  <c r="DG40" i="1"/>
  <c r="DF40" i="1"/>
  <c r="DE40" i="1"/>
  <c r="DI39" i="1"/>
  <c r="DH39" i="1"/>
  <c r="DG39" i="1"/>
  <c r="DF39" i="1"/>
  <c r="DE39" i="1"/>
  <c r="DI38" i="1"/>
  <c r="DH38" i="1"/>
  <c r="DG38" i="1"/>
  <c r="DF38" i="1"/>
  <c r="DE38" i="1"/>
  <c r="DI37" i="1"/>
  <c r="DH37" i="1"/>
  <c r="DG37" i="1"/>
  <c r="DF37" i="1"/>
  <c r="DE37" i="1"/>
  <c r="DI36" i="1"/>
  <c r="DH36" i="1"/>
  <c r="DG36" i="1"/>
  <c r="DF36" i="1"/>
  <c r="DE36" i="1"/>
  <c r="DI35" i="1"/>
  <c r="DH35" i="1"/>
  <c r="DG35" i="1"/>
  <c r="DF35" i="1"/>
  <c r="DE35" i="1"/>
  <c r="DI34" i="1"/>
  <c r="DH34" i="1"/>
  <c r="DG34" i="1"/>
  <c r="DF34" i="1"/>
  <c r="DE34" i="1"/>
  <c r="DI33" i="1"/>
  <c r="DH33" i="1"/>
  <c r="DG33" i="1"/>
  <c r="DF33" i="1"/>
  <c r="DE33" i="1"/>
  <c r="DI32" i="1"/>
  <c r="DH32" i="1"/>
  <c r="DG32" i="1"/>
  <c r="DF32" i="1"/>
  <c r="DE32" i="1"/>
  <c r="DI31" i="1"/>
  <c r="DH31" i="1"/>
  <c r="DG31" i="1"/>
  <c r="DF31" i="1"/>
  <c r="DE31" i="1"/>
  <c r="DI30" i="1"/>
  <c r="DH30" i="1"/>
  <c r="DG30" i="1"/>
  <c r="DF30" i="1"/>
  <c r="DE30" i="1"/>
  <c r="DI29" i="1"/>
  <c r="DH29" i="1"/>
  <c r="DG29" i="1"/>
  <c r="DF29" i="1"/>
  <c r="DE29" i="1"/>
  <c r="DI28" i="1"/>
  <c r="DH28" i="1"/>
  <c r="DG28" i="1"/>
  <c r="DF28" i="1"/>
  <c r="DE28" i="1"/>
  <c r="DI27" i="1"/>
  <c r="DH27" i="1"/>
  <c r="DG27" i="1"/>
  <c r="DF27" i="1"/>
  <c r="DE27" i="1"/>
  <c r="DI26" i="1"/>
  <c r="DH26" i="1"/>
  <c r="DG26" i="1"/>
  <c r="DF26" i="1"/>
  <c r="DE26" i="1"/>
  <c r="DI25" i="1"/>
  <c r="DH25" i="1"/>
  <c r="DG25" i="1"/>
  <c r="DF25" i="1"/>
  <c r="DE25" i="1"/>
  <c r="DI24" i="1"/>
  <c r="DH24" i="1"/>
  <c r="DG24" i="1"/>
  <c r="DF24" i="1"/>
  <c r="DE24" i="1"/>
  <c r="DI23" i="1"/>
  <c r="DH23" i="1"/>
  <c r="DG23" i="1"/>
  <c r="DF23" i="1"/>
  <c r="DE23" i="1"/>
  <c r="DI22" i="1"/>
  <c r="DH22" i="1"/>
  <c r="DG22" i="1"/>
  <c r="DF22" i="1"/>
  <c r="DE22" i="1"/>
  <c r="DI21" i="1"/>
  <c r="DH21" i="1"/>
  <c r="DG21" i="1"/>
  <c r="DF21" i="1"/>
  <c r="DE21" i="1"/>
  <c r="DI20" i="1"/>
  <c r="DH20" i="1"/>
  <c r="DG20" i="1"/>
  <c r="DF20" i="1"/>
  <c r="DE20" i="1"/>
  <c r="DI19" i="1"/>
  <c r="DH19" i="1"/>
  <c r="DG19" i="1"/>
  <c r="DF19" i="1"/>
  <c r="DE19" i="1"/>
  <c r="DI18" i="1"/>
  <c r="DH18" i="1"/>
  <c r="DG18" i="1"/>
  <c r="DF18" i="1"/>
  <c r="DE18" i="1"/>
  <c r="DI17" i="1"/>
  <c r="DH17" i="1"/>
  <c r="DG17" i="1"/>
  <c r="DF17" i="1"/>
  <c r="DE17" i="1"/>
  <c r="DI16" i="1"/>
  <c r="DH16" i="1"/>
  <c r="DG16" i="1"/>
  <c r="DF16" i="1"/>
  <c r="DE16" i="1"/>
  <c r="DI15" i="1"/>
  <c r="DH15" i="1"/>
  <c r="DG15" i="1"/>
  <c r="DF15" i="1"/>
  <c r="DE15" i="1"/>
  <c r="DI14" i="1"/>
  <c r="DH14" i="1"/>
  <c r="DG14" i="1"/>
  <c r="DF14" i="1"/>
  <c r="DE14" i="1"/>
  <c r="DI13" i="1"/>
  <c r="DH13" i="1"/>
  <c r="DG13" i="1"/>
  <c r="DF13" i="1"/>
  <c r="DE13" i="1"/>
  <c r="DI12" i="1"/>
  <c r="DH12" i="1"/>
  <c r="DG12" i="1"/>
  <c r="DF12" i="1"/>
  <c r="DE12" i="1"/>
  <c r="DI11" i="1"/>
  <c r="DH11" i="1"/>
  <c r="DG11" i="1"/>
  <c r="DF11" i="1"/>
  <c r="DE11" i="1"/>
  <c r="DI10" i="1"/>
  <c r="DI168" i="1" s="1"/>
  <c r="DH10" i="1"/>
  <c r="DG10" i="1"/>
  <c r="DG168" i="1" s="1"/>
  <c r="DF10" i="1"/>
  <c r="DF168" i="1" s="1"/>
  <c r="DE10" i="1"/>
  <c r="DI9" i="1"/>
  <c r="DI167" i="1" s="1"/>
  <c r="DH9" i="1"/>
  <c r="DH167" i="1" s="1"/>
  <c r="DG9" i="1"/>
  <c r="DG167" i="1" s="1"/>
  <c r="DF9" i="1"/>
  <c r="DF167" i="1" s="1"/>
  <c r="DE9" i="1"/>
  <c r="DC106" i="1"/>
  <c r="DD201" i="1"/>
  <c r="DB201" i="1"/>
  <c r="CZ201" i="1"/>
  <c r="CY201" i="1"/>
  <c r="CX201" i="1"/>
  <c r="CX183" i="1"/>
  <c r="DD177" i="1"/>
  <c r="DC177" i="1"/>
  <c r="DB177" i="1"/>
  <c r="DA177" i="1"/>
  <c r="CZ177" i="1"/>
  <c r="CY177" i="1"/>
  <c r="CX177" i="1"/>
  <c r="DD179" i="1"/>
  <c r="DC179" i="1"/>
  <c r="DB179" i="1"/>
  <c r="DA179" i="1"/>
  <c r="CZ179" i="1"/>
  <c r="CY179" i="1"/>
  <c r="CX179" i="1"/>
  <c r="DD175" i="1"/>
  <c r="DC175" i="1"/>
  <c r="DB175" i="1"/>
  <c r="DA175" i="1"/>
  <c r="CZ175" i="1"/>
  <c r="CY175" i="1"/>
  <c r="CX175" i="1"/>
  <c r="CY106" i="1"/>
  <c r="CX106" i="1"/>
  <c r="CY50" i="1"/>
  <c r="CX50" i="1"/>
  <c r="CX104" i="1"/>
  <c r="CZ104" i="1"/>
  <c r="DB102" i="1"/>
  <c r="CY102" i="1"/>
  <c r="DD112" i="1"/>
  <c r="DC112" i="1"/>
  <c r="DB110" i="1"/>
  <c r="DA110" i="1"/>
  <c r="CZ110" i="1"/>
  <c r="CX110" i="1"/>
  <c r="CX114" i="1"/>
  <c r="CX113" i="1"/>
  <c r="X112" i="10" s="1"/>
  <c r="CX112" i="1"/>
  <c r="CX111" i="1"/>
  <c r="DD114" i="1"/>
  <c r="DC114" i="1"/>
  <c r="DB114" i="1"/>
  <c r="DA114" i="1"/>
  <c r="CZ114" i="1"/>
  <c r="CY114" i="1"/>
  <c r="DD113" i="1"/>
  <c r="DC113" i="1"/>
  <c r="DB113" i="1"/>
  <c r="DA113" i="1"/>
  <c r="CZ113" i="1"/>
  <c r="CY113" i="1"/>
  <c r="DB112" i="1"/>
  <c r="DA112" i="1"/>
  <c r="CZ112" i="1"/>
  <c r="CY112" i="1"/>
  <c r="DB111" i="1"/>
  <c r="DA111" i="1"/>
  <c r="CZ111" i="1"/>
  <c r="CY111" i="1"/>
  <c r="AI140" i="8"/>
  <c r="DE168" i="1" l="1"/>
  <c r="I7" i="1"/>
  <c r="I83" i="1"/>
  <c r="I97" i="1"/>
  <c r="I109" i="1"/>
  <c r="H113" i="1"/>
  <c r="I113" i="1"/>
  <c r="I184" i="1"/>
  <c r="DE209" i="1"/>
  <c r="DG208" i="1"/>
  <c r="DK208" i="1"/>
  <c r="DH209" i="1"/>
  <c r="I204" i="1"/>
  <c r="H178" i="1"/>
  <c r="DH168" i="1"/>
  <c r="I49" i="1"/>
  <c r="X113" i="10"/>
  <c r="I95" i="1"/>
  <c r="I99" i="1"/>
  <c r="I101" i="1"/>
  <c r="H109" i="1"/>
  <c r="H111" i="1"/>
  <c r="I180" i="1"/>
  <c r="H198" i="1"/>
  <c r="I202" i="1"/>
  <c r="I206" i="1"/>
  <c r="H182" i="1"/>
  <c r="DE167" i="1"/>
  <c r="H7" i="1"/>
  <c r="H49" i="1"/>
  <c r="I182" i="1"/>
  <c r="H206" i="1"/>
  <c r="I107" i="1"/>
  <c r="H176" i="1"/>
  <c r="CX109" i="1"/>
  <c r="DD110" i="1"/>
  <c r="DC110" i="1"/>
  <c r="CY110" i="1"/>
  <c r="DD109" i="1"/>
  <c r="DC109" i="1"/>
  <c r="CY109" i="1"/>
  <c r="DC201" i="1"/>
  <c r="DB199" i="1"/>
  <c r="CY105" i="1"/>
  <c r="DC105" i="1"/>
  <c r="DA105" i="1"/>
  <c r="DD107" i="1"/>
  <c r="CZ107" i="1"/>
  <c r="CX107" i="1"/>
  <c r="CZ108" i="1"/>
  <c r="CX108" i="1"/>
  <c r="DA106" i="1"/>
  <c r="DD102" i="1"/>
  <c r="DA102" i="1"/>
  <c r="CZ102" i="1"/>
  <c r="DB98" i="1"/>
  <c r="CY98" i="1"/>
  <c r="DD50" i="1"/>
  <c r="DC8" i="1"/>
  <c r="DA8" i="1"/>
  <c r="DC108" i="1"/>
  <c r="DB108" i="1"/>
  <c r="DA108" i="1"/>
  <c r="CY108" i="1"/>
  <c r="DC107" i="1"/>
  <c r="DB107" i="1"/>
  <c r="DA107" i="1"/>
  <c r="CY107" i="1"/>
  <c r="DD198" i="1" l="1"/>
  <c r="DC198" i="1"/>
  <c r="DA198" i="1"/>
  <c r="CX200" i="1"/>
  <c r="DC97" i="1"/>
  <c r="DA97" i="1"/>
  <c r="CX103" i="1"/>
  <c r="CX97" i="1"/>
  <c r="DA201" i="1"/>
  <c r="DC50" i="1"/>
  <c r="DB50" i="1"/>
  <c r="DA50" i="1"/>
  <c r="CZ50" i="1"/>
  <c r="DC49" i="1"/>
  <c r="DB49" i="1"/>
  <c r="DA49" i="1"/>
  <c r="CZ49" i="1"/>
  <c r="DD106" i="1"/>
  <c r="DB106" i="1"/>
  <c r="CZ106" i="1"/>
  <c r="DD105" i="1"/>
  <c r="DB105" i="1"/>
  <c r="CZ105" i="1"/>
  <c r="CX102" i="1"/>
  <c r="DC98" i="1"/>
  <c r="CX98" i="1"/>
  <c r="DC104" i="1" l="1"/>
  <c r="DB104" i="1"/>
  <c r="DA104" i="1"/>
  <c r="CY104" i="1"/>
  <c r="DC103" i="1"/>
  <c r="DB103" i="1"/>
  <c r="DA103" i="1"/>
  <c r="CY103" i="1"/>
  <c r="DC99" i="1"/>
  <c r="DA99" i="1"/>
  <c r="CY99" i="1"/>
  <c r="DD99" i="1"/>
  <c r="CX99" i="1"/>
  <c r="DD199" i="1"/>
  <c r="CX84" i="1"/>
  <c r="CY8" i="1"/>
  <c r="DD100" i="1"/>
  <c r="DC100" i="1"/>
  <c r="DA100" i="1"/>
  <c r="CZ100" i="1"/>
  <c r="CY100" i="1"/>
  <c r="CX100" i="1"/>
  <c r="DD98" i="1"/>
  <c r="DA98" i="1"/>
  <c r="CZ98" i="1"/>
  <c r="DB100" i="1"/>
  <c r="DB99" i="1"/>
  <c r="CZ200" i="1" l="1"/>
  <c r="DD176" i="1"/>
  <c r="DC176" i="1"/>
  <c r="DB176" i="1"/>
  <c r="DA176" i="1"/>
  <c r="CZ176" i="1"/>
  <c r="CY176" i="1"/>
  <c r="CX176" i="1"/>
  <c r="DD178" i="1"/>
  <c r="DC178" i="1"/>
  <c r="DB178" i="1"/>
  <c r="DA178" i="1"/>
  <c r="CZ178" i="1"/>
  <c r="CY178" i="1"/>
  <c r="CX178" i="1"/>
  <c r="DD174" i="1"/>
  <c r="DC174" i="1"/>
  <c r="DB174" i="1"/>
  <c r="DA174" i="1"/>
  <c r="CZ174" i="1"/>
  <c r="CY174" i="1"/>
  <c r="CX174" i="1"/>
  <c r="CY7" i="1"/>
  <c r="DD185" i="1"/>
  <c r="DC185" i="1"/>
  <c r="DD184" i="1"/>
  <c r="DC184" i="1"/>
  <c r="DD183" i="1"/>
  <c r="DC183" i="1"/>
  <c r="DD182" i="1"/>
  <c r="DC182" i="1"/>
  <c r="DD181" i="1"/>
  <c r="DC181" i="1"/>
  <c r="DD180" i="1"/>
  <c r="DC180" i="1"/>
  <c r="DD207" i="1"/>
  <c r="DC207" i="1"/>
  <c r="DD206" i="1"/>
  <c r="DC206" i="1"/>
  <c r="DD205" i="1"/>
  <c r="DC205" i="1"/>
  <c r="DD204" i="1"/>
  <c r="DC204" i="1"/>
  <c r="DD203" i="1"/>
  <c r="DC203" i="1"/>
  <c r="DD202" i="1"/>
  <c r="DC202" i="1"/>
  <c r="DC199" i="1"/>
  <c r="DS207" i="1"/>
  <c r="DR207" i="1"/>
  <c r="DQ207" i="1"/>
  <c r="DS206" i="1"/>
  <c r="DR206" i="1"/>
  <c r="DQ206" i="1"/>
  <c r="DS205" i="1"/>
  <c r="DR205" i="1"/>
  <c r="DQ205" i="1"/>
  <c r="DS204" i="1"/>
  <c r="DR204" i="1"/>
  <c r="DQ204" i="1"/>
  <c r="DS203" i="1"/>
  <c r="DR203" i="1"/>
  <c r="DQ203" i="1"/>
  <c r="DS202" i="1"/>
  <c r="DR202" i="1"/>
  <c r="DQ202" i="1"/>
  <c r="DS201" i="1"/>
  <c r="DR201" i="1"/>
  <c r="DQ201" i="1"/>
  <c r="DS200" i="1"/>
  <c r="DR200" i="1"/>
  <c r="DQ200" i="1"/>
  <c r="DS199" i="1"/>
  <c r="DR199" i="1"/>
  <c r="DQ199" i="1"/>
  <c r="DS198" i="1"/>
  <c r="DR198" i="1"/>
  <c r="DQ198" i="1"/>
  <c r="DS185" i="1"/>
  <c r="DR185" i="1"/>
  <c r="DQ185" i="1"/>
  <c r="DS184" i="1"/>
  <c r="DR184" i="1"/>
  <c r="DQ184" i="1"/>
  <c r="DS183" i="1"/>
  <c r="DR183" i="1"/>
  <c r="DQ183" i="1"/>
  <c r="DS182" i="1"/>
  <c r="DR182" i="1"/>
  <c r="DQ182" i="1"/>
  <c r="DS181" i="1"/>
  <c r="DR181" i="1"/>
  <c r="DQ181" i="1"/>
  <c r="DS180" i="1"/>
  <c r="DR180" i="1"/>
  <c r="DQ180" i="1"/>
  <c r="DS179" i="1"/>
  <c r="DR179" i="1"/>
  <c r="DQ179" i="1"/>
  <c r="DS178" i="1"/>
  <c r="DR178" i="1"/>
  <c r="DQ178" i="1"/>
  <c r="DS177" i="1"/>
  <c r="DR177" i="1"/>
  <c r="DQ177" i="1"/>
  <c r="DS176" i="1"/>
  <c r="DR176" i="1"/>
  <c r="DQ176" i="1"/>
  <c r="DS175" i="1"/>
  <c r="DR175" i="1"/>
  <c r="DQ175" i="1"/>
  <c r="DS174" i="1"/>
  <c r="DR174" i="1"/>
  <c r="DQ174" i="1"/>
  <c r="DS166" i="1"/>
  <c r="DR166" i="1"/>
  <c r="DQ166" i="1"/>
  <c r="DK166" i="1"/>
  <c r="DJ166" i="1"/>
  <c r="DD166" i="1"/>
  <c r="DC166" i="1"/>
  <c r="CW166" i="1"/>
  <c r="CV166" i="1"/>
  <c r="CP166" i="1"/>
  <c r="CO166" i="1"/>
  <c r="CN166" i="1"/>
  <c r="CM166" i="1"/>
  <c r="CL166" i="1"/>
  <c r="CF166" i="1"/>
  <c r="CE166" i="1"/>
  <c r="CD166" i="1"/>
  <c r="CC166" i="1"/>
  <c r="CB166" i="1"/>
  <c r="BV166" i="1"/>
  <c r="BS166" i="1"/>
  <c r="BR166" i="1"/>
  <c r="BQ166" i="1"/>
  <c r="BP166" i="1"/>
  <c r="BO166" i="1"/>
  <c r="BN166" i="1"/>
  <c r="BM166" i="1"/>
  <c r="DS165" i="1"/>
  <c r="DR165" i="1"/>
  <c r="DQ165" i="1"/>
  <c r="DK165" i="1"/>
  <c r="DJ165" i="1"/>
  <c r="DD165" i="1"/>
  <c r="DC165" i="1"/>
  <c r="CW165" i="1"/>
  <c r="CV165" i="1"/>
  <c r="CP165" i="1"/>
  <c r="CO165" i="1"/>
  <c r="CN165" i="1"/>
  <c r="CM165" i="1"/>
  <c r="CL165" i="1"/>
  <c r="CF165" i="1"/>
  <c r="CE165" i="1"/>
  <c r="CD165" i="1"/>
  <c r="CC165" i="1"/>
  <c r="CB165" i="1"/>
  <c r="BV165" i="1"/>
  <c r="BS165" i="1"/>
  <c r="BR165" i="1"/>
  <c r="BQ165" i="1"/>
  <c r="BP165" i="1"/>
  <c r="BO165" i="1"/>
  <c r="BN165" i="1"/>
  <c r="BM165" i="1"/>
  <c r="DS164" i="1"/>
  <c r="DR164" i="1"/>
  <c r="DQ164" i="1"/>
  <c r="DK164" i="1"/>
  <c r="DJ164" i="1"/>
  <c r="DD164" i="1"/>
  <c r="DC164" i="1"/>
  <c r="CW164" i="1"/>
  <c r="CV164" i="1"/>
  <c r="CP164" i="1"/>
  <c r="CO164" i="1"/>
  <c r="CN164" i="1"/>
  <c r="CM164" i="1"/>
  <c r="CL164" i="1"/>
  <c r="CF164" i="1"/>
  <c r="CE164" i="1"/>
  <c r="CD164" i="1"/>
  <c r="CC164" i="1"/>
  <c r="CB164" i="1"/>
  <c r="BV164" i="1"/>
  <c r="BS164" i="1"/>
  <c r="BR164" i="1"/>
  <c r="BQ164" i="1"/>
  <c r="BP164" i="1"/>
  <c r="BO164" i="1"/>
  <c r="BN164" i="1"/>
  <c r="BM164" i="1"/>
  <c r="DS163" i="1"/>
  <c r="DR163" i="1"/>
  <c r="DQ163" i="1"/>
  <c r="DK163" i="1"/>
  <c r="DJ163" i="1"/>
  <c r="DD163" i="1"/>
  <c r="DC163" i="1"/>
  <c r="CW163" i="1"/>
  <c r="CV163" i="1"/>
  <c r="CP163" i="1"/>
  <c r="CO163" i="1"/>
  <c r="CN163" i="1"/>
  <c r="CM163" i="1"/>
  <c r="CL163" i="1"/>
  <c r="CF163" i="1"/>
  <c r="CE163" i="1"/>
  <c r="CD163" i="1"/>
  <c r="CC163" i="1"/>
  <c r="CB163" i="1"/>
  <c r="BV163" i="1"/>
  <c r="BS163" i="1"/>
  <c r="BR163" i="1"/>
  <c r="BQ163" i="1"/>
  <c r="BP163" i="1"/>
  <c r="BO163" i="1"/>
  <c r="BN163" i="1"/>
  <c r="BM163" i="1"/>
  <c r="DS162" i="1"/>
  <c r="DR162" i="1"/>
  <c r="DQ162" i="1"/>
  <c r="DK162" i="1"/>
  <c r="DJ162" i="1"/>
  <c r="DD162" i="1"/>
  <c r="DC162" i="1"/>
  <c r="CW162" i="1"/>
  <c r="CV162" i="1"/>
  <c r="CP162" i="1"/>
  <c r="CO162" i="1"/>
  <c r="CN162" i="1"/>
  <c r="CM162" i="1"/>
  <c r="CL162" i="1"/>
  <c r="CF162" i="1"/>
  <c r="CE162" i="1"/>
  <c r="CD162" i="1"/>
  <c r="CC162" i="1"/>
  <c r="CB162" i="1"/>
  <c r="BV162" i="1"/>
  <c r="BS162" i="1"/>
  <c r="BR162" i="1"/>
  <c r="BQ162" i="1"/>
  <c r="BP162" i="1"/>
  <c r="BO162" i="1"/>
  <c r="BN162" i="1"/>
  <c r="BM162" i="1"/>
  <c r="DS161" i="1"/>
  <c r="DR161" i="1"/>
  <c r="DQ161" i="1"/>
  <c r="DK161" i="1"/>
  <c r="DJ161" i="1"/>
  <c r="DD161" i="1"/>
  <c r="DC161" i="1"/>
  <c r="CW161" i="1"/>
  <c r="CV161" i="1"/>
  <c r="CP161" i="1"/>
  <c r="CO161" i="1"/>
  <c r="CN161" i="1"/>
  <c r="CM161" i="1"/>
  <c r="CL161" i="1"/>
  <c r="CF161" i="1"/>
  <c r="CE161" i="1"/>
  <c r="CD161" i="1"/>
  <c r="CC161" i="1"/>
  <c r="CB161" i="1"/>
  <c r="BV161" i="1"/>
  <c r="BS161" i="1"/>
  <c r="BR161" i="1"/>
  <c r="BQ161" i="1"/>
  <c r="BP161" i="1"/>
  <c r="BO161" i="1"/>
  <c r="BN161" i="1"/>
  <c r="BM161" i="1"/>
  <c r="DS160" i="1"/>
  <c r="DR160" i="1"/>
  <c r="DQ160" i="1"/>
  <c r="DK160" i="1"/>
  <c r="DJ160" i="1"/>
  <c r="DD160" i="1"/>
  <c r="DC160" i="1"/>
  <c r="CW160" i="1"/>
  <c r="CV160" i="1"/>
  <c r="CP160" i="1"/>
  <c r="CO160" i="1"/>
  <c r="CN160" i="1"/>
  <c r="CM160" i="1"/>
  <c r="CL160" i="1"/>
  <c r="CF160" i="1"/>
  <c r="CE160" i="1"/>
  <c r="CD160" i="1"/>
  <c r="CC160" i="1"/>
  <c r="CB160" i="1"/>
  <c r="BV160" i="1"/>
  <c r="BS160" i="1"/>
  <c r="BR160" i="1"/>
  <c r="BQ160" i="1"/>
  <c r="BP160" i="1"/>
  <c r="BO160" i="1"/>
  <c r="BN160" i="1"/>
  <c r="BM160" i="1"/>
  <c r="DS159" i="1"/>
  <c r="DR159" i="1"/>
  <c r="DQ159" i="1"/>
  <c r="DK159" i="1"/>
  <c r="DJ159" i="1"/>
  <c r="DD159" i="1"/>
  <c r="DC159" i="1"/>
  <c r="CW159" i="1"/>
  <c r="CV159" i="1"/>
  <c r="CP159" i="1"/>
  <c r="CO159" i="1"/>
  <c r="CN159" i="1"/>
  <c r="CM159" i="1"/>
  <c r="CL159" i="1"/>
  <c r="CF159" i="1"/>
  <c r="CE159" i="1"/>
  <c r="CD159" i="1"/>
  <c r="CC159" i="1"/>
  <c r="CB159" i="1"/>
  <c r="BV159" i="1"/>
  <c r="BS159" i="1"/>
  <c r="BR159" i="1"/>
  <c r="BQ159" i="1"/>
  <c r="BP159" i="1"/>
  <c r="BO159" i="1"/>
  <c r="BN159" i="1"/>
  <c r="BM159" i="1"/>
  <c r="DS158" i="1"/>
  <c r="DR158" i="1"/>
  <c r="DQ158" i="1"/>
  <c r="DK158" i="1"/>
  <c r="DJ158" i="1"/>
  <c r="DD158" i="1"/>
  <c r="DC158" i="1"/>
  <c r="CW158" i="1"/>
  <c r="CV158" i="1"/>
  <c r="CP158" i="1"/>
  <c r="CO158" i="1"/>
  <c r="CN158" i="1"/>
  <c r="CM158" i="1"/>
  <c r="CL158" i="1"/>
  <c r="CF158" i="1"/>
  <c r="CE158" i="1"/>
  <c r="CD158" i="1"/>
  <c r="CC158" i="1"/>
  <c r="CB158" i="1"/>
  <c r="BV158" i="1"/>
  <c r="BS158" i="1"/>
  <c r="BR158" i="1"/>
  <c r="BQ158" i="1"/>
  <c r="BP158" i="1"/>
  <c r="BO158" i="1"/>
  <c r="BN158" i="1"/>
  <c r="BM158" i="1"/>
  <c r="DS157" i="1"/>
  <c r="DR157" i="1"/>
  <c r="DQ157" i="1"/>
  <c r="DK157" i="1"/>
  <c r="DJ157" i="1"/>
  <c r="DD157" i="1"/>
  <c r="DC157" i="1"/>
  <c r="CW157" i="1"/>
  <c r="CV157" i="1"/>
  <c r="CP157" i="1"/>
  <c r="CO157" i="1"/>
  <c r="CN157" i="1"/>
  <c r="CM157" i="1"/>
  <c r="CL157" i="1"/>
  <c r="CF157" i="1"/>
  <c r="CE157" i="1"/>
  <c r="CD157" i="1"/>
  <c r="CC157" i="1"/>
  <c r="CB157" i="1"/>
  <c r="BV157" i="1"/>
  <c r="BS157" i="1"/>
  <c r="BR157" i="1"/>
  <c r="BQ157" i="1"/>
  <c r="BP157" i="1"/>
  <c r="BO157" i="1"/>
  <c r="BN157" i="1"/>
  <c r="BM157" i="1"/>
  <c r="DS156" i="1"/>
  <c r="DR156" i="1"/>
  <c r="DQ156" i="1"/>
  <c r="DK156" i="1"/>
  <c r="DJ156" i="1"/>
  <c r="DD156" i="1"/>
  <c r="DC156" i="1"/>
  <c r="CW156" i="1"/>
  <c r="CV156" i="1"/>
  <c r="CP156" i="1"/>
  <c r="CO156" i="1"/>
  <c r="CN156" i="1"/>
  <c r="CM156" i="1"/>
  <c r="CL156" i="1"/>
  <c r="CF156" i="1"/>
  <c r="CE156" i="1"/>
  <c r="CD156" i="1"/>
  <c r="CC156" i="1"/>
  <c r="CB156" i="1"/>
  <c r="BV156" i="1"/>
  <c r="BS156" i="1"/>
  <c r="BR156" i="1"/>
  <c r="BQ156" i="1"/>
  <c r="BP156" i="1"/>
  <c r="BO156" i="1"/>
  <c r="BN156" i="1"/>
  <c r="BM156" i="1"/>
  <c r="DS155" i="1"/>
  <c r="DR155" i="1"/>
  <c r="DQ155" i="1"/>
  <c r="DK155" i="1"/>
  <c r="DJ155" i="1"/>
  <c r="DD155" i="1"/>
  <c r="DC155" i="1"/>
  <c r="CW155" i="1"/>
  <c r="CV155" i="1"/>
  <c r="CP155" i="1"/>
  <c r="CO155" i="1"/>
  <c r="CN155" i="1"/>
  <c r="CM155" i="1"/>
  <c r="CL155" i="1"/>
  <c r="CF155" i="1"/>
  <c r="CE155" i="1"/>
  <c r="CD155" i="1"/>
  <c r="CC155" i="1"/>
  <c r="CB155" i="1"/>
  <c r="BV155" i="1"/>
  <c r="BS155" i="1"/>
  <c r="BR155" i="1"/>
  <c r="BQ155" i="1"/>
  <c r="BP155" i="1"/>
  <c r="BO155" i="1"/>
  <c r="BN155" i="1"/>
  <c r="BM155" i="1"/>
  <c r="DS154" i="1"/>
  <c r="DR154" i="1"/>
  <c r="DQ154" i="1"/>
  <c r="DK154" i="1"/>
  <c r="DJ154" i="1"/>
  <c r="DD154" i="1"/>
  <c r="DC154" i="1"/>
  <c r="CW154" i="1"/>
  <c r="CV154" i="1"/>
  <c r="CP154" i="1"/>
  <c r="CO154" i="1"/>
  <c r="CN154" i="1"/>
  <c r="CM154" i="1"/>
  <c r="CL154" i="1"/>
  <c r="CF154" i="1"/>
  <c r="CE154" i="1"/>
  <c r="CD154" i="1"/>
  <c r="CC154" i="1"/>
  <c r="CB154" i="1"/>
  <c r="BV154" i="1"/>
  <c r="BS154" i="1"/>
  <c r="BR154" i="1"/>
  <c r="BQ154" i="1"/>
  <c r="BP154" i="1"/>
  <c r="BO154" i="1"/>
  <c r="BN154" i="1"/>
  <c r="BM154" i="1"/>
  <c r="DS153" i="1"/>
  <c r="DR153" i="1"/>
  <c r="DQ153" i="1"/>
  <c r="DK153" i="1"/>
  <c r="DJ153" i="1"/>
  <c r="DD153" i="1"/>
  <c r="DC153" i="1"/>
  <c r="CW153" i="1"/>
  <c r="CV153" i="1"/>
  <c r="CP153" i="1"/>
  <c r="CO153" i="1"/>
  <c r="CN153" i="1"/>
  <c r="CM153" i="1"/>
  <c r="CL153" i="1"/>
  <c r="CF153" i="1"/>
  <c r="CE153" i="1"/>
  <c r="CD153" i="1"/>
  <c r="CC153" i="1"/>
  <c r="CB153" i="1"/>
  <c r="BV153" i="1"/>
  <c r="BS153" i="1"/>
  <c r="BR153" i="1"/>
  <c r="BQ153" i="1"/>
  <c r="BP153" i="1"/>
  <c r="BO153" i="1"/>
  <c r="BN153" i="1"/>
  <c r="BM153" i="1"/>
  <c r="DS152" i="1"/>
  <c r="DR152" i="1"/>
  <c r="DQ152" i="1"/>
  <c r="DK152" i="1"/>
  <c r="DJ152" i="1"/>
  <c r="DD152" i="1"/>
  <c r="DC152" i="1"/>
  <c r="CW152" i="1"/>
  <c r="CV152" i="1"/>
  <c r="CP152" i="1"/>
  <c r="CO152" i="1"/>
  <c r="CN152" i="1"/>
  <c r="CM152" i="1"/>
  <c r="CL152" i="1"/>
  <c r="CF152" i="1"/>
  <c r="CE152" i="1"/>
  <c r="CD152" i="1"/>
  <c r="CC152" i="1"/>
  <c r="CB152" i="1"/>
  <c r="BV152" i="1"/>
  <c r="BS152" i="1"/>
  <c r="BR152" i="1"/>
  <c r="BQ152" i="1"/>
  <c r="BP152" i="1"/>
  <c r="BO152" i="1"/>
  <c r="BN152" i="1"/>
  <c r="BM152" i="1"/>
  <c r="DS151" i="1"/>
  <c r="DR151" i="1"/>
  <c r="DQ151" i="1"/>
  <c r="DK151" i="1"/>
  <c r="DJ151" i="1"/>
  <c r="DD151" i="1"/>
  <c r="DC151" i="1"/>
  <c r="CW151" i="1"/>
  <c r="CV151" i="1"/>
  <c r="CP151" i="1"/>
  <c r="CO151" i="1"/>
  <c r="CN151" i="1"/>
  <c r="CM151" i="1"/>
  <c r="CL151" i="1"/>
  <c r="CF151" i="1"/>
  <c r="CE151" i="1"/>
  <c r="CD151" i="1"/>
  <c r="CC151" i="1"/>
  <c r="CB151" i="1"/>
  <c r="BV151" i="1"/>
  <c r="BS151" i="1"/>
  <c r="BR151" i="1"/>
  <c r="BQ151" i="1"/>
  <c r="BP151" i="1"/>
  <c r="BO151" i="1"/>
  <c r="BN151" i="1"/>
  <c r="BM151" i="1"/>
  <c r="DS150" i="1"/>
  <c r="DR150" i="1"/>
  <c r="DQ150" i="1"/>
  <c r="DK150" i="1"/>
  <c r="DJ150" i="1"/>
  <c r="DD150" i="1"/>
  <c r="DC150" i="1"/>
  <c r="CW150" i="1"/>
  <c r="CV150" i="1"/>
  <c r="CP150" i="1"/>
  <c r="CO150" i="1"/>
  <c r="CN150" i="1"/>
  <c r="CM150" i="1"/>
  <c r="CL150" i="1"/>
  <c r="CF150" i="1"/>
  <c r="CE150" i="1"/>
  <c r="CD150" i="1"/>
  <c r="CC150" i="1"/>
  <c r="CB150" i="1"/>
  <c r="BV150" i="1"/>
  <c r="BS150" i="1"/>
  <c r="BR150" i="1"/>
  <c r="BQ150" i="1"/>
  <c r="BP150" i="1"/>
  <c r="BO150" i="1"/>
  <c r="BN150" i="1"/>
  <c r="BM150" i="1"/>
  <c r="DS149" i="1"/>
  <c r="DR149" i="1"/>
  <c r="DQ149" i="1"/>
  <c r="DK149" i="1"/>
  <c r="DJ149" i="1"/>
  <c r="DD149" i="1"/>
  <c r="DC149" i="1"/>
  <c r="CW149" i="1"/>
  <c r="CV149" i="1"/>
  <c r="CP149" i="1"/>
  <c r="CO149" i="1"/>
  <c r="CN149" i="1"/>
  <c r="CM149" i="1"/>
  <c r="CL149" i="1"/>
  <c r="CF149" i="1"/>
  <c r="CE149" i="1"/>
  <c r="CD149" i="1"/>
  <c r="CC149" i="1"/>
  <c r="CB149" i="1"/>
  <c r="BV149" i="1"/>
  <c r="BS149" i="1"/>
  <c r="BR149" i="1"/>
  <c r="BQ149" i="1"/>
  <c r="BP149" i="1"/>
  <c r="BO149" i="1"/>
  <c r="BN149" i="1"/>
  <c r="BM149" i="1"/>
  <c r="DS148" i="1"/>
  <c r="DR148" i="1"/>
  <c r="DQ148" i="1"/>
  <c r="DK148" i="1"/>
  <c r="DJ148" i="1"/>
  <c r="DD148" i="1"/>
  <c r="DC148" i="1"/>
  <c r="CW148" i="1"/>
  <c r="CV148" i="1"/>
  <c r="CP148" i="1"/>
  <c r="CO148" i="1"/>
  <c r="CN148" i="1"/>
  <c r="CM148" i="1"/>
  <c r="CL148" i="1"/>
  <c r="CF148" i="1"/>
  <c r="CE148" i="1"/>
  <c r="CD148" i="1"/>
  <c r="CC148" i="1"/>
  <c r="CB148" i="1"/>
  <c r="BV148" i="1"/>
  <c r="BS148" i="1"/>
  <c r="BR148" i="1"/>
  <c r="BQ148" i="1"/>
  <c r="BP148" i="1"/>
  <c r="BO148" i="1"/>
  <c r="BN148" i="1"/>
  <c r="BM148" i="1"/>
  <c r="DS147" i="1"/>
  <c r="DR147" i="1"/>
  <c r="DQ147" i="1"/>
  <c r="DK147" i="1"/>
  <c r="DJ147" i="1"/>
  <c r="DD147" i="1"/>
  <c r="DC147" i="1"/>
  <c r="CW147" i="1"/>
  <c r="CV147" i="1"/>
  <c r="CP147" i="1"/>
  <c r="CO147" i="1"/>
  <c r="CN147" i="1"/>
  <c r="CM147" i="1"/>
  <c r="CL147" i="1"/>
  <c r="CF147" i="1"/>
  <c r="CE147" i="1"/>
  <c r="CD147" i="1"/>
  <c r="CC147" i="1"/>
  <c r="CB147" i="1"/>
  <c r="BV147" i="1"/>
  <c r="BS147" i="1"/>
  <c r="BR147" i="1"/>
  <c r="BQ147" i="1"/>
  <c r="BP147" i="1"/>
  <c r="BO147" i="1"/>
  <c r="BN147" i="1"/>
  <c r="BM147" i="1"/>
  <c r="DS146" i="1"/>
  <c r="DR146" i="1"/>
  <c r="DQ146" i="1"/>
  <c r="DK146" i="1"/>
  <c r="DJ146" i="1"/>
  <c r="DD146" i="1"/>
  <c r="DC146" i="1"/>
  <c r="CW146" i="1"/>
  <c r="CV146" i="1"/>
  <c r="CP146" i="1"/>
  <c r="CO146" i="1"/>
  <c r="CN146" i="1"/>
  <c r="CM146" i="1"/>
  <c r="CL146" i="1"/>
  <c r="CF146" i="1"/>
  <c r="CE146" i="1"/>
  <c r="CD146" i="1"/>
  <c r="CC146" i="1"/>
  <c r="CB146" i="1"/>
  <c r="BV146" i="1"/>
  <c r="BS146" i="1"/>
  <c r="BR146" i="1"/>
  <c r="BQ146" i="1"/>
  <c r="BP146" i="1"/>
  <c r="BO146" i="1"/>
  <c r="BN146" i="1"/>
  <c r="BM146" i="1"/>
  <c r="DS145" i="1"/>
  <c r="DR145" i="1"/>
  <c r="DQ145" i="1"/>
  <c r="DK145" i="1"/>
  <c r="DJ145" i="1"/>
  <c r="DD145" i="1"/>
  <c r="DC145" i="1"/>
  <c r="CW145" i="1"/>
  <c r="CV145" i="1"/>
  <c r="CP145" i="1"/>
  <c r="CO145" i="1"/>
  <c r="CN145" i="1"/>
  <c r="CM145" i="1"/>
  <c r="CL145" i="1"/>
  <c r="CF145" i="1"/>
  <c r="CE145" i="1"/>
  <c r="CD145" i="1"/>
  <c r="CC145" i="1"/>
  <c r="CB145" i="1"/>
  <c r="BV145" i="1"/>
  <c r="BS145" i="1"/>
  <c r="BR145" i="1"/>
  <c r="BQ145" i="1"/>
  <c r="BP145" i="1"/>
  <c r="BO145" i="1"/>
  <c r="BN145" i="1"/>
  <c r="BM145" i="1"/>
  <c r="DS144" i="1"/>
  <c r="DR144" i="1"/>
  <c r="DQ144" i="1"/>
  <c r="DK144" i="1"/>
  <c r="DJ144" i="1"/>
  <c r="DD144" i="1"/>
  <c r="DC144" i="1"/>
  <c r="CW144" i="1"/>
  <c r="CV144" i="1"/>
  <c r="CP144" i="1"/>
  <c r="CO144" i="1"/>
  <c r="CN144" i="1"/>
  <c r="CM144" i="1"/>
  <c r="CL144" i="1"/>
  <c r="CF144" i="1"/>
  <c r="CE144" i="1"/>
  <c r="CD144" i="1"/>
  <c r="CC144" i="1"/>
  <c r="CB144" i="1"/>
  <c r="BV144" i="1"/>
  <c r="BS144" i="1"/>
  <c r="BR144" i="1"/>
  <c r="BQ144" i="1"/>
  <c r="BP144" i="1"/>
  <c r="BO144" i="1"/>
  <c r="BN144" i="1"/>
  <c r="BM144" i="1"/>
  <c r="DS143" i="1"/>
  <c r="DR143" i="1"/>
  <c r="DQ143" i="1"/>
  <c r="DK143" i="1"/>
  <c r="DJ143" i="1"/>
  <c r="DD143" i="1"/>
  <c r="DC143" i="1"/>
  <c r="CW143" i="1"/>
  <c r="CV143" i="1"/>
  <c r="CP143" i="1"/>
  <c r="CO143" i="1"/>
  <c r="CN143" i="1"/>
  <c r="CM143" i="1"/>
  <c r="CL143" i="1"/>
  <c r="CF143" i="1"/>
  <c r="CE143" i="1"/>
  <c r="CD143" i="1"/>
  <c r="CC143" i="1"/>
  <c r="CB143" i="1"/>
  <c r="BV143" i="1"/>
  <c r="BS143" i="1"/>
  <c r="BR143" i="1"/>
  <c r="BQ143" i="1"/>
  <c r="BP143" i="1"/>
  <c r="BO143" i="1"/>
  <c r="BN143" i="1"/>
  <c r="BM143" i="1"/>
  <c r="DS142" i="1"/>
  <c r="DR142" i="1"/>
  <c r="DQ142" i="1"/>
  <c r="DK142" i="1"/>
  <c r="DJ142" i="1"/>
  <c r="DD142" i="1"/>
  <c r="DC142" i="1"/>
  <c r="CW142" i="1"/>
  <c r="CV142" i="1"/>
  <c r="CP142" i="1"/>
  <c r="CO142" i="1"/>
  <c r="CN142" i="1"/>
  <c r="CM142" i="1"/>
  <c r="CL142" i="1"/>
  <c r="CF142" i="1"/>
  <c r="CE142" i="1"/>
  <c r="CD142" i="1"/>
  <c r="CC142" i="1"/>
  <c r="CB142" i="1"/>
  <c r="BV142" i="1"/>
  <c r="BS142" i="1"/>
  <c r="BR142" i="1"/>
  <c r="BQ142" i="1"/>
  <c r="BP142" i="1"/>
  <c r="BO142" i="1"/>
  <c r="BN142" i="1"/>
  <c r="BM142" i="1"/>
  <c r="DS141" i="1"/>
  <c r="DR141" i="1"/>
  <c r="DQ141" i="1"/>
  <c r="DK141" i="1"/>
  <c r="DJ141" i="1"/>
  <c r="DD141" i="1"/>
  <c r="DC141" i="1"/>
  <c r="CW141" i="1"/>
  <c r="CV141" i="1"/>
  <c r="CP141" i="1"/>
  <c r="CO141" i="1"/>
  <c r="CN141" i="1"/>
  <c r="CM141" i="1"/>
  <c r="CL141" i="1"/>
  <c r="CF141" i="1"/>
  <c r="CE141" i="1"/>
  <c r="CD141" i="1"/>
  <c r="CC141" i="1"/>
  <c r="CB141" i="1"/>
  <c r="BV141" i="1"/>
  <c r="BS141" i="1"/>
  <c r="BR141" i="1"/>
  <c r="BQ141" i="1"/>
  <c r="BP141" i="1"/>
  <c r="BO141" i="1"/>
  <c r="BN141" i="1"/>
  <c r="BM141" i="1"/>
  <c r="DS140" i="1"/>
  <c r="DR140" i="1"/>
  <c r="DQ140" i="1"/>
  <c r="DK140" i="1"/>
  <c r="DJ140" i="1"/>
  <c r="DD140" i="1"/>
  <c r="DC140" i="1"/>
  <c r="CW140" i="1"/>
  <c r="CV140" i="1"/>
  <c r="CP140" i="1"/>
  <c r="CO140" i="1"/>
  <c r="CN140" i="1"/>
  <c r="CM140" i="1"/>
  <c r="CL140" i="1"/>
  <c r="CF140" i="1"/>
  <c r="CE140" i="1"/>
  <c r="CD140" i="1"/>
  <c r="CC140" i="1"/>
  <c r="CB140" i="1"/>
  <c r="BV140" i="1"/>
  <c r="BS140" i="1"/>
  <c r="BR140" i="1"/>
  <c r="BQ140" i="1"/>
  <c r="BP140" i="1"/>
  <c r="BO140" i="1"/>
  <c r="BN140" i="1"/>
  <c r="BM140" i="1"/>
  <c r="DS139" i="1"/>
  <c r="DR139" i="1"/>
  <c r="DQ139" i="1"/>
  <c r="DK139" i="1"/>
  <c r="DJ139" i="1"/>
  <c r="DD139" i="1"/>
  <c r="DC139" i="1"/>
  <c r="CW139" i="1"/>
  <c r="CV139" i="1"/>
  <c r="CP139" i="1"/>
  <c r="CO139" i="1"/>
  <c r="CN139" i="1"/>
  <c r="CM139" i="1"/>
  <c r="CL139" i="1"/>
  <c r="CF139" i="1"/>
  <c r="CE139" i="1"/>
  <c r="CD139" i="1"/>
  <c r="CC139" i="1"/>
  <c r="CB139" i="1"/>
  <c r="BV139" i="1"/>
  <c r="BS139" i="1"/>
  <c r="BR139" i="1"/>
  <c r="BQ139" i="1"/>
  <c r="BP139" i="1"/>
  <c r="BO139" i="1"/>
  <c r="BN139" i="1"/>
  <c r="BM139" i="1"/>
  <c r="DS138" i="1"/>
  <c r="DR138" i="1"/>
  <c r="DQ138" i="1"/>
  <c r="DK138" i="1"/>
  <c r="DJ138" i="1"/>
  <c r="DD138" i="1"/>
  <c r="DC138" i="1"/>
  <c r="CW138" i="1"/>
  <c r="CV138" i="1"/>
  <c r="CP138" i="1"/>
  <c r="CO138" i="1"/>
  <c r="CN138" i="1"/>
  <c r="CM138" i="1"/>
  <c r="CL138" i="1"/>
  <c r="CF138" i="1"/>
  <c r="CE138" i="1"/>
  <c r="CD138" i="1"/>
  <c r="CC138" i="1"/>
  <c r="CB138" i="1"/>
  <c r="BV138" i="1"/>
  <c r="BS138" i="1"/>
  <c r="BR138" i="1"/>
  <c r="BQ138" i="1"/>
  <c r="BP138" i="1"/>
  <c r="BO138" i="1"/>
  <c r="BN138" i="1"/>
  <c r="BM138" i="1"/>
  <c r="DS137" i="1"/>
  <c r="DR137" i="1"/>
  <c r="DQ137" i="1"/>
  <c r="DK137" i="1"/>
  <c r="DJ137" i="1"/>
  <c r="DD137" i="1"/>
  <c r="DC137" i="1"/>
  <c r="CW137" i="1"/>
  <c r="CV137" i="1"/>
  <c r="CP137" i="1"/>
  <c r="CO137" i="1"/>
  <c r="CN137" i="1"/>
  <c r="CM137" i="1"/>
  <c r="CL137" i="1"/>
  <c r="CF137" i="1"/>
  <c r="CE137" i="1"/>
  <c r="CD137" i="1"/>
  <c r="CC137" i="1"/>
  <c r="CB137" i="1"/>
  <c r="BV137" i="1"/>
  <c r="BS137" i="1"/>
  <c r="BR137" i="1"/>
  <c r="BQ137" i="1"/>
  <c r="BP137" i="1"/>
  <c r="BO137" i="1"/>
  <c r="BN137" i="1"/>
  <c r="BM137" i="1"/>
  <c r="DS136" i="1"/>
  <c r="DR136" i="1"/>
  <c r="DQ136" i="1"/>
  <c r="DK136" i="1"/>
  <c r="DJ136" i="1"/>
  <c r="DD136" i="1"/>
  <c r="DC136" i="1"/>
  <c r="CW136" i="1"/>
  <c r="CV136" i="1"/>
  <c r="CP136" i="1"/>
  <c r="CO136" i="1"/>
  <c r="CN136" i="1"/>
  <c r="CM136" i="1"/>
  <c r="CL136" i="1"/>
  <c r="CF136" i="1"/>
  <c r="CE136" i="1"/>
  <c r="CD136" i="1"/>
  <c r="CC136" i="1"/>
  <c r="CB136" i="1"/>
  <c r="BV136" i="1"/>
  <c r="BS136" i="1"/>
  <c r="BR136" i="1"/>
  <c r="BQ136" i="1"/>
  <c r="BP136" i="1"/>
  <c r="BO136" i="1"/>
  <c r="BN136" i="1"/>
  <c r="BM136" i="1"/>
  <c r="DS135" i="1"/>
  <c r="DR135" i="1"/>
  <c r="DQ135" i="1"/>
  <c r="DK135" i="1"/>
  <c r="DJ135" i="1"/>
  <c r="DD135" i="1"/>
  <c r="DC135" i="1"/>
  <c r="CW135" i="1"/>
  <c r="CV135" i="1"/>
  <c r="CP135" i="1"/>
  <c r="CO135" i="1"/>
  <c r="CN135" i="1"/>
  <c r="CM135" i="1"/>
  <c r="CL135" i="1"/>
  <c r="CF135" i="1"/>
  <c r="CE135" i="1"/>
  <c r="CD135" i="1"/>
  <c r="CC135" i="1"/>
  <c r="CB135" i="1"/>
  <c r="BV135" i="1"/>
  <c r="BS135" i="1"/>
  <c r="BR135" i="1"/>
  <c r="BQ135" i="1"/>
  <c r="BP135" i="1"/>
  <c r="BO135" i="1"/>
  <c r="BN135" i="1"/>
  <c r="BM135" i="1"/>
  <c r="DS134" i="1"/>
  <c r="DR134" i="1"/>
  <c r="DQ134" i="1"/>
  <c r="DK134" i="1"/>
  <c r="DJ134" i="1"/>
  <c r="DD134" i="1"/>
  <c r="DC134" i="1"/>
  <c r="CW134" i="1"/>
  <c r="CV134" i="1"/>
  <c r="CP134" i="1"/>
  <c r="CO134" i="1"/>
  <c r="CN134" i="1"/>
  <c r="CM134" i="1"/>
  <c r="CL134" i="1"/>
  <c r="CF134" i="1"/>
  <c r="CE134" i="1"/>
  <c r="CD134" i="1"/>
  <c r="CC134" i="1"/>
  <c r="CB134" i="1"/>
  <c r="BV134" i="1"/>
  <c r="BS134" i="1"/>
  <c r="BR134" i="1"/>
  <c r="BQ134" i="1"/>
  <c r="BP134" i="1"/>
  <c r="BO134" i="1"/>
  <c r="BN134" i="1"/>
  <c r="BM134" i="1"/>
  <c r="DS133" i="1"/>
  <c r="DR133" i="1"/>
  <c r="DQ133" i="1"/>
  <c r="DK133" i="1"/>
  <c r="DJ133" i="1"/>
  <c r="DD133" i="1"/>
  <c r="DC133" i="1"/>
  <c r="CW133" i="1"/>
  <c r="CV133" i="1"/>
  <c r="CP133" i="1"/>
  <c r="CO133" i="1"/>
  <c r="CN133" i="1"/>
  <c r="CM133" i="1"/>
  <c r="CL133" i="1"/>
  <c r="CF133" i="1"/>
  <c r="CE133" i="1"/>
  <c r="CD133" i="1"/>
  <c r="CC133" i="1"/>
  <c r="CB133" i="1"/>
  <c r="BV133" i="1"/>
  <c r="BS133" i="1"/>
  <c r="BR133" i="1"/>
  <c r="BQ133" i="1"/>
  <c r="BP133" i="1"/>
  <c r="BO133" i="1"/>
  <c r="BN133" i="1"/>
  <c r="BM133" i="1"/>
  <c r="DS132" i="1"/>
  <c r="DR132" i="1"/>
  <c r="DQ132" i="1"/>
  <c r="DK132" i="1"/>
  <c r="DJ132" i="1"/>
  <c r="DD132" i="1"/>
  <c r="DC132" i="1"/>
  <c r="CW132" i="1"/>
  <c r="CV132" i="1"/>
  <c r="CP132" i="1"/>
  <c r="CO132" i="1"/>
  <c r="CN132" i="1"/>
  <c r="CM132" i="1"/>
  <c r="CL132" i="1"/>
  <c r="CF132" i="1"/>
  <c r="CE132" i="1"/>
  <c r="CD132" i="1"/>
  <c r="CC132" i="1"/>
  <c r="CB132" i="1"/>
  <c r="BV132" i="1"/>
  <c r="BS132" i="1"/>
  <c r="BR132" i="1"/>
  <c r="BQ132" i="1"/>
  <c r="BP132" i="1"/>
  <c r="BO132" i="1"/>
  <c r="BN132" i="1"/>
  <c r="BM132" i="1"/>
  <c r="DS131" i="1"/>
  <c r="DR131" i="1"/>
  <c r="DQ131" i="1"/>
  <c r="DK131" i="1"/>
  <c r="DJ131" i="1"/>
  <c r="DD131" i="1"/>
  <c r="DC131" i="1"/>
  <c r="CW131" i="1"/>
  <c r="CV131" i="1"/>
  <c r="CP131" i="1"/>
  <c r="CO131" i="1"/>
  <c r="CN131" i="1"/>
  <c r="CM131" i="1"/>
  <c r="CL131" i="1"/>
  <c r="CF131" i="1"/>
  <c r="CE131" i="1"/>
  <c r="CD131" i="1"/>
  <c r="CC131" i="1"/>
  <c r="CB131" i="1"/>
  <c r="BV131" i="1"/>
  <c r="BS131" i="1"/>
  <c r="BR131" i="1"/>
  <c r="BQ131" i="1"/>
  <c r="BP131" i="1"/>
  <c r="BO131" i="1"/>
  <c r="BN131" i="1"/>
  <c r="BM131" i="1"/>
  <c r="DS130" i="1"/>
  <c r="DR130" i="1"/>
  <c r="DQ130" i="1"/>
  <c r="DK130" i="1"/>
  <c r="DJ130" i="1"/>
  <c r="DD130" i="1"/>
  <c r="DC130" i="1"/>
  <c r="CW130" i="1"/>
  <c r="CV130" i="1"/>
  <c r="CP130" i="1"/>
  <c r="CO130" i="1"/>
  <c r="CN130" i="1"/>
  <c r="CM130" i="1"/>
  <c r="CL130" i="1"/>
  <c r="CF130" i="1"/>
  <c r="CE130" i="1"/>
  <c r="CD130" i="1"/>
  <c r="CC130" i="1"/>
  <c r="CB130" i="1"/>
  <c r="BV130" i="1"/>
  <c r="BS130" i="1"/>
  <c r="BR130" i="1"/>
  <c r="BQ130" i="1"/>
  <c r="BP130" i="1"/>
  <c r="BO130" i="1"/>
  <c r="BN130" i="1"/>
  <c r="BM130" i="1"/>
  <c r="DS129" i="1"/>
  <c r="DR129" i="1"/>
  <c r="DQ129" i="1"/>
  <c r="DK129" i="1"/>
  <c r="DJ129" i="1"/>
  <c r="DD129" i="1"/>
  <c r="DC129" i="1"/>
  <c r="CW129" i="1"/>
  <c r="CV129" i="1"/>
  <c r="CP129" i="1"/>
  <c r="CO129" i="1"/>
  <c r="CN129" i="1"/>
  <c r="CM129" i="1"/>
  <c r="CL129" i="1"/>
  <c r="CF129" i="1"/>
  <c r="CE129" i="1"/>
  <c r="CD129" i="1"/>
  <c r="CC129" i="1"/>
  <c r="CB129" i="1"/>
  <c r="BV129" i="1"/>
  <c r="BS129" i="1"/>
  <c r="BR129" i="1"/>
  <c r="BQ129" i="1"/>
  <c r="BP129" i="1"/>
  <c r="BO129" i="1"/>
  <c r="BN129" i="1"/>
  <c r="BM129" i="1"/>
  <c r="DS128" i="1"/>
  <c r="DR128" i="1"/>
  <c r="DQ128" i="1"/>
  <c r="DK128" i="1"/>
  <c r="DJ128" i="1"/>
  <c r="DD128" i="1"/>
  <c r="DC128" i="1"/>
  <c r="CW128" i="1"/>
  <c r="CV128" i="1"/>
  <c r="CP128" i="1"/>
  <c r="CO128" i="1"/>
  <c r="CN128" i="1"/>
  <c r="CM128" i="1"/>
  <c r="CL128" i="1"/>
  <c r="CF128" i="1"/>
  <c r="CE128" i="1"/>
  <c r="CD128" i="1"/>
  <c r="CC128" i="1"/>
  <c r="CB128" i="1"/>
  <c r="BV128" i="1"/>
  <c r="BS128" i="1"/>
  <c r="BR128" i="1"/>
  <c r="BQ128" i="1"/>
  <c r="BP128" i="1"/>
  <c r="BO128" i="1"/>
  <c r="BN128" i="1"/>
  <c r="BM128" i="1"/>
  <c r="DS127" i="1"/>
  <c r="DR127" i="1"/>
  <c r="DQ127" i="1"/>
  <c r="DK127" i="1"/>
  <c r="DJ127" i="1"/>
  <c r="DD127" i="1"/>
  <c r="DC127" i="1"/>
  <c r="CW127" i="1"/>
  <c r="CV127" i="1"/>
  <c r="CP127" i="1"/>
  <c r="CO127" i="1"/>
  <c r="CN127" i="1"/>
  <c r="CM127" i="1"/>
  <c r="CL127" i="1"/>
  <c r="CF127" i="1"/>
  <c r="CE127" i="1"/>
  <c r="CD127" i="1"/>
  <c r="CC127" i="1"/>
  <c r="CB127" i="1"/>
  <c r="BV127" i="1"/>
  <c r="BS127" i="1"/>
  <c r="BR127" i="1"/>
  <c r="BQ127" i="1"/>
  <c r="BP127" i="1"/>
  <c r="BO127" i="1"/>
  <c r="BN127" i="1"/>
  <c r="BM127" i="1"/>
  <c r="DS126" i="1"/>
  <c r="DR126" i="1"/>
  <c r="DQ126" i="1"/>
  <c r="DK126" i="1"/>
  <c r="DJ126" i="1"/>
  <c r="DD126" i="1"/>
  <c r="DC126" i="1"/>
  <c r="CW126" i="1"/>
  <c r="CV126" i="1"/>
  <c r="CP126" i="1"/>
  <c r="CO126" i="1"/>
  <c r="CN126" i="1"/>
  <c r="CM126" i="1"/>
  <c r="CL126" i="1"/>
  <c r="CF126" i="1"/>
  <c r="CE126" i="1"/>
  <c r="CD126" i="1"/>
  <c r="CC126" i="1"/>
  <c r="CB126" i="1"/>
  <c r="BV126" i="1"/>
  <c r="BS126" i="1"/>
  <c r="BR126" i="1"/>
  <c r="BQ126" i="1"/>
  <c r="BP126" i="1"/>
  <c r="BO126" i="1"/>
  <c r="BN126" i="1"/>
  <c r="BM126" i="1"/>
  <c r="DS125" i="1"/>
  <c r="DR125" i="1"/>
  <c r="DQ125" i="1"/>
  <c r="DK125" i="1"/>
  <c r="DJ125" i="1"/>
  <c r="DD125" i="1"/>
  <c r="DC125" i="1"/>
  <c r="CW125" i="1"/>
  <c r="CV125" i="1"/>
  <c r="CP125" i="1"/>
  <c r="CO125" i="1"/>
  <c r="CN125" i="1"/>
  <c r="CM125" i="1"/>
  <c r="CL125" i="1"/>
  <c r="CF125" i="1"/>
  <c r="CE125" i="1"/>
  <c r="CD125" i="1"/>
  <c r="CC125" i="1"/>
  <c r="CB125" i="1"/>
  <c r="BV125" i="1"/>
  <c r="BS125" i="1"/>
  <c r="BR125" i="1"/>
  <c r="BQ125" i="1"/>
  <c r="BP125" i="1"/>
  <c r="BO125" i="1"/>
  <c r="BN125" i="1"/>
  <c r="BM125" i="1"/>
  <c r="DS124" i="1"/>
  <c r="DR124" i="1"/>
  <c r="DQ124" i="1"/>
  <c r="DK124" i="1"/>
  <c r="DJ124" i="1"/>
  <c r="DD124" i="1"/>
  <c r="DC124" i="1"/>
  <c r="CW124" i="1"/>
  <c r="CV124" i="1"/>
  <c r="CP124" i="1"/>
  <c r="CO124" i="1"/>
  <c r="CN124" i="1"/>
  <c r="CM124" i="1"/>
  <c r="CL124" i="1"/>
  <c r="CF124" i="1"/>
  <c r="CE124" i="1"/>
  <c r="CD124" i="1"/>
  <c r="CC124" i="1"/>
  <c r="CB124" i="1"/>
  <c r="BV124" i="1"/>
  <c r="BS124" i="1"/>
  <c r="BR124" i="1"/>
  <c r="BQ124" i="1"/>
  <c r="BP124" i="1"/>
  <c r="BO124" i="1"/>
  <c r="BN124" i="1"/>
  <c r="BM124" i="1"/>
  <c r="DS123" i="1"/>
  <c r="DR123" i="1"/>
  <c r="DQ123" i="1"/>
  <c r="DK123" i="1"/>
  <c r="DJ123" i="1"/>
  <c r="DD123" i="1"/>
  <c r="DC123" i="1"/>
  <c r="CW123" i="1"/>
  <c r="CV123" i="1"/>
  <c r="CP123" i="1"/>
  <c r="CO123" i="1"/>
  <c r="CN123" i="1"/>
  <c r="CM123" i="1"/>
  <c r="CL123" i="1"/>
  <c r="CF123" i="1"/>
  <c r="CE123" i="1"/>
  <c r="CD123" i="1"/>
  <c r="CC123" i="1"/>
  <c r="CB123" i="1"/>
  <c r="BV123" i="1"/>
  <c r="BS123" i="1"/>
  <c r="BR123" i="1"/>
  <c r="BQ123" i="1"/>
  <c r="BP123" i="1"/>
  <c r="BO123" i="1"/>
  <c r="BN123" i="1"/>
  <c r="BM123" i="1"/>
  <c r="DS122" i="1"/>
  <c r="DR122" i="1"/>
  <c r="DQ122" i="1"/>
  <c r="DK122" i="1"/>
  <c r="DJ122" i="1"/>
  <c r="DD122" i="1"/>
  <c r="DC122" i="1"/>
  <c r="CW122" i="1"/>
  <c r="CV122" i="1"/>
  <c r="CP122" i="1"/>
  <c r="CO122" i="1"/>
  <c r="CN122" i="1"/>
  <c r="CM122" i="1"/>
  <c r="CL122" i="1"/>
  <c r="CF122" i="1"/>
  <c r="CE122" i="1"/>
  <c r="CD122" i="1"/>
  <c r="CC122" i="1"/>
  <c r="CB122" i="1"/>
  <c r="BV122" i="1"/>
  <c r="BS122" i="1"/>
  <c r="BR122" i="1"/>
  <c r="BQ122" i="1"/>
  <c r="BP122" i="1"/>
  <c r="BO122" i="1"/>
  <c r="BN122" i="1"/>
  <c r="BM122" i="1"/>
  <c r="DS121" i="1"/>
  <c r="DR121" i="1"/>
  <c r="DQ121" i="1"/>
  <c r="DK121" i="1"/>
  <c r="DJ121" i="1"/>
  <c r="DD121" i="1"/>
  <c r="DC121" i="1"/>
  <c r="CW121" i="1"/>
  <c r="CV121" i="1"/>
  <c r="CP121" i="1"/>
  <c r="CO121" i="1"/>
  <c r="CN121" i="1"/>
  <c r="CM121" i="1"/>
  <c r="CL121" i="1"/>
  <c r="CF121" i="1"/>
  <c r="CE121" i="1"/>
  <c r="CD121" i="1"/>
  <c r="CC121" i="1"/>
  <c r="CB121" i="1"/>
  <c r="BV121" i="1"/>
  <c r="BS121" i="1"/>
  <c r="BR121" i="1"/>
  <c r="BQ121" i="1"/>
  <c r="BP121" i="1"/>
  <c r="BO121" i="1"/>
  <c r="BN121" i="1"/>
  <c r="BM121" i="1"/>
  <c r="DS120" i="1"/>
  <c r="DR120" i="1"/>
  <c r="DQ120" i="1"/>
  <c r="DK120" i="1"/>
  <c r="DJ120" i="1"/>
  <c r="DD120" i="1"/>
  <c r="DC120" i="1"/>
  <c r="CW120" i="1"/>
  <c r="CV120" i="1"/>
  <c r="CP120" i="1"/>
  <c r="CO120" i="1"/>
  <c r="CN120" i="1"/>
  <c r="CM120" i="1"/>
  <c r="CL120" i="1"/>
  <c r="CF120" i="1"/>
  <c r="CE120" i="1"/>
  <c r="CD120" i="1"/>
  <c r="CC120" i="1"/>
  <c r="CB120" i="1"/>
  <c r="BV120" i="1"/>
  <c r="BS120" i="1"/>
  <c r="BR120" i="1"/>
  <c r="BQ120" i="1"/>
  <c r="BP120" i="1"/>
  <c r="BO120" i="1"/>
  <c r="BN120" i="1"/>
  <c r="BM120" i="1"/>
  <c r="DS119" i="1"/>
  <c r="DR119" i="1"/>
  <c r="DQ119" i="1"/>
  <c r="DK119" i="1"/>
  <c r="DJ119" i="1"/>
  <c r="DD119" i="1"/>
  <c r="DC119" i="1"/>
  <c r="CW119" i="1"/>
  <c r="CV119" i="1"/>
  <c r="CP119" i="1"/>
  <c r="CO119" i="1"/>
  <c r="CN119" i="1"/>
  <c r="CM119" i="1"/>
  <c r="CL119" i="1"/>
  <c r="CF119" i="1"/>
  <c r="CE119" i="1"/>
  <c r="CD119" i="1"/>
  <c r="CC119" i="1"/>
  <c r="CB119" i="1"/>
  <c r="BV119" i="1"/>
  <c r="BS119" i="1"/>
  <c r="BR119" i="1"/>
  <c r="BQ119" i="1"/>
  <c r="BP119" i="1"/>
  <c r="BO119" i="1"/>
  <c r="BN119" i="1"/>
  <c r="BM119" i="1"/>
  <c r="DS118" i="1"/>
  <c r="DR118" i="1"/>
  <c r="DQ118" i="1"/>
  <c r="DD118" i="1"/>
  <c r="DC118" i="1"/>
  <c r="CW118" i="1"/>
  <c r="CV118" i="1"/>
  <c r="CP118" i="1"/>
  <c r="CO118" i="1"/>
  <c r="CN118" i="1"/>
  <c r="CM118" i="1"/>
  <c r="CL118" i="1"/>
  <c r="CF118" i="1"/>
  <c r="CE118" i="1"/>
  <c r="CD118" i="1"/>
  <c r="CC118" i="1"/>
  <c r="CB118" i="1"/>
  <c r="BV118" i="1"/>
  <c r="BS118" i="1"/>
  <c r="BR118" i="1"/>
  <c r="BQ118" i="1"/>
  <c r="BP118" i="1"/>
  <c r="BO118" i="1"/>
  <c r="BN118" i="1"/>
  <c r="BM118" i="1"/>
  <c r="DS117" i="1"/>
  <c r="DR117" i="1"/>
  <c r="DQ117" i="1"/>
  <c r="DD117" i="1"/>
  <c r="DC117" i="1"/>
  <c r="CW117" i="1"/>
  <c r="CV117" i="1"/>
  <c r="CP117" i="1"/>
  <c r="CO117" i="1"/>
  <c r="CN117" i="1"/>
  <c r="CM117" i="1"/>
  <c r="CL117" i="1"/>
  <c r="CF117" i="1"/>
  <c r="CE117" i="1"/>
  <c r="CD117" i="1"/>
  <c r="CC117" i="1"/>
  <c r="CB117" i="1"/>
  <c r="BV117" i="1"/>
  <c r="BS117" i="1"/>
  <c r="BR117" i="1"/>
  <c r="BQ117" i="1"/>
  <c r="BP117" i="1"/>
  <c r="BO117" i="1"/>
  <c r="BN117" i="1"/>
  <c r="BM117" i="1"/>
  <c r="DS116" i="1"/>
  <c r="DR116" i="1"/>
  <c r="DQ116" i="1"/>
  <c r="DD116" i="1"/>
  <c r="DC116" i="1"/>
  <c r="CW116" i="1"/>
  <c r="CV116" i="1"/>
  <c r="CP116" i="1"/>
  <c r="CO116" i="1"/>
  <c r="CN116" i="1"/>
  <c r="CM116" i="1"/>
  <c r="CL116" i="1"/>
  <c r="CF116" i="1"/>
  <c r="CE116" i="1"/>
  <c r="CD116" i="1"/>
  <c r="CC116" i="1"/>
  <c r="CB116" i="1"/>
  <c r="BV116" i="1"/>
  <c r="BS116" i="1"/>
  <c r="BR116" i="1"/>
  <c r="BQ116" i="1"/>
  <c r="BP116" i="1"/>
  <c r="BO116" i="1"/>
  <c r="BN116" i="1"/>
  <c r="BM116" i="1"/>
  <c r="DS115" i="1"/>
  <c r="DR115" i="1"/>
  <c r="DQ115" i="1"/>
  <c r="DD115" i="1"/>
  <c r="DC115" i="1"/>
  <c r="CW115" i="1"/>
  <c r="CV115" i="1"/>
  <c r="CP115" i="1"/>
  <c r="CO115" i="1"/>
  <c r="CN115" i="1"/>
  <c r="CM115" i="1"/>
  <c r="CL115" i="1"/>
  <c r="CF115" i="1"/>
  <c r="CE115" i="1"/>
  <c r="CD115" i="1"/>
  <c r="CC115" i="1"/>
  <c r="CB115" i="1"/>
  <c r="BV115" i="1"/>
  <c r="BS115" i="1"/>
  <c r="BR115" i="1"/>
  <c r="BQ115" i="1"/>
  <c r="BP115" i="1"/>
  <c r="BO115" i="1"/>
  <c r="BN115" i="1"/>
  <c r="BM115" i="1"/>
  <c r="DS114" i="1"/>
  <c r="DR114" i="1"/>
  <c r="DQ114" i="1"/>
  <c r="CW114" i="1"/>
  <c r="CV114" i="1"/>
  <c r="CP114" i="1"/>
  <c r="CO114" i="1"/>
  <c r="CN114" i="1"/>
  <c r="CM114" i="1"/>
  <c r="CL114" i="1"/>
  <c r="CF114" i="1"/>
  <c r="CE114" i="1"/>
  <c r="CD114" i="1"/>
  <c r="CC114" i="1"/>
  <c r="CB114" i="1"/>
  <c r="BV114" i="1"/>
  <c r="BS114" i="1"/>
  <c r="BR114" i="1"/>
  <c r="BQ114" i="1"/>
  <c r="BP114" i="1"/>
  <c r="BO114" i="1"/>
  <c r="BN114" i="1"/>
  <c r="BM114" i="1"/>
  <c r="DS113" i="1"/>
  <c r="DR113" i="1"/>
  <c r="DQ113" i="1"/>
  <c r="CW113" i="1"/>
  <c r="CV113" i="1"/>
  <c r="CP113" i="1"/>
  <c r="CO113" i="1"/>
  <c r="CN113" i="1"/>
  <c r="CM113" i="1"/>
  <c r="CL113" i="1"/>
  <c r="CF113" i="1"/>
  <c r="CE113" i="1"/>
  <c r="CD113" i="1"/>
  <c r="CC113" i="1"/>
  <c r="CB113" i="1"/>
  <c r="BV113" i="1"/>
  <c r="BS113" i="1"/>
  <c r="BR113" i="1"/>
  <c r="BQ113" i="1"/>
  <c r="BP113" i="1"/>
  <c r="BO113" i="1"/>
  <c r="BN113" i="1"/>
  <c r="BM113" i="1"/>
  <c r="DS112" i="1"/>
  <c r="DR112" i="1"/>
  <c r="DQ112" i="1"/>
  <c r="CW112" i="1"/>
  <c r="CV112" i="1"/>
  <c r="CP112" i="1"/>
  <c r="CO112" i="1"/>
  <c r="CN112" i="1"/>
  <c r="CM112" i="1"/>
  <c r="CL112" i="1"/>
  <c r="CF112" i="1"/>
  <c r="CE112" i="1"/>
  <c r="CD112" i="1"/>
  <c r="CC112" i="1"/>
  <c r="CB112" i="1"/>
  <c r="BV112" i="1"/>
  <c r="BS112" i="1"/>
  <c r="BR112" i="1"/>
  <c r="BQ112" i="1"/>
  <c r="BP112" i="1"/>
  <c r="BO112" i="1"/>
  <c r="BN112" i="1"/>
  <c r="BM112" i="1"/>
  <c r="DS111" i="1"/>
  <c r="DR111" i="1"/>
  <c r="DQ111" i="1"/>
  <c r="CW111" i="1"/>
  <c r="CV111" i="1"/>
  <c r="CP111" i="1"/>
  <c r="CO111" i="1"/>
  <c r="CN111" i="1"/>
  <c r="CM111" i="1"/>
  <c r="CL111" i="1"/>
  <c r="CF111" i="1"/>
  <c r="CE111" i="1"/>
  <c r="CD111" i="1"/>
  <c r="CC111" i="1"/>
  <c r="CB111" i="1"/>
  <c r="BV111" i="1"/>
  <c r="BS111" i="1"/>
  <c r="BR111" i="1"/>
  <c r="BQ111" i="1"/>
  <c r="BP111" i="1"/>
  <c r="BO111" i="1"/>
  <c r="BN111" i="1"/>
  <c r="BM111" i="1"/>
  <c r="DS110" i="1"/>
  <c r="DR110" i="1"/>
  <c r="DQ110" i="1"/>
  <c r="CW110" i="1"/>
  <c r="CV110" i="1"/>
  <c r="CP110" i="1"/>
  <c r="CO110" i="1"/>
  <c r="CN110" i="1"/>
  <c r="CM110" i="1"/>
  <c r="CL110" i="1"/>
  <c r="CF110" i="1"/>
  <c r="CE110" i="1"/>
  <c r="CD110" i="1"/>
  <c r="CC110" i="1"/>
  <c r="CB110" i="1"/>
  <c r="BV110" i="1"/>
  <c r="BS110" i="1"/>
  <c r="BR110" i="1"/>
  <c r="BQ110" i="1"/>
  <c r="BP110" i="1"/>
  <c r="BO110" i="1"/>
  <c r="BN110" i="1"/>
  <c r="BM110" i="1"/>
  <c r="DS109" i="1"/>
  <c r="DR109" i="1"/>
  <c r="DQ109" i="1"/>
  <c r="CW109" i="1"/>
  <c r="CV109" i="1"/>
  <c r="CP109" i="1"/>
  <c r="CO109" i="1"/>
  <c r="CN109" i="1"/>
  <c r="CM109" i="1"/>
  <c r="CL109" i="1"/>
  <c r="CF109" i="1"/>
  <c r="CE109" i="1"/>
  <c r="CD109" i="1"/>
  <c r="CC109" i="1"/>
  <c r="CB109" i="1"/>
  <c r="BV109" i="1"/>
  <c r="BS109" i="1"/>
  <c r="BR109" i="1"/>
  <c r="BQ109" i="1"/>
  <c r="BP109" i="1"/>
  <c r="BO109" i="1"/>
  <c r="BN109" i="1"/>
  <c r="BM109" i="1"/>
  <c r="DS108" i="1"/>
  <c r="DR108" i="1"/>
  <c r="DQ108" i="1"/>
  <c r="CW108" i="1"/>
  <c r="CV108" i="1"/>
  <c r="CP108" i="1"/>
  <c r="CO108" i="1"/>
  <c r="CN108" i="1"/>
  <c r="CM108" i="1"/>
  <c r="CL108" i="1"/>
  <c r="CF108" i="1"/>
  <c r="CE108" i="1"/>
  <c r="CD108" i="1"/>
  <c r="CC108" i="1"/>
  <c r="CB108" i="1"/>
  <c r="BV108" i="1"/>
  <c r="BS108" i="1"/>
  <c r="BR108" i="1"/>
  <c r="BQ108" i="1"/>
  <c r="BP108" i="1"/>
  <c r="BO108" i="1"/>
  <c r="BN108" i="1"/>
  <c r="BM108" i="1"/>
  <c r="DS107" i="1"/>
  <c r="DR107" i="1"/>
  <c r="DQ107" i="1"/>
  <c r="CW107" i="1"/>
  <c r="CV107" i="1"/>
  <c r="CP107" i="1"/>
  <c r="CO107" i="1"/>
  <c r="CN107" i="1"/>
  <c r="CM107" i="1"/>
  <c r="CL107" i="1"/>
  <c r="CF107" i="1"/>
  <c r="CE107" i="1"/>
  <c r="CD107" i="1"/>
  <c r="CC107" i="1"/>
  <c r="CB107" i="1"/>
  <c r="BV107" i="1"/>
  <c r="BS107" i="1"/>
  <c r="BR107" i="1"/>
  <c r="BQ107" i="1"/>
  <c r="BP107" i="1"/>
  <c r="BO107" i="1"/>
  <c r="BN107" i="1"/>
  <c r="BM107" i="1"/>
  <c r="DS106" i="1"/>
  <c r="DR106" i="1"/>
  <c r="DQ106" i="1"/>
  <c r="CW106" i="1"/>
  <c r="CV106" i="1"/>
  <c r="CP106" i="1"/>
  <c r="CO106" i="1"/>
  <c r="CN106" i="1"/>
  <c r="CM106" i="1"/>
  <c r="CL106" i="1"/>
  <c r="CF106" i="1"/>
  <c r="CE106" i="1"/>
  <c r="CD106" i="1"/>
  <c r="CC106" i="1"/>
  <c r="CB106" i="1"/>
  <c r="BV106" i="1"/>
  <c r="BS106" i="1"/>
  <c r="BR106" i="1"/>
  <c r="BQ106" i="1"/>
  <c r="BP106" i="1"/>
  <c r="BO106" i="1"/>
  <c r="BN106" i="1"/>
  <c r="BM106" i="1"/>
  <c r="DS105" i="1"/>
  <c r="DR105" i="1"/>
  <c r="DQ105" i="1"/>
  <c r="CW105" i="1"/>
  <c r="CV105" i="1"/>
  <c r="CP105" i="1"/>
  <c r="CO105" i="1"/>
  <c r="CN105" i="1"/>
  <c r="CM105" i="1"/>
  <c r="CL105" i="1"/>
  <c r="CF105" i="1"/>
  <c r="CE105" i="1"/>
  <c r="CD105" i="1"/>
  <c r="CC105" i="1"/>
  <c r="CB105" i="1"/>
  <c r="BV105" i="1"/>
  <c r="BS105" i="1"/>
  <c r="BR105" i="1"/>
  <c r="BQ105" i="1"/>
  <c r="BP105" i="1"/>
  <c r="BO105" i="1"/>
  <c r="BN105" i="1"/>
  <c r="BM105" i="1"/>
  <c r="DS104" i="1"/>
  <c r="DR104" i="1"/>
  <c r="DQ104" i="1"/>
  <c r="CW104" i="1"/>
  <c r="CV104" i="1"/>
  <c r="CP104" i="1"/>
  <c r="CO104" i="1"/>
  <c r="CN104" i="1"/>
  <c r="CM104" i="1"/>
  <c r="CL104" i="1"/>
  <c r="CF104" i="1"/>
  <c r="CE104" i="1"/>
  <c r="CD104" i="1"/>
  <c r="CC104" i="1"/>
  <c r="CB104" i="1"/>
  <c r="BV104" i="1"/>
  <c r="BS104" i="1"/>
  <c r="BR104" i="1"/>
  <c r="BQ104" i="1"/>
  <c r="BP104" i="1"/>
  <c r="BO104" i="1"/>
  <c r="BN104" i="1"/>
  <c r="BM104" i="1"/>
  <c r="DS103" i="1"/>
  <c r="DR103" i="1"/>
  <c r="DQ103" i="1"/>
  <c r="CW103" i="1"/>
  <c r="CV103" i="1"/>
  <c r="CP103" i="1"/>
  <c r="CO103" i="1"/>
  <c r="CN103" i="1"/>
  <c r="CM103" i="1"/>
  <c r="CL103" i="1"/>
  <c r="CF103" i="1"/>
  <c r="CE103" i="1"/>
  <c r="CD103" i="1"/>
  <c r="CC103" i="1"/>
  <c r="CB103" i="1"/>
  <c r="BV103" i="1"/>
  <c r="BS103" i="1"/>
  <c r="BR103" i="1"/>
  <c r="BQ103" i="1"/>
  <c r="BP103" i="1"/>
  <c r="BO103" i="1"/>
  <c r="BN103" i="1"/>
  <c r="BM103" i="1"/>
  <c r="DS102" i="1"/>
  <c r="DR102" i="1"/>
  <c r="DQ102" i="1"/>
  <c r="CW102" i="1"/>
  <c r="CV102" i="1"/>
  <c r="CP102" i="1"/>
  <c r="CO102" i="1"/>
  <c r="CN102" i="1"/>
  <c r="CM102" i="1"/>
  <c r="CL102" i="1"/>
  <c r="CF102" i="1"/>
  <c r="CE102" i="1"/>
  <c r="CD102" i="1"/>
  <c r="CC102" i="1"/>
  <c r="CB102" i="1"/>
  <c r="BV102" i="1"/>
  <c r="BS102" i="1"/>
  <c r="BR102" i="1"/>
  <c r="BQ102" i="1"/>
  <c r="BP102" i="1"/>
  <c r="BO102" i="1"/>
  <c r="BN102" i="1"/>
  <c r="BM102" i="1"/>
  <c r="DS101" i="1"/>
  <c r="DR101" i="1"/>
  <c r="DQ101" i="1"/>
  <c r="CW101" i="1"/>
  <c r="CV101" i="1"/>
  <c r="CP101" i="1"/>
  <c r="CO101" i="1"/>
  <c r="CN101" i="1"/>
  <c r="CM101" i="1"/>
  <c r="CL101" i="1"/>
  <c r="CF101" i="1"/>
  <c r="CE101" i="1"/>
  <c r="CD101" i="1"/>
  <c r="CC101" i="1"/>
  <c r="CB101" i="1"/>
  <c r="BV101" i="1"/>
  <c r="BS101" i="1"/>
  <c r="BR101" i="1"/>
  <c r="BQ101" i="1"/>
  <c r="BP101" i="1"/>
  <c r="BO101" i="1"/>
  <c r="BN101" i="1"/>
  <c r="BM101" i="1"/>
  <c r="DS100" i="1"/>
  <c r="DR100" i="1"/>
  <c r="DQ100" i="1"/>
  <c r="CW100" i="1"/>
  <c r="CV100" i="1"/>
  <c r="CP100" i="1"/>
  <c r="CO100" i="1"/>
  <c r="CN100" i="1"/>
  <c r="CM100" i="1"/>
  <c r="CL100" i="1"/>
  <c r="CF100" i="1"/>
  <c r="CE100" i="1"/>
  <c r="CD100" i="1"/>
  <c r="CC100" i="1"/>
  <c r="CB100" i="1"/>
  <c r="BV100" i="1"/>
  <c r="BS100" i="1"/>
  <c r="BR100" i="1"/>
  <c r="BQ100" i="1"/>
  <c r="BP100" i="1"/>
  <c r="BO100" i="1"/>
  <c r="BN100" i="1"/>
  <c r="BM100" i="1"/>
  <c r="DS99" i="1"/>
  <c r="DR99" i="1"/>
  <c r="DQ99" i="1"/>
  <c r="CW99" i="1"/>
  <c r="CV99" i="1"/>
  <c r="CP99" i="1"/>
  <c r="CO99" i="1"/>
  <c r="CN99" i="1"/>
  <c r="CM99" i="1"/>
  <c r="CL99" i="1"/>
  <c r="CF99" i="1"/>
  <c r="CE99" i="1"/>
  <c r="CD99" i="1"/>
  <c r="CC99" i="1"/>
  <c r="CB99" i="1"/>
  <c r="BV99" i="1"/>
  <c r="BS99" i="1"/>
  <c r="BR99" i="1"/>
  <c r="BQ99" i="1"/>
  <c r="BP99" i="1"/>
  <c r="BO99" i="1"/>
  <c r="BN99" i="1"/>
  <c r="BM99" i="1"/>
  <c r="DS98" i="1"/>
  <c r="DR98" i="1"/>
  <c r="DQ98" i="1"/>
  <c r="CW98" i="1"/>
  <c r="CV98" i="1"/>
  <c r="CP98" i="1"/>
  <c r="CO98" i="1"/>
  <c r="CN98" i="1"/>
  <c r="CM98" i="1"/>
  <c r="CL98" i="1"/>
  <c r="CF98" i="1"/>
  <c r="CE98" i="1"/>
  <c r="CD98" i="1"/>
  <c r="CC98" i="1"/>
  <c r="CB98" i="1"/>
  <c r="BV98" i="1"/>
  <c r="BS98" i="1"/>
  <c r="BR98" i="1"/>
  <c r="BQ98" i="1"/>
  <c r="BP98" i="1"/>
  <c r="BO98" i="1"/>
  <c r="BN98" i="1"/>
  <c r="BM98" i="1"/>
  <c r="DS97" i="1"/>
  <c r="DR97" i="1"/>
  <c r="DQ97" i="1"/>
  <c r="CW97" i="1"/>
  <c r="CV97" i="1"/>
  <c r="CP97" i="1"/>
  <c r="CO97" i="1"/>
  <c r="CN97" i="1"/>
  <c r="CM97" i="1"/>
  <c r="CL97" i="1"/>
  <c r="CF97" i="1"/>
  <c r="CE97" i="1"/>
  <c r="CD97" i="1"/>
  <c r="CC97" i="1"/>
  <c r="CB97" i="1"/>
  <c r="BV97" i="1"/>
  <c r="BS97" i="1"/>
  <c r="BR97" i="1"/>
  <c r="BQ97" i="1"/>
  <c r="BP97" i="1"/>
  <c r="BO97" i="1"/>
  <c r="BN97" i="1"/>
  <c r="BM97" i="1"/>
  <c r="DS96" i="1"/>
  <c r="DR96" i="1"/>
  <c r="DQ96" i="1"/>
  <c r="CP96" i="1"/>
  <c r="CO96" i="1"/>
  <c r="CN96" i="1"/>
  <c r="CM96" i="1"/>
  <c r="CL96" i="1"/>
  <c r="CF96" i="1"/>
  <c r="CE96" i="1"/>
  <c r="CD96" i="1"/>
  <c r="CC96" i="1"/>
  <c r="CB96" i="1"/>
  <c r="BV96" i="1"/>
  <c r="BS96" i="1"/>
  <c r="BR96" i="1"/>
  <c r="BQ96" i="1"/>
  <c r="BP96" i="1"/>
  <c r="BO96" i="1"/>
  <c r="BN96" i="1"/>
  <c r="BM96" i="1"/>
  <c r="DS95" i="1"/>
  <c r="DR95" i="1"/>
  <c r="DQ95" i="1"/>
  <c r="CP95" i="1"/>
  <c r="CO95" i="1"/>
  <c r="CN95" i="1"/>
  <c r="CM95" i="1"/>
  <c r="CL95" i="1"/>
  <c r="CF95" i="1"/>
  <c r="CE95" i="1"/>
  <c r="CD95" i="1"/>
  <c r="CC95" i="1"/>
  <c r="CB95" i="1"/>
  <c r="BV95" i="1"/>
  <c r="BS95" i="1"/>
  <c r="BR95" i="1"/>
  <c r="BQ95" i="1"/>
  <c r="BP95" i="1"/>
  <c r="BO95" i="1"/>
  <c r="BN95" i="1"/>
  <c r="BM95" i="1"/>
  <c r="DS94" i="1"/>
  <c r="DR94" i="1"/>
  <c r="DQ94" i="1"/>
  <c r="DK94" i="1"/>
  <c r="DJ94" i="1"/>
  <c r="DD94" i="1"/>
  <c r="DC94" i="1"/>
  <c r="CP94" i="1"/>
  <c r="CO94" i="1"/>
  <c r="CN94" i="1"/>
  <c r="CM94" i="1"/>
  <c r="CL94" i="1"/>
  <c r="CF94" i="1"/>
  <c r="CE94" i="1"/>
  <c r="CD94" i="1"/>
  <c r="CC94" i="1"/>
  <c r="CB94" i="1"/>
  <c r="BV94" i="1"/>
  <c r="BS94" i="1"/>
  <c r="BR94" i="1"/>
  <c r="BQ94" i="1"/>
  <c r="BP94" i="1"/>
  <c r="BO94" i="1"/>
  <c r="BN94" i="1"/>
  <c r="BM94" i="1"/>
  <c r="DS93" i="1"/>
  <c r="DR93" i="1"/>
  <c r="DQ93" i="1"/>
  <c r="DK93" i="1"/>
  <c r="DJ93" i="1"/>
  <c r="H93" i="1" s="1"/>
  <c r="DD93" i="1"/>
  <c r="DC93" i="1"/>
  <c r="CP93" i="1"/>
  <c r="CO93" i="1"/>
  <c r="CN93" i="1"/>
  <c r="CM93" i="1"/>
  <c r="CL93" i="1"/>
  <c r="CF93" i="1"/>
  <c r="CE93" i="1"/>
  <c r="CD93" i="1"/>
  <c r="CC93" i="1"/>
  <c r="CB93" i="1"/>
  <c r="BV93" i="1"/>
  <c r="BS93" i="1"/>
  <c r="BR93" i="1"/>
  <c r="BQ93" i="1"/>
  <c r="BP93" i="1"/>
  <c r="BO93" i="1"/>
  <c r="BN93" i="1"/>
  <c r="BM93" i="1"/>
  <c r="DS92" i="1"/>
  <c r="DR92" i="1"/>
  <c r="DQ92" i="1"/>
  <c r="DK92" i="1"/>
  <c r="DJ92" i="1"/>
  <c r="DD92" i="1"/>
  <c r="DC92" i="1"/>
  <c r="CP92" i="1"/>
  <c r="CO92" i="1"/>
  <c r="CN92" i="1"/>
  <c r="CM92" i="1"/>
  <c r="CL92" i="1"/>
  <c r="CF92" i="1"/>
  <c r="CE92" i="1"/>
  <c r="CD92" i="1"/>
  <c r="CC92" i="1"/>
  <c r="CB92" i="1"/>
  <c r="BV92" i="1"/>
  <c r="BS92" i="1"/>
  <c r="BR92" i="1"/>
  <c r="BQ92" i="1"/>
  <c r="BP92" i="1"/>
  <c r="BO92" i="1"/>
  <c r="BN92" i="1"/>
  <c r="BM92" i="1"/>
  <c r="DS91" i="1"/>
  <c r="DR91" i="1"/>
  <c r="DQ91" i="1"/>
  <c r="DK91" i="1"/>
  <c r="DJ91" i="1"/>
  <c r="H91" i="1" s="1"/>
  <c r="DD91" i="1"/>
  <c r="DC91" i="1"/>
  <c r="CP91" i="1"/>
  <c r="CO91" i="1"/>
  <c r="CN91" i="1"/>
  <c r="CM91" i="1"/>
  <c r="CL91" i="1"/>
  <c r="CF91" i="1"/>
  <c r="CE91" i="1"/>
  <c r="CD91" i="1"/>
  <c r="CC91" i="1"/>
  <c r="CB91" i="1"/>
  <c r="BV91" i="1"/>
  <c r="BS91" i="1"/>
  <c r="BR91" i="1"/>
  <c r="BQ91" i="1"/>
  <c r="BP91" i="1"/>
  <c r="BO91" i="1"/>
  <c r="BN91" i="1"/>
  <c r="BM91" i="1"/>
  <c r="DS90" i="1"/>
  <c r="DR90" i="1"/>
  <c r="DQ90" i="1"/>
  <c r="DK90" i="1"/>
  <c r="DJ90" i="1"/>
  <c r="DD90" i="1"/>
  <c r="DC90" i="1"/>
  <c r="CP90" i="1"/>
  <c r="CO90" i="1"/>
  <c r="CN90" i="1"/>
  <c r="CM90" i="1"/>
  <c r="CL90" i="1"/>
  <c r="CF90" i="1"/>
  <c r="CE90" i="1"/>
  <c r="CD90" i="1"/>
  <c r="CC90" i="1"/>
  <c r="CB90" i="1"/>
  <c r="BV90" i="1"/>
  <c r="BS90" i="1"/>
  <c r="BR90" i="1"/>
  <c r="BQ90" i="1"/>
  <c r="BP90" i="1"/>
  <c r="BO90" i="1"/>
  <c r="BN90" i="1"/>
  <c r="BM90" i="1"/>
  <c r="DS89" i="1"/>
  <c r="DR89" i="1"/>
  <c r="DQ89" i="1"/>
  <c r="DK89" i="1"/>
  <c r="DJ89" i="1"/>
  <c r="H89" i="1" s="1"/>
  <c r="DD89" i="1"/>
  <c r="DC89" i="1"/>
  <c r="CP89" i="1"/>
  <c r="CO89" i="1"/>
  <c r="CN89" i="1"/>
  <c r="CM89" i="1"/>
  <c r="CL89" i="1"/>
  <c r="CF89" i="1"/>
  <c r="CE89" i="1"/>
  <c r="CD89" i="1"/>
  <c r="CC89" i="1"/>
  <c r="CB89" i="1"/>
  <c r="BV89" i="1"/>
  <c r="BS89" i="1"/>
  <c r="BR89" i="1"/>
  <c r="BQ89" i="1"/>
  <c r="BP89" i="1"/>
  <c r="BO89" i="1"/>
  <c r="BN89" i="1"/>
  <c r="BM89" i="1"/>
  <c r="DS88" i="1"/>
  <c r="DR88" i="1"/>
  <c r="DQ88" i="1"/>
  <c r="DK88" i="1"/>
  <c r="DJ88" i="1"/>
  <c r="DD88" i="1"/>
  <c r="DC88" i="1"/>
  <c r="CP88" i="1"/>
  <c r="CO88" i="1"/>
  <c r="CN88" i="1"/>
  <c r="CM88" i="1"/>
  <c r="CL88" i="1"/>
  <c r="CF88" i="1"/>
  <c r="CE88" i="1"/>
  <c r="CD88" i="1"/>
  <c r="CC88" i="1"/>
  <c r="CB88" i="1"/>
  <c r="BV88" i="1"/>
  <c r="BS88" i="1"/>
  <c r="BR88" i="1"/>
  <c r="BQ88" i="1"/>
  <c r="BP88" i="1"/>
  <c r="BO88" i="1"/>
  <c r="BN88" i="1"/>
  <c r="BM88" i="1"/>
  <c r="DS87" i="1"/>
  <c r="DR87" i="1"/>
  <c r="DQ87" i="1"/>
  <c r="DK87" i="1"/>
  <c r="DJ87" i="1"/>
  <c r="H87" i="1" s="1"/>
  <c r="DD87" i="1"/>
  <c r="DC87" i="1"/>
  <c r="CP87" i="1"/>
  <c r="CO87" i="1"/>
  <c r="CN87" i="1"/>
  <c r="CM87" i="1"/>
  <c r="CL87" i="1"/>
  <c r="CF87" i="1"/>
  <c r="CE87" i="1"/>
  <c r="CD87" i="1"/>
  <c r="CC87" i="1"/>
  <c r="CB87" i="1"/>
  <c r="BV87" i="1"/>
  <c r="BS87" i="1"/>
  <c r="BR87" i="1"/>
  <c r="BQ87" i="1"/>
  <c r="BP87" i="1"/>
  <c r="BO87" i="1"/>
  <c r="BN87" i="1"/>
  <c r="BM87" i="1"/>
  <c r="DS86" i="1"/>
  <c r="DR86" i="1"/>
  <c r="DQ86" i="1"/>
  <c r="DK86" i="1"/>
  <c r="DJ86" i="1"/>
  <c r="DD86" i="1"/>
  <c r="DC86" i="1"/>
  <c r="CP86" i="1"/>
  <c r="CO86" i="1"/>
  <c r="CN86" i="1"/>
  <c r="CM86" i="1"/>
  <c r="CL86" i="1"/>
  <c r="CF86" i="1"/>
  <c r="CE86" i="1"/>
  <c r="CD86" i="1"/>
  <c r="CC86" i="1"/>
  <c r="CB86" i="1"/>
  <c r="BV86" i="1"/>
  <c r="BS86" i="1"/>
  <c r="BR86" i="1"/>
  <c r="BQ86" i="1"/>
  <c r="BP86" i="1"/>
  <c r="BO86" i="1"/>
  <c r="BN86" i="1"/>
  <c r="BM86" i="1"/>
  <c r="DS85" i="1"/>
  <c r="DR85" i="1"/>
  <c r="DQ85" i="1"/>
  <c r="DK85" i="1"/>
  <c r="DJ85" i="1"/>
  <c r="H85" i="1" s="1"/>
  <c r="DD85" i="1"/>
  <c r="DC85" i="1"/>
  <c r="CP85" i="1"/>
  <c r="CO85" i="1"/>
  <c r="CN85" i="1"/>
  <c r="CM85" i="1"/>
  <c r="CL85" i="1"/>
  <c r="CF85" i="1"/>
  <c r="CE85" i="1"/>
  <c r="CD85" i="1"/>
  <c r="CC85" i="1"/>
  <c r="CB85" i="1"/>
  <c r="BV85" i="1"/>
  <c r="BS85" i="1"/>
  <c r="BR85" i="1"/>
  <c r="BQ85" i="1"/>
  <c r="BP85" i="1"/>
  <c r="BO85" i="1"/>
  <c r="BN85" i="1"/>
  <c r="BM85" i="1"/>
  <c r="DS84" i="1"/>
  <c r="DR84" i="1"/>
  <c r="DQ84" i="1"/>
  <c r="BV84" i="1"/>
  <c r="BS84" i="1"/>
  <c r="BR84" i="1"/>
  <c r="BQ84" i="1"/>
  <c r="BP84" i="1"/>
  <c r="BO84" i="1"/>
  <c r="BN84" i="1"/>
  <c r="BM84" i="1"/>
  <c r="DS83" i="1"/>
  <c r="DR83" i="1"/>
  <c r="DQ83" i="1"/>
  <c r="BV83" i="1"/>
  <c r="BS83" i="1"/>
  <c r="BR83" i="1"/>
  <c r="BQ83" i="1"/>
  <c r="BP83" i="1"/>
  <c r="BO83" i="1"/>
  <c r="BN83" i="1"/>
  <c r="BM83" i="1"/>
  <c r="DS82" i="1"/>
  <c r="DR82" i="1"/>
  <c r="DQ82" i="1"/>
  <c r="DK82" i="1"/>
  <c r="DJ82" i="1"/>
  <c r="DD82" i="1"/>
  <c r="DC82" i="1"/>
  <c r="BV82" i="1"/>
  <c r="BS82" i="1"/>
  <c r="BR82" i="1"/>
  <c r="BQ82" i="1"/>
  <c r="BP82" i="1"/>
  <c r="BO82" i="1"/>
  <c r="BN82" i="1"/>
  <c r="BM82" i="1"/>
  <c r="DS81" i="1"/>
  <c r="DR81" i="1"/>
  <c r="DQ81" i="1"/>
  <c r="DK81" i="1"/>
  <c r="DJ81" i="1"/>
  <c r="H81" i="1" s="1"/>
  <c r="DD81" i="1"/>
  <c r="DC81" i="1"/>
  <c r="BV81" i="1"/>
  <c r="BS81" i="1"/>
  <c r="BR81" i="1"/>
  <c r="BQ81" i="1"/>
  <c r="BP81" i="1"/>
  <c r="BO81" i="1"/>
  <c r="BN81" i="1"/>
  <c r="BM81" i="1"/>
  <c r="DS80" i="1"/>
  <c r="DR80" i="1"/>
  <c r="DQ80" i="1"/>
  <c r="DK80" i="1"/>
  <c r="DJ80" i="1"/>
  <c r="DD80" i="1"/>
  <c r="DC80" i="1"/>
  <c r="BV80" i="1"/>
  <c r="BS80" i="1"/>
  <c r="BR80" i="1"/>
  <c r="BQ80" i="1"/>
  <c r="BP80" i="1"/>
  <c r="BO80" i="1"/>
  <c r="BN80" i="1"/>
  <c r="BM80" i="1"/>
  <c r="DS79" i="1"/>
  <c r="DR79" i="1"/>
  <c r="DQ79" i="1"/>
  <c r="DK79" i="1"/>
  <c r="DJ79" i="1"/>
  <c r="H79" i="1" s="1"/>
  <c r="DD79" i="1"/>
  <c r="DC79" i="1"/>
  <c r="BV79" i="1"/>
  <c r="BS79" i="1"/>
  <c r="BR79" i="1"/>
  <c r="BQ79" i="1"/>
  <c r="BP79" i="1"/>
  <c r="BO79" i="1"/>
  <c r="BN79" i="1"/>
  <c r="BM79" i="1"/>
  <c r="DS78" i="1"/>
  <c r="DR78" i="1"/>
  <c r="DQ78" i="1"/>
  <c r="DK78" i="1"/>
  <c r="DJ78" i="1"/>
  <c r="DD78" i="1"/>
  <c r="DC78" i="1"/>
  <c r="BV78" i="1"/>
  <c r="BS78" i="1"/>
  <c r="BR78" i="1"/>
  <c r="BQ78" i="1"/>
  <c r="BP78" i="1"/>
  <c r="BO78" i="1"/>
  <c r="BN78" i="1"/>
  <c r="BM78" i="1"/>
  <c r="DS77" i="1"/>
  <c r="DR77" i="1"/>
  <c r="DQ77" i="1"/>
  <c r="DK77" i="1"/>
  <c r="DJ77" i="1"/>
  <c r="H77" i="1" s="1"/>
  <c r="DD77" i="1"/>
  <c r="DC77" i="1"/>
  <c r="BV77" i="1"/>
  <c r="BS77" i="1"/>
  <c r="BR77" i="1"/>
  <c r="BQ77" i="1"/>
  <c r="BP77" i="1"/>
  <c r="BO77" i="1"/>
  <c r="BN77" i="1"/>
  <c r="BM77" i="1"/>
  <c r="DS76" i="1"/>
  <c r="DR76" i="1"/>
  <c r="DQ76" i="1"/>
  <c r="DK76" i="1"/>
  <c r="DJ76" i="1"/>
  <c r="DD76" i="1"/>
  <c r="DC76" i="1"/>
  <c r="BV76" i="1"/>
  <c r="BS76" i="1"/>
  <c r="BR76" i="1"/>
  <c r="BQ76" i="1"/>
  <c r="BP76" i="1"/>
  <c r="BO76" i="1"/>
  <c r="BN76" i="1"/>
  <c r="BM76" i="1"/>
  <c r="DS75" i="1"/>
  <c r="DR75" i="1"/>
  <c r="DQ75" i="1"/>
  <c r="DK75" i="1"/>
  <c r="DJ75" i="1"/>
  <c r="H75" i="1" s="1"/>
  <c r="DD75" i="1"/>
  <c r="DC75" i="1"/>
  <c r="BV75" i="1"/>
  <c r="BS75" i="1"/>
  <c r="BR75" i="1"/>
  <c r="BQ75" i="1"/>
  <c r="BP75" i="1"/>
  <c r="BO75" i="1"/>
  <c r="BN75" i="1"/>
  <c r="BM75" i="1"/>
  <c r="DS74" i="1"/>
  <c r="DR74" i="1"/>
  <c r="DQ74" i="1"/>
  <c r="DK74" i="1"/>
  <c r="DJ74" i="1"/>
  <c r="DD74" i="1"/>
  <c r="DC74" i="1"/>
  <c r="BV74" i="1"/>
  <c r="BS74" i="1"/>
  <c r="BR74" i="1"/>
  <c r="BQ74" i="1"/>
  <c r="BP74" i="1"/>
  <c r="BO74" i="1"/>
  <c r="BN74" i="1"/>
  <c r="BM74" i="1"/>
  <c r="DS73" i="1"/>
  <c r="DR73" i="1"/>
  <c r="DQ73" i="1"/>
  <c r="DK73" i="1"/>
  <c r="DJ73" i="1"/>
  <c r="H73" i="1" s="1"/>
  <c r="DD73" i="1"/>
  <c r="DC73" i="1"/>
  <c r="BV73" i="1"/>
  <c r="BS73" i="1"/>
  <c r="BR73" i="1"/>
  <c r="BQ73" i="1"/>
  <c r="BP73" i="1"/>
  <c r="BO73" i="1"/>
  <c r="BN73" i="1"/>
  <c r="BM73" i="1"/>
  <c r="DS72" i="1"/>
  <c r="DR72" i="1"/>
  <c r="DQ72" i="1"/>
  <c r="DK72" i="1"/>
  <c r="DJ72" i="1"/>
  <c r="DD72" i="1"/>
  <c r="DC72" i="1"/>
  <c r="BV72" i="1"/>
  <c r="BS72" i="1"/>
  <c r="BR72" i="1"/>
  <c r="BQ72" i="1"/>
  <c r="BP72" i="1"/>
  <c r="BO72" i="1"/>
  <c r="BN72" i="1"/>
  <c r="BM72" i="1"/>
  <c r="DS71" i="1"/>
  <c r="DR71" i="1"/>
  <c r="DQ71" i="1"/>
  <c r="DK71" i="1"/>
  <c r="DJ71" i="1"/>
  <c r="H71" i="1" s="1"/>
  <c r="DD71" i="1"/>
  <c r="DC71" i="1"/>
  <c r="BV71" i="1"/>
  <c r="BS71" i="1"/>
  <c r="BR71" i="1"/>
  <c r="BQ71" i="1"/>
  <c r="BP71" i="1"/>
  <c r="BO71" i="1"/>
  <c r="BN71" i="1"/>
  <c r="BM71" i="1"/>
  <c r="DS70" i="1"/>
  <c r="DR70" i="1"/>
  <c r="DQ70" i="1"/>
  <c r="DK70" i="1"/>
  <c r="DJ70" i="1"/>
  <c r="DD70" i="1"/>
  <c r="DC70" i="1"/>
  <c r="DS69" i="1"/>
  <c r="DR69" i="1"/>
  <c r="DQ69" i="1"/>
  <c r="DK69" i="1"/>
  <c r="DJ69" i="1"/>
  <c r="H69" i="1" s="1"/>
  <c r="DD69" i="1"/>
  <c r="DC69" i="1"/>
  <c r="DS68" i="1"/>
  <c r="DR68" i="1"/>
  <c r="DQ68" i="1"/>
  <c r="DK68" i="1"/>
  <c r="DJ68" i="1"/>
  <c r="DD68" i="1"/>
  <c r="DC68" i="1"/>
  <c r="DS67" i="1"/>
  <c r="DR67" i="1"/>
  <c r="DQ67" i="1"/>
  <c r="DK67" i="1"/>
  <c r="DJ67" i="1"/>
  <c r="H67" i="1" s="1"/>
  <c r="DD67" i="1"/>
  <c r="DC67" i="1"/>
  <c r="DS66" i="1"/>
  <c r="DR66" i="1"/>
  <c r="DQ66" i="1"/>
  <c r="DK66" i="1"/>
  <c r="DJ66" i="1"/>
  <c r="DD66" i="1"/>
  <c r="DC66" i="1"/>
  <c r="DS65" i="1"/>
  <c r="DR65" i="1"/>
  <c r="DQ65" i="1"/>
  <c r="DK65" i="1"/>
  <c r="DJ65" i="1"/>
  <c r="H65" i="1" s="1"/>
  <c r="DD65" i="1"/>
  <c r="DC65" i="1"/>
  <c r="DS64" i="1"/>
  <c r="DR64" i="1"/>
  <c r="DQ64" i="1"/>
  <c r="DK64" i="1"/>
  <c r="DJ64" i="1"/>
  <c r="DD64" i="1"/>
  <c r="DC64" i="1"/>
  <c r="DS63" i="1"/>
  <c r="DR63" i="1"/>
  <c r="DQ63" i="1"/>
  <c r="DK63" i="1"/>
  <c r="DJ63" i="1"/>
  <c r="H63" i="1" s="1"/>
  <c r="DD63" i="1"/>
  <c r="DC63" i="1"/>
  <c r="DS62" i="1"/>
  <c r="DR62" i="1"/>
  <c r="DQ62" i="1"/>
  <c r="DK62" i="1"/>
  <c r="DJ62" i="1"/>
  <c r="DD62" i="1"/>
  <c r="DC62" i="1"/>
  <c r="DS61" i="1"/>
  <c r="DR61" i="1"/>
  <c r="DQ61" i="1"/>
  <c r="DK61" i="1"/>
  <c r="DJ61" i="1"/>
  <c r="H61" i="1" s="1"/>
  <c r="DD61" i="1"/>
  <c r="DC61" i="1"/>
  <c r="DS60" i="1"/>
  <c r="DR60" i="1"/>
  <c r="DQ60" i="1"/>
  <c r="DK60" i="1"/>
  <c r="DJ60" i="1"/>
  <c r="DD60" i="1"/>
  <c r="DC60" i="1"/>
  <c r="DS59" i="1"/>
  <c r="DR59" i="1"/>
  <c r="DQ59" i="1"/>
  <c r="DK59" i="1"/>
  <c r="DJ59" i="1"/>
  <c r="H59" i="1" s="1"/>
  <c r="DD59" i="1"/>
  <c r="DC59" i="1"/>
  <c r="DS58" i="1"/>
  <c r="DR58" i="1"/>
  <c r="DQ58" i="1"/>
  <c r="DK58" i="1"/>
  <c r="DJ58" i="1"/>
  <c r="DS57" i="1"/>
  <c r="DR57" i="1"/>
  <c r="DQ57" i="1"/>
  <c r="DK57" i="1"/>
  <c r="DJ57" i="1"/>
  <c r="H57" i="1" s="1"/>
  <c r="DS56" i="1"/>
  <c r="DR56" i="1"/>
  <c r="DQ56" i="1"/>
  <c r="DK56" i="1"/>
  <c r="DJ56" i="1"/>
  <c r="DD56" i="1"/>
  <c r="DC56" i="1"/>
  <c r="DS55" i="1"/>
  <c r="DR55" i="1"/>
  <c r="DQ55" i="1"/>
  <c r="DK55" i="1"/>
  <c r="DJ55" i="1"/>
  <c r="H55" i="1" s="1"/>
  <c r="DD55" i="1"/>
  <c r="DC55" i="1"/>
  <c r="DS54" i="1"/>
  <c r="DR54" i="1"/>
  <c r="DQ54" i="1"/>
  <c r="DK54" i="1"/>
  <c r="DJ54" i="1"/>
  <c r="DD54" i="1"/>
  <c r="DC54" i="1"/>
  <c r="DS53" i="1"/>
  <c r="DR53" i="1"/>
  <c r="DQ53" i="1"/>
  <c r="DK53" i="1"/>
  <c r="DJ53" i="1"/>
  <c r="H53" i="1" s="1"/>
  <c r="DD53" i="1"/>
  <c r="DC53" i="1"/>
  <c r="DS52" i="1"/>
  <c r="DR52" i="1"/>
  <c r="DQ52" i="1"/>
  <c r="DK52" i="1"/>
  <c r="DJ52" i="1"/>
  <c r="DD52" i="1"/>
  <c r="DC52" i="1"/>
  <c r="DS51" i="1"/>
  <c r="DR51" i="1"/>
  <c r="DQ51" i="1"/>
  <c r="DK51" i="1"/>
  <c r="DJ51" i="1"/>
  <c r="H51" i="1" s="1"/>
  <c r="DD51" i="1"/>
  <c r="DC51" i="1"/>
  <c r="DS50" i="1"/>
  <c r="DR50" i="1"/>
  <c r="DQ50" i="1"/>
  <c r="DS49" i="1"/>
  <c r="DR49" i="1"/>
  <c r="DQ49" i="1"/>
  <c r="DS48" i="1"/>
  <c r="DR48" i="1"/>
  <c r="DQ48" i="1"/>
  <c r="DK48" i="1"/>
  <c r="DJ48" i="1"/>
  <c r="DD48" i="1"/>
  <c r="DC48" i="1"/>
  <c r="CW48" i="1"/>
  <c r="CV48" i="1"/>
  <c r="DS47" i="1"/>
  <c r="DR47" i="1"/>
  <c r="DQ47" i="1"/>
  <c r="DK47" i="1"/>
  <c r="DJ47" i="1"/>
  <c r="DD47" i="1"/>
  <c r="DC47" i="1"/>
  <c r="CW47" i="1"/>
  <c r="CV47" i="1"/>
  <c r="DS46" i="1"/>
  <c r="DR46" i="1"/>
  <c r="DQ46" i="1"/>
  <c r="DK46" i="1"/>
  <c r="DJ46" i="1"/>
  <c r="DD46" i="1"/>
  <c r="DC46" i="1"/>
  <c r="CW46" i="1"/>
  <c r="CV46" i="1"/>
  <c r="DS45" i="1"/>
  <c r="DR45" i="1"/>
  <c r="DQ45" i="1"/>
  <c r="DK45" i="1"/>
  <c r="DJ45" i="1"/>
  <c r="DD45" i="1"/>
  <c r="DC45" i="1"/>
  <c r="CW45" i="1"/>
  <c r="CV45" i="1"/>
  <c r="DS44" i="1"/>
  <c r="DR44" i="1"/>
  <c r="DQ44" i="1"/>
  <c r="DK44" i="1"/>
  <c r="DJ44" i="1"/>
  <c r="DD44" i="1"/>
  <c r="DC44" i="1"/>
  <c r="CW44" i="1"/>
  <c r="CV44" i="1"/>
  <c r="DS43" i="1"/>
  <c r="DR43" i="1"/>
  <c r="DQ43" i="1"/>
  <c r="DK43" i="1"/>
  <c r="DJ43" i="1"/>
  <c r="DD43" i="1"/>
  <c r="DC43" i="1"/>
  <c r="CW43" i="1"/>
  <c r="CV43" i="1"/>
  <c r="DS42" i="1"/>
  <c r="DR42" i="1"/>
  <c r="DQ42" i="1"/>
  <c r="DK42" i="1"/>
  <c r="DJ42" i="1"/>
  <c r="DD42" i="1"/>
  <c r="DC42" i="1"/>
  <c r="CW42" i="1"/>
  <c r="CV42" i="1"/>
  <c r="DS41" i="1"/>
  <c r="DR41" i="1"/>
  <c r="DQ41" i="1"/>
  <c r="DK41" i="1"/>
  <c r="DJ41" i="1"/>
  <c r="DD41" i="1"/>
  <c r="DC41" i="1"/>
  <c r="CW41" i="1"/>
  <c r="CV41" i="1"/>
  <c r="DS40" i="1"/>
  <c r="DR40" i="1"/>
  <c r="DQ40" i="1"/>
  <c r="DK40" i="1"/>
  <c r="DJ40" i="1"/>
  <c r="DD40" i="1"/>
  <c r="DC40" i="1"/>
  <c r="CW40" i="1"/>
  <c r="CV40" i="1"/>
  <c r="DS39" i="1"/>
  <c r="DR39" i="1"/>
  <c r="DQ39" i="1"/>
  <c r="DK39" i="1"/>
  <c r="DJ39" i="1"/>
  <c r="DD39" i="1"/>
  <c r="DC39" i="1"/>
  <c r="CW39" i="1"/>
  <c r="CV39" i="1"/>
  <c r="DS38" i="1"/>
  <c r="DR38" i="1"/>
  <c r="DQ38" i="1"/>
  <c r="DK38" i="1"/>
  <c r="DJ38" i="1"/>
  <c r="DD38" i="1"/>
  <c r="DC38" i="1"/>
  <c r="CW38" i="1"/>
  <c r="CV38" i="1"/>
  <c r="DS37" i="1"/>
  <c r="DR37" i="1"/>
  <c r="DQ37" i="1"/>
  <c r="DK37" i="1"/>
  <c r="DJ37" i="1"/>
  <c r="DD37" i="1"/>
  <c r="DC37" i="1"/>
  <c r="CW37" i="1"/>
  <c r="CV37" i="1"/>
  <c r="DS36" i="1"/>
  <c r="DR36" i="1"/>
  <c r="DQ36" i="1"/>
  <c r="DK36" i="1"/>
  <c r="DJ36" i="1"/>
  <c r="DD36" i="1"/>
  <c r="DC36" i="1"/>
  <c r="CW36" i="1"/>
  <c r="CV36" i="1"/>
  <c r="DS35" i="1"/>
  <c r="DR35" i="1"/>
  <c r="DQ35" i="1"/>
  <c r="DK35" i="1"/>
  <c r="DJ35" i="1"/>
  <c r="DD35" i="1"/>
  <c r="DC35" i="1"/>
  <c r="CW35" i="1"/>
  <c r="CV35" i="1"/>
  <c r="DS34" i="1"/>
  <c r="DR34" i="1"/>
  <c r="DQ34" i="1"/>
  <c r="DK34" i="1"/>
  <c r="DJ34" i="1"/>
  <c r="DD34" i="1"/>
  <c r="DC34" i="1"/>
  <c r="CW34" i="1"/>
  <c r="CV34" i="1"/>
  <c r="DS33" i="1"/>
  <c r="DR33" i="1"/>
  <c r="DQ33" i="1"/>
  <c r="DK33" i="1"/>
  <c r="DJ33" i="1"/>
  <c r="DD33" i="1"/>
  <c r="DC33" i="1"/>
  <c r="CW33" i="1"/>
  <c r="CV33" i="1"/>
  <c r="DS32" i="1"/>
  <c r="DR32" i="1"/>
  <c r="DQ32" i="1"/>
  <c r="DK32" i="1"/>
  <c r="DJ32" i="1"/>
  <c r="DD32" i="1"/>
  <c r="DC32" i="1"/>
  <c r="CW32" i="1"/>
  <c r="CV32" i="1"/>
  <c r="DS31" i="1"/>
  <c r="DR31" i="1"/>
  <c r="DQ31" i="1"/>
  <c r="DK31" i="1"/>
  <c r="DJ31" i="1"/>
  <c r="DD31" i="1"/>
  <c r="DC31" i="1"/>
  <c r="CW31" i="1"/>
  <c r="CV31" i="1"/>
  <c r="DS30" i="1"/>
  <c r="DR30" i="1"/>
  <c r="DQ30" i="1"/>
  <c r="DK30" i="1"/>
  <c r="DJ30" i="1"/>
  <c r="DD30" i="1"/>
  <c r="DC30" i="1"/>
  <c r="CW30" i="1"/>
  <c r="CV30" i="1"/>
  <c r="DS29" i="1"/>
  <c r="DR29" i="1"/>
  <c r="DQ29" i="1"/>
  <c r="DK29" i="1"/>
  <c r="DJ29" i="1"/>
  <c r="DD29" i="1"/>
  <c r="DC29" i="1"/>
  <c r="CW29" i="1"/>
  <c r="CV29" i="1"/>
  <c r="DS28" i="1"/>
  <c r="DR28" i="1"/>
  <c r="DQ28" i="1"/>
  <c r="DK28" i="1"/>
  <c r="DJ28" i="1"/>
  <c r="DD28" i="1"/>
  <c r="DC28" i="1"/>
  <c r="CW28" i="1"/>
  <c r="CV28" i="1"/>
  <c r="DS27" i="1"/>
  <c r="DR27" i="1"/>
  <c r="DQ27" i="1"/>
  <c r="DK27" i="1"/>
  <c r="DJ27" i="1"/>
  <c r="DD27" i="1"/>
  <c r="DC27" i="1"/>
  <c r="CW27" i="1"/>
  <c r="CV27" i="1"/>
  <c r="DS26" i="1"/>
  <c r="DR26" i="1"/>
  <c r="DQ26" i="1"/>
  <c r="DK26" i="1"/>
  <c r="DJ26" i="1"/>
  <c r="DD26" i="1"/>
  <c r="DC26" i="1"/>
  <c r="CW26" i="1"/>
  <c r="CV26" i="1"/>
  <c r="DS25" i="1"/>
  <c r="DR25" i="1"/>
  <c r="DQ25" i="1"/>
  <c r="DK25" i="1"/>
  <c r="DJ25" i="1"/>
  <c r="DD25" i="1"/>
  <c r="DC25" i="1"/>
  <c r="CW25" i="1"/>
  <c r="CV25" i="1"/>
  <c r="DS24" i="1"/>
  <c r="DR24" i="1"/>
  <c r="DQ24" i="1"/>
  <c r="DK24" i="1"/>
  <c r="DJ24" i="1"/>
  <c r="DD24" i="1"/>
  <c r="DC24" i="1"/>
  <c r="CW24" i="1"/>
  <c r="CV24" i="1"/>
  <c r="DS23" i="1"/>
  <c r="DR23" i="1"/>
  <c r="DQ23" i="1"/>
  <c r="DK23" i="1"/>
  <c r="DJ23" i="1"/>
  <c r="DD23" i="1"/>
  <c r="DC23" i="1"/>
  <c r="CW23" i="1"/>
  <c r="CV23" i="1"/>
  <c r="DS22" i="1"/>
  <c r="DR22" i="1"/>
  <c r="DQ22" i="1"/>
  <c r="DK22" i="1"/>
  <c r="DJ22" i="1"/>
  <c r="DD22" i="1"/>
  <c r="DC22" i="1"/>
  <c r="CW22" i="1"/>
  <c r="CV22" i="1"/>
  <c r="DS21" i="1"/>
  <c r="DR21" i="1"/>
  <c r="DQ21" i="1"/>
  <c r="DK21" i="1"/>
  <c r="DJ21" i="1"/>
  <c r="DD21" i="1"/>
  <c r="DC21" i="1"/>
  <c r="CW21" i="1"/>
  <c r="CV21" i="1"/>
  <c r="DS20" i="1"/>
  <c r="DR20" i="1"/>
  <c r="DQ20" i="1"/>
  <c r="DK20" i="1"/>
  <c r="DJ20" i="1"/>
  <c r="DD20" i="1"/>
  <c r="DC20" i="1"/>
  <c r="CW20" i="1"/>
  <c r="CV20" i="1"/>
  <c r="DS19" i="1"/>
  <c r="DR19" i="1"/>
  <c r="DQ19" i="1"/>
  <c r="DK19" i="1"/>
  <c r="DJ19" i="1"/>
  <c r="DD19" i="1"/>
  <c r="DC19" i="1"/>
  <c r="CW19" i="1"/>
  <c r="CV19" i="1"/>
  <c r="DS18" i="1"/>
  <c r="DR18" i="1"/>
  <c r="DQ18" i="1"/>
  <c r="DK18" i="1"/>
  <c r="DJ18" i="1"/>
  <c r="DD18" i="1"/>
  <c r="DC18" i="1"/>
  <c r="CW18" i="1"/>
  <c r="CV18" i="1"/>
  <c r="DS17" i="1"/>
  <c r="DR17" i="1"/>
  <c r="DQ17" i="1"/>
  <c r="DK17" i="1"/>
  <c r="DJ17" i="1"/>
  <c r="DD17" i="1"/>
  <c r="DC17" i="1"/>
  <c r="CW17" i="1"/>
  <c r="CV17" i="1"/>
  <c r="DS16" i="1"/>
  <c r="DR16" i="1"/>
  <c r="DQ16" i="1"/>
  <c r="DK16" i="1"/>
  <c r="DJ16" i="1"/>
  <c r="DD16" i="1"/>
  <c r="DC16" i="1"/>
  <c r="CW16" i="1"/>
  <c r="CV16" i="1"/>
  <c r="DS15" i="1"/>
  <c r="DR15" i="1"/>
  <c r="DQ15" i="1"/>
  <c r="DK15" i="1"/>
  <c r="DJ15" i="1"/>
  <c r="DD15" i="1"/>
  <c r="DC15" i="1"/>
  <c r="CW15" i="1"/>
  <c r="CV15" i="1"/>
  <c r="DS14" i="1"/>
  <c r="DR14" i="1"/>
  <c r="DQ14" i="1"/>
  <c r="DK14" i="1"/>
  <c r="DJ14" i="1"/>
  <c r="DD14" i="1"/>
  <c r="DC14" i="1"/>
  <c r="CW14" i="1"/>
  <c r="CV14" i="1"/>
  <c r="DS13" i="1"/>
  <c r="DR13" i="1"/>
  <c r="DQ13" i="1"/>
  <c r="DK13" i="1"/>
  <c r="DJ13" i="1"/>
  <c r="DD13" i="1"/>
  <c r="DC13" i="1"/>
  <c r="CW13" i="1"/>
  <c r="CV13" i="1"/>
  <c r="DS12" i="1"/>
  <c r="DR12" i="1"/>
  <c r="DQ12" i="1"/>
  <c r="DK12" i="1"/>
  <c r="DJ12" i="1"/>
  <c r="DD12" i="1"/>
  <c r="DC12" i="1"/>
  <c r="CW12" i="1"/>
  <c r="CV12" i="1"/>
  <c r="DS11" i="1"/>
  <c r="DR11" i="1"/>
  <c r="DQ11" i="1"/>
  <c r="DK11" i="1"/>
  <c r="DJ11" i="1"/>
  <c r="DD11" i="1"/>
  <c r="DC11" i="1"/>
  <c r="CW11" i="1"/>
  <c r="CV11" i="1"/>
  <c r="DS10" i="1"/>
  <c r="DR10" i="1"/>
  <c r="DQ10" i="1"/>
  <c r="DK10" i="1"/>
  <c r="DK168" i="1" s="1"/>
  <c r="DJ10" i="1"/>
  <c r="DJ168" i="1" s="1"/>
  <c r="DD10" i="1"/>
  <c r="DC10" i="1"/>
  <c r="CW10" i="1"/>
  <c r="CV10" i="1"/>
  <c r="CP10" i="1"/>
  <c r="CO10" i="1"/>
  <c r="CN10" i="1"/>
  <c r="CM10" i="1"/>
  <c r="CL10" i="1"/>
  <c r="BV10" i="1"/>
  <c r="BS10" i="1"/>
  <c r="BR10" i="1"/>
  <c r="BQ10" i="1"/>
  <c r="BP10" i="1"/>
  <c r="BO10" i="1"/>
  <c r="BN10" i="1"/>
  <c r="BM10" i="1"/>
  <c r="DS9" i="1"/>
  <c r="DR9" i="1"/>
  <c r="DQ9" i="1"/>
  <c r="DK9" i="1"/>
  <c r="DK167" i="1" s="1"/>
  <c r="DJ9" i="1"/>
  <c r="DD9" i="1"/>
  <c r="DC9" i="1"/>
  <c r="CW9" i="1"/>
  <c r="CV9" i="1"/>
  <c r="CP9" i="1"/>
  <c r="CO9" i="1"/>
  <c r="CN9" i="1"/>
  <c r="CM9" i="1"/>
  <c r="CL9" i="1"/>
  <c r="BV9" i="1"/>
  <c r="BS9" i="1"/>
  <c r="BR9" i="1"/>
  <c r="BQ9" i="1"/>
  <c r="BP9" i="1"/>
  <c r="BO9" i="1"/>
  <c r="BN9" i="1"/>
  <c r="BM9" i="1"/>
  <c r="DS8" i="1"/>
  <c r="DR8" i="1"/>
  <c r="DQ8" i="1"/>
  <c r="DS7" i="1"/>
  <c r="DR7" i="1"/>
  <c r="DQ7" i="1"/>
  <c r="DB206" i="1"/>
  <c r="DA206" i="1"/>
  <c r="CZ206" i="1"/>
  <c r="CY206" i="1"/>
  <c r="CX206" i="1"/>
  <c r="DB204" i="1"/>
  <c r="DA204" i="1"/>
  <c r="CZ204" i="1"/>
  <c r="CY204" i="1"/>
  <c r="CX204" i="1"/>
  <c r="DB202" i="1"/>
  <c r="DA202" i="1"/>
  <c r="CZ202" i="1"/>
  <c r="CY202" i="1"/>
  <c r="CX202" i="1"/>
  <c r="DA199" i="1"/>
  <c r="CZ199" i="1"/>
  <c r="CY199" i="1"/>
  <c r="CY183" i="1"/>
  <c r="DD96" i="1"/>
  <c r="DC96" i="1"/>
  <c r="CX96" i="1"/>
  <c r="DD84" i="1"/>
  <c r="DC84" i="1"/>
  <c r="CY84" i="1"/>
  <c r="DB96" i="1"/>
  <c r="DA96" i="1"/>
  <c r="CZ96" i="1"/>
  <c r="CY96" i="1"/>
  <c r="DB95" i="1"/>
  <c r="DA95" i="1"/>
  <c r="CZ95" i="1"/>
  <c r="CY95" i="1"/>
  <c r="CX95" i="1"/>
  <c r="DB84" i="1"/>
  <c r="DA84" i="1"/>
  <c r="CZ84" i="1"/>
  <c r="DB83" i="1"/>
  <c r="DA83" i="1"/>
  <c r="CZ83" i="1"/>
  <c r="DD58" i="1"/>
  <c r="DC58" i="1"/>
  <c r="DB58" i="1"/>
  <c r="DA58" i="1"/>
  <c r="CZ58" i="1"/>
  <c r="CY58" i="1"/>
  <c r="CX58" i="1"/>
  <c r="DD57" i="1"/>
  <c r="DC57" i="1"/>
  <c r="DB57" i="1"/>
  <c r="DA57" i="1"/>
  <c r="CZ57" i="1"/>
  <c r="CY57" i="1"/>
  <c r="CX57" i="1"/>
  <c r="DB8" i="1"/>
  <c r="DD8" i="1"/>
  <c r="DD168" i="1" s="1"/>
  <c r="CZ8" i="1"/>
  <c r="CX8" i="1"/>
  <c r="CX7" i="1"/>
  <c r="CV200" i="1"/>
  <c r="CR200" i="1"/>
  <c r="CS198" i="1"/>
  <c r="CW198" i="1"/>
  <c r="CR198" i="1"/>
  <c r="CQ182" i="1"/>
  <c r="CV95" i="1"/>
  <c r="CQ95" i="1"/>
  <c r="CQ93" i="1"/>
  <c r="CV93" i="1"/>
  <c r="CU93" i="1"/>
  <c r="CR93" i="1"/>
  <c r="CW91" i="1"/>
  <c r="CU91" i="1"/>
  <c r="CT91" i="1"/>
  <c r="CS91" i="1"/>
  <c r="CR89" i="1"/>
  <c r="CW89" i="1"/>
  <c r="CV89" i="1"/>
  <c r="CQ89" i="1"/>
  <c r="CQ87" i="1"/>
  <c r="CT87" i="1"/>
  <c r="CQ85" i="1"/>
  <c r="CV83" i="1"/>
  <c r="CS83" i="1"/>
  <c r="CU83" i="1"/>
  <c r="CW83" i="1"/>
  <c r="CQ83" i="1"/>
  <c r="CR75" i="1"/>
  <c r="CU75" i="1"/>
  <c r="CT75" i="1"/>
  <c r="CV75" i="1"/>
  <c r="CS75" i="1"/>
  <c r="CQ75" i="1"/>
  <c r="CT59" i="1"/>
  <c r="CV59" i="1"/>
  <c r="CR59" i="1"/>
  <c r="CU59" i="1"/>
  <c r="CR49" i="1"/>
  <c r="CQ49" i="1"/>
  <c r="CW7" i="1"/>
  <c r="CS7" i="1"/>
  <c r="CV7" i="1"/>
  <c r="CU7" i="1"/>
  <c r="CT7" i="1"/>
  <c r="CR7" i="1"/>
  <c r="CV201" i="1"/>
  <c r="CU201" i="1"/>
  <c r="CT201" i="1"/>
  <c r="CS201" i="1"/>
  <c r="CQ201" i="1"/>
  <c r="CV199" i="1"/>
  <c r="CU199" i="1"/>
  <c r="CT199" i="1"/>
  <c r="CS199" i="1"/>
  <c r="CW199" i="1"/>
  <c r="CR199" i="1"/>
  <c r="CQ183" i="1"/>
  <c r="CV179" i="1"/>
  <c r="CU179" i="1"/>
  <c r="CT179" i="1"/>
  <c r="CS179" i="1"/>
  <c r="CQ179" i="1"/>
  <c r="CV175" i="1"/>
  <c r="CU175" i="1"/>
  <c r="CT175" i="1"/>
  <c r="CS175" i="1"/>
  <c r="CQ175" i="1"/>
  <c r="CV96" i="1"/>
  <c r="CV76" i="1"/>
  <c r="CU76" i="1"/>
  <c r="CT76" i="1"/>
  <c r="CS76" i="1"/>
  <c r="CQ76" i="1"/>
  <c r="CV84" i="1"/>
  <c r="CS84" i="1"/>
  <c r="CQ84" i="1"/>
  <c r="CW49" i="1"/>
  <c r="CQ91" i="1"/>
  <c r="CR182" i="1"/>
  <c r="CT198" i="1"/>
  <c r="CQ198" i="1"/>
  <c r="CU87" i="1"/>
  <c r="CR87" i="1"/>
  <c r="CW85" i="1"/>
  <c r="CV85" i="1"/>
  <c r="CR85" i="1"/>
  <c r="CQ199" i="1"/>
  <c r="CW201" i="1"/>
  <c r="CR201" i="1"/>
  <c r="CW177" i="1"/>
  <c r="CV177" i="1"/>
  <c r="CU177" i="1"/>
  <c r="CT177" i="1"/>
  <c r="CS177" i="1"/>
  <c r="CR177" i="1"/>
  <c r="CQ177" i="1"/>
  <c r="CW179" i="1"/>
  <c r="CR179" i="1"/>
  <c r="CW175" i="1"/>
  <c r="CR175" i="1"/>
  <c r="CW84" i="1"/>
  <c r="CU84" i="1"/>
  <c r="CW96" i="1"/>
  <c r="CS96" i="1"/>
  <c r="CQ96" i="1"/>
  <c r="CR76" i="1"/>
  <c r="CW50" i="1"/>
  <c r="CR50" i="1"/>
  <c r="CW8" i="1"/>
  <c r="CU8" i="1"/>
  <c r="DC167" i="1" l="1"/>
  <c r="I53" i="1"/>
  <c r="I57" i="1"/>
  <c r="I61" i="1"/>
  <c r="I65" i="1"/>
  <c r="I69" i="1"/>
  <c r="I73" i="1"/>
  <c r="I77" i="1"/>
  <c r="I81" i="1"/>
  <c r="I85" i="1"/>
  <c r="I89" i="1"/>
  <c r="I93" i="1"/>
  <c r="DD167" i="1"/>
  <c r="DJ167" i="1"/>
  <c r="DC168" i="1"/>
  <c r="I51" i="1"/>
  <c r="I55" i="1"/>
  <c r="I59" i="1"/>
  <c r="I63" i="1"/>
  <c r="I67" i="1"/>
  <c r="I71" i="1"/>
  <c r="I75" i="1"/>
  <c r="I79" i="1"/>
  <c r="I87" i="1"/>
  <c r="I91" i="1"/>
  <c r="CW95" i="1"/>
  <c r="CU95" i="1"/>
  <c r="CS95" i="1"/>
  <c r="CU96" i="1"/>
  <c r="CV94" i="1"/>
  <c r="CU94" i="1"/>
  <c r="CR94" i="1"/>
  <c r="CQ94" i="1"/>
  <c r="CW92" i="1"/>
  <c r="CU92" i="1"/>
  <c r="CT92" i="1"/>
  <c r="CS92" i="1"/>
  <c r="CQ92" i="1"/>
  <c r="CW90" i="1"/>
  <c r="CV90" i="1"/>
  <c r="CR90" i="1"/>
  <c r="CQ90" i="1"/>
  <c r="CT96" i="1"/>
  <c r="CR96" i="1"/>
  <c r="CT95" i="1"/>
  <c r="CR95" i="1"/>
  <c r="CW94" i="1"/>
  <c r="CT94" i="1"/>
  <c r="CS94" i="1"/>
  <c r="CW93" i="1"/>
  <c r="CT93" i="1"/>
  <c r="CS93" i="1"/>
  <c r="CV92" i="1"/>
  <c r="CR92" i="1"/>
  <c r="CV91" i="1"/>
  <c r="CR91" i="1"/>
  <c r="CU90" i="1"/>
  <c r="CT90" i="1"/>
  <c r="CS90" i="1"/>
  <c r="CU89" i="1"/>
  <c r="CT89" i="1"/>
  <c r="CS89" i="1"/>
  <c r="CV60" i="1" l="1"/>
  <c r="CU60" i="1"/>
  <c r="CR60" i="1"/>
  <c r="CQ60" i="1"/>
  <c r="CQ50" i="1"/>
  <c r="CV8" i="1"/>
  <c r="CT8" i="1"/>
  <c r="CW200" i="1"/>
  <c r="CU200" i="1"/>
  <c r="CT200" i="1"/>
  <c r="CS200" i="1"/>
  <c r="CQ200" i="1"/>
  <c r="CQ59" i="1"/>
  <c r="CT60" i="1"/>
  <c r="CU88" i="1"/>
  <c r="CT88" i="1"/>
  <c r="CR88" i="1"/>
  <c r="CQ88" i="1"/>
  <c r="CW86" i="1"/>
  <c r="CV86" i="1"/>
  <c r="CR86" i="1"/>
  <c r="CQ86" i="1"/>
  <c r="CW176" i="1"/>
  <c r="CV176" i="1"/>
  <c r="CU176" i="1"/>
  <c r="CT176" i="1"/>
  <c r="CS176" i="1"/>
  <c r="CR176" i="1"/>
  <c r="CQ176" i="1"/>
  <c r="CW178" i="1"/>
  <c r="CV178" i="1"/>
  <c r="CU178" i="1"/>
  <c r="CT178" i="1"/>
  <c r="CS178" i="1"/>
  <c r="CR178" i="1"/>
  <c r="CQ178" i="1"/>
  <c r="CW174" i="1"/>
  <c r="CV174" i="1"/>
  <c r="CU174" i="1"/>
  <c r="CT174" i="1"/>
  <c r="CS174" i="1"/>
  <c r="CR174" i="1"/>
  <c r="CQ174" i="1"/>
  <c r="CR183" i="1"/>
  <c r="CW88" i="1" l="1"/>
  <c r="CV88" i="1"/>
  <c r="CS88" i="1"/>
  <c r="CW87" i="1"/>
  <c r="CV87" i="1"/>
  <c r="CS87" i="1"/>
  <c r="CU86" i="1"/>
  <c r="CT86" i="1"/>
  <c r="CS86" i="1"/>
  <c r="CU85" i="1"/>
  <c r="CT85" i="1"/>
  <c r="CS85" i="1"/>
  <c r="CW60" i="1" l="1"/>
  <c r="CS60" i="1"/>
  <c r="CW59" i="1"/>
  <c r="CS59" i="1"/>
  <c r="CS8" i="1"/>
  <c r="CR8" i="1"/>
  <c r="CQ8" i="1"/>
  <c r="CV50" i="1"/>
  <c r="CU50" i="1"/>
  <c r="CT50" i="1"/>
  <c r="CS50" i="1"/>
  <c r="CP200" i="1"/>
  <c r="CI198" i="1"/>
  <c r="CG198" i="1"/>
  <c r="CP198" i="1"/>
  <c r="CK198" i="1"/>
  <c r="CL198" i="1"/>
  <c r="CO198" i="1"/>
  <c r="CH198" i="1"/>
  <c r="CM198" i="1"/>
  <c r="CK200" i="1"/>
  <c r="CM200" i="1"/>
  <c r="CJ200" i="1"/>
  <c r="CH200" i="1"/>
  <c r="CG182" i="1"/>
  <c r="CP178" i="1"/>
  <c r="CO178" i="1"/>
  <c r="CN178" i="1"/>
  <c r="CM178" i="1"/>
  <c r="CL178" i="1"/>
  <c r="CK178" i="1"/>
  <c r="CJ178" i="1"/>
  <c r="CI178" i="1"/>
  <c r="CH178" i="1"/>
  <c r="CG178" i="1"/>
  <c r="CP174" i="1"/>
  <c r="CO174" i="1"/>
  <c r="CN174" i="1"/>
  <c r="CM174" i="1"/>
  <c r="CL174" i="1"/>
  <c r="CK174" i="1"/>
  <c r="CJ174" i="1"/>
  <c r="CI174" i="1"/>
  <c r="CH174" i="1"/>
  <c r="CG174" i="1"/>
  <c r="CO83" i="1"/>
  <c r="CN83" i="1"/>
  <c r="CJ83" i="1"/>
  <c r="CH83" i="1"/>
  <c r="CG83" i="1"/>
  <c r="CP83" i="1"/>
  <c r="CL83" i="1"/>
  <c r="CI83" i="1"/>
  <c r="CH77" i="1"/>
  <c r="CG77" i="1"/>
  <c r="CJ75" i="1"/>
  <c r="CG75" i="1"/>
  <c r="CL75" i="1"/>
  <c r="CH75" i="1"/>
  <c r="CN57" i="1"/>
  <c r="CL57" i="1"/>
  <c r="CI57" i="1"/>
  <c r="CG57" i="1"/>
  <c r="CO49" i="1"/>
  <c r="CH49" i="1"/>
  <c r="CO7" i="1"/>
  <c r="CN7" i="1"/>
  <c r="CL7" i="1"/>
  <c r="CI7" i="1"/>
  <c r="CP199" i="1"/>
  <c r="CN207" i="1"/>
  <c r="CP201" i="1"/>
  <c r="CO201" i="1"/>
  <c r="CN201" i="1"/>
  <c r="CM201" i="1"/>
  <c r="CL201" i="1"/>
  <c r="CK201" i="1"/>
  <c r="CJ201" i="1"/>
  <c r="CI201" i="1"/>
  <c r="CH201" i="1"/>
  <c r="CG201" i="1"/>
  <c r="CM199" i="1"/>
  <c r="CK199" i="1"/>
  <c r="CG183" i="1"/>
  <c r="CP177" i="1"/>
  <c r="CO177" i="1"/>
  <c r="CN177" i="1"/>
  <c r="CM177" i="1"/>
  <c r="CL177" i="1"/>
  <c r="CK177" i="1"/>
  <c r="CJ177" i="1"/>
  <c r="CI177" i="1"/>
  <c r="CH177" i="1"/>
  <c r="CG177" i="1"/>
  <c r="CP179" i="1"/>
  <c r="CO179" i="1"/>
  <c r="CN179" i="1"/>
  <c r="CM179" i="1"/>
  <c r="CL179" i="1"/>
  <c r="CK179" i="1"/>
  <c r="CJ179" i="1"/>
  <c r="CI179" i="1"/>
  <c r="CH179" i="1"/>
  <c r="CG179" i="1"/>
  <c r="CP175" i="1"/>
  <c r="CO175" i="1"/>
  <c r="CN175" i="1"/>
  <c r="CM175" i="1"/>
  <c r="CL175" i="1"/>
  <c r="CK175" i="1"/>
  <c r="CJ175" i="1"/>
  <c r="CI175" i="1"/>
  <c r="CH175" i="1"/>
  <c r="CG175" i="1"/>
  <c r="CO8" i="1"/>
  <c r="CI8" i="1"/>
  <c r="CM76" i="1"/>
  <c r="CL76" i="1"/>
  <c r="CJ76" i="1"/>
  <c r="CH76" i="1"/>
  <c r="CG76" i="1"/>
  <c r="CO84" i="1"/>
  <c r="CN84" i="1"/>
  <c r="CL84" i="1"/>
  <c r="CJ84" i="1"/>
  <c r="CI84" i="1"/>
  <c r="CG84" i="1"/>
  <c r="CW207" i="1" l="1"/>
  <c r="CV207" i="1"/>
  <c r="CU207" i="1"/>
  <c r="CT207" i="1"/>
  <c r="CS207" i="1"/>
  <c r="CR207" i="1"/>
  <c r="CQ207" i="1"/>
  <c r="CW206" i="1"/>
  <c r="CV206" i="1"/>
  <c r="CU206" i="1"/>
  <c r="CT206" i="1"/>
  <c r="CS206" i="1"/>
  <c r="CR206" i="1"/>
  <c r="CQ206" i="1"/>
  <c r="CW205" i="1"/>
  <c r="CV205" i="1"/>
  <c r="CU205" i="1"/>
  <c r="CT205" i="1"/>
  <c r="CS205" i="1"/>
  <c r="CR205" i="1"/>
  <c r="CQ205" i="1"/>
  <c r="CW204" i="1"/>
  <c r="CV204" i="1"/>
  <c r="CU204" i="1"/>
  <c r="CT204" i="1"/>
  <c r="CS204" i="1"/>
  <c r="CR204" i="1"/>
  <c r="CQ204" i="1"/>
  <c r="CW203" i="1"/>
  <c r="CV203" i="1"/>
  <c r="CU203" i="1"/>
  <c r="CT203" i="1"/>
  <c r="CS203" i="1"/>
  <c r="CR203" i="1"/>
  <c r="CQ203" i="1"/>
  <c r="CW202" i="1"/>
  <c r="CV202" i="1"/>
  <c r="CU202" i="1"/>
  <c r="CT202" i="1"/>
  <c r="CS202" i="1"/>
  <c r="CR202" i="1"/>
  <c r="CQ202" i="1"/>
  <c r="CV198" i="1"/>
  <c r="CU198" i="1"/>
  <c r="CW185" i="1"/>
  <c r="CV185" i="1"/>
  <c r="CU185" i="1"/>
  <c r="CT185" i="1"/>
  <c r="CS185" i="1"/>
  <c r="CR185" i="1"/>
  <c r="CQ185" i="1"/>
  <c r="CW184" i="1"/>
  <c r="CV184" i="1"/>
  <c r="CU184" i="1"/>
  <c r="CT184" i="1"/>
  <c r="CS184" i="1"/>
  <c r="CR184" i="1"/>
  <c r="CQ184" i="1"/>
  <c r="CW183" i="1"/>
  <c r="CV183" i="1"/>
  <c r="CU183" i="1"/>
  <c r="CT183" i="1"/>
  <c r="CS183" i="1"/>
  <c r="CW182" i="1"/>
  <c r="CV182" i="1"/>
  <c r="CU182" i="1"/>
  <c r="CT182" i="1"/>
  <c r="CS182" i="1"/>
  <c r="CW181" i="1"/>
  <c r="CV181" i="1"/>
  <c r="CU181" i="1"/>
  <c r="CT181" i="1"/>
  <c r="CS181" i="1"/>
  <c r="CR181" i="1"/>
  <c r="CQ181" i="1"/>
  <c r="CW180" i="1"/>
  <c r="CV180" i="1"/>
  <c r="CU180" i="1"/>
  <c r="CT180" i="1"/>
  <c r="CS180" i="1"/>
  <c r="CR180" i="1"/>
  <c r="CQ180" i="1"/>
  <c r="CT84" i="1"/>
  <c r="CR84" i="1"/>
  <c r="CT83" i="1"/>
  <c r="CR83" i="1"/>
  <c r="CW78" i="1"/>
  <c r="CV78" i="1"/>
  <c r="CU78" i="1"/>
  <c r="CT78" i="1"/>
  <c r="CS78" i="1"/>
  <c r="CR78" i="1"/>
  <c r="CQ78" i="1"/>
  <c r="CW77" i="1"/>
  <c r="CV77" i="1"/>
  <c r="CU77" i="1"/>
  <c r="CT77" i="1"/>
  <c r="CS77" i="1"/>
  <c r="CR77" i="1"/>
  <c r="CQ77" i="1"/>
  <c r="CW76" i="1"/>
  <c r="CW75" i="1"/>
  <c r="CW58" i="1"/>
  <c r="CV58" i="1"/>
  <c r="CU58" i="1"/>
  <c r="CT58" i="1"/>
  <c r="CS58" i="1"/>
  <c r="CR58" i="1"/>
  <c r="CQ58" i="1"/>
  <c r="CW57" i="1"/>
  <c r="CV57" i="1"/>
  <c r="CU57" i="1"/>
  <c r="CT57" i="1"/>
  <c r="CS57" i="1"/>
  <c r="CR57" i="1"/>
  <c r="CQ57" i="1"/>
  <c r="CV49" i="1"/>
  <c r="CU49" i="1"/>
  <c r="CT49" i="1"/>
  <c r="CS49" i="1"/>
  <c r="CQ7" i="1"/>
  <c r="CW82" i="1"/>
  <c r="CV82" i="1"/>
  <c r="CU82" i="1"/>
  <c r="CT82" i="1"/>
  <c r="CS82" i="1"/>
  <c r="CR82" i="1"/>
  <c r="CQ82" i="1"/>
  <c r="CW81" i="1"/>
  <c r="CV81" i="1"/>
  <c r="CU81" i="1"/>
  <c r="CT81" i="1"/>
  <c r="CS81" i="1"/>
  <c r="CR81" i="1"/>
  <c r="CQ81" i="1"/>
  <c r="CW80" i="1"/>
  <c r="CV80" i="1"/>
  <c r="CU80" i="1"/>
  <c r="CT80" i="1"/>
  <c r="CS80" i="1"/>
  <c r="CR80" i="1"/>
  <c r="CQ80" i="1"/>
  <c r="CW79" i="1"/>
  <c r="CV79" i="1"/>
  <c r="CU79" i="1"/>
  <c r="CT79" i="1"/>
  <c r="CS79" i="1"/>
  <c r="CR79" i="1"/>
  <c r="CQ79" i="1"/>
  <c r="CW74" i="1"/>
  <c r="CV74" i="1"/>
  <c r="CU74" i="1"/>
  <c r="CT74" i="1"/>
  <c r="CS74" i="1"/>
  <c r="CR74" i="1"/>
  <c r="CQ74" i="1"/>
  <c r="CW73" i="1"/>
  <c r="CV73" i="1"/>
  <c r="CU73" i="1"/>
  <c r="CT73" i="1"/>
  <c r="CS73" i="1"/>
  <c r="CR73" i="1"/>
  <c r="CQ73" i="1"/>
  <c r="CW72" i="1"/>
  <c r="CV72" i="1"/>
  <c r="CU72" i="1"/>
  <c r="CT72" i="1"/>
  <c r="CS72" i="1"/>
  <c r="CR72" i="1"/>
  <c r="CQ72" i="1"/>
  <c r="CW71" i="1"/>
  <c r="CV71" i="1"/>
  <c r="CU71" i="1"/>
  <c r="CT71" i="1"/>
  <c r="CS71" i="1"/>
  <c r="CR71" i="1"/>
  <c r="CQ71" i="1"/>
  <c r="CW70" i="1"/>
  <c r="CV70" i="1"/>
  <c r="CU70" i="1"/>
  <c r="CT70" i="1"/>
  <c r="CS70" i="1"/>
  <c r="CR70" i="1"/>
  <c r="CQ70" i="1"/>
  <c r="CW69" i="1"/>
  <c r="CV69" i="1"/>
  <c r="CU69" i="1"/>
  <c r="CT69" i="1"/>
  <c r="CS69" i="1"/>
  <c r="CR69" i="1"/>
  <c r="CQ69" i="1"/>
  <c r="CW68" i="1"/>
  <c r="CV68" i="1"/>
  <c r="CU68" i="1"/>
  <c r="CT68" i="1"/>
  <c r="CS68" i="1"/>
  <c r="CR68" i="1"/>
  <c r="CQ68" i="1"/>
  <c r="CW67" i="1"/>
  <c r="CV67" i="1"/>
  <c r="CU67" i="1"/>
  <c r="CT67" i="1"/>
  <c r="CS67" i="1"/>
  <c r="CR67" i="1"/>
  <c r="CQ67" i="1"/>
  <c r="CW66" i="1"/>
  <c r="CV66" i="1"/>
  <c r="CU66" i="1"/>
  <c r="CT66" i="1"/>
  <c r="CS66" i="1"/>
  <c r="CR66" i="1"/>
  <c r="CQ66" i="1"/>
  <c r="CW65" i="1"/>
  <c r="CV65" i="1"/>
  <c r="CU65" i="1"/>
  <c r="CT65" i="1"/>
  <c r="CS65" i="1"/>
  <c r="CR65" i="1"/>
  <c r="CQ65" i="1"/>
  <c r="CW64" i="1"/>
  <c r="CV64" i="1"/>
  <c r="CU64" i="1"/>
  <c r="CT64" i="1"/>
  <c r="CS64" i="1"/>
  <c r="CR64" i="1"/>
  <c r="CQ64" i="1"/>
  <c r="CW63" i="1"/>
  <c r="CV63" i="1"/>
  <c r="CU63" i="1"/>
  <c r="CT63" i="1"/>
  <c r="CS63" i="1"/>
  <c r="CR63" i="1"/>
  <c r="CQ63" i="1"/>
  <c r="CW62" i="1"/>
  <c r="CV62" i="1"/>
  <c r="CU62" i="1"/>
  <c r="CT62" i="1"/>
  <c r="CS62" i="1"/>
  <c r="CR62" i="1"/>
  <c r="CQ62" i="1"/>
  <c r="CW61" i="1"/>
  <c r="CV61" i="1"/>
  <c r="CU61" i="1"/>
  <c r="CT61" i="1"/>
  <c r="CS61" i="1"/>
  <c r="CR61" i="1"/>
  <c r="CQ61" i="1"/>
  <c r="CW56" i="1"/>
  <c r="CV56" i="1"/>
  <c r="CU56" i="1"/>
  <c r="CT56" i="1"/>
  <c r="CS56" i="1"/>
  <c r="CR56" i="1"/>
  <c r="CQ56" i="1"/>
  <c r="CW55" i="1"/>
  <c r="CV55" i="1"/>
  <c r="CU55" i="1"/>
  <c r="CT55" i="1"/>
  <c r="CS55" i="1"/>
  <c r="CR55" i="1"/>
  <c r="CQ55" i="1"/>
  <c r="CW54" i="1"/>
  <c r="CV54" i="1"/>
  <c r="CU54" i="1"/>
  <c r="CT54" i="1"/>
  <c r="CS54" i="1"/>
  <c r="CR54" i="1"/>
  <c r="CQ54" i="1"/>
  <c r="CW53" i="1"/>
  <c r="CV53" i="1"/>
  <c r="CU53" i="1"/>
  <c r="CT53" i="1"/>
  <c r="CS53" i="1"/>
  <c r="CR53" i="1"/>
  <c r="CQ53" i="1"/>
  <c r="CW52" i="1"/>
  <c r="CV52" i="1"/>
  <c r="CU52" i="1"/>
  <c r="CT52" i="1"/>
  <c r="CS52" i="1"/>
  <c r="CR52" i="1"/>
  <c r="CQ52" i="1"/>
  <c r="CW51" i="1"/>
  <c r="CV51" i="1"/>
  <c r="CU51" i="1"/>
  <c r="CT51" i="1"/>
  <c r="CS51" i="1"/>
  <c r="CR51" i="1"/>
  <c r="CQ51" i="1"/>
  <c r="CN198" i="1" l="1"/>
  <c r="CJ198" i="1"/>
  <c r="CO200" i="1"/>
  <c r="CN200" i="1"/>
  <c r="CL200" i="1"/>
  <c r="CI200" i="1"/>
  <c r="CG200" i="1"/>
  <c r="CP75" i="1"/>
  <c r="CN75" i="1"/>
  <c r="CP7" i="1"/>
  <c r="CM7" i="1"/>
  <c r="CK7" i="1"/>
  <c r="CJ7" i="1"/>
  <c r="CL207" i="1"/>
  <c r="CM207" i="1"/>
  <c r="CL199" i="1"/>
  <c r="CH199" i="1"/>
  <c r="CG49" i="1"/>
  <c r="CP84" i="1"/>
  <c r="CG58" i="1"/>
  <c r="CO50" i="1"/>
  <c r="CH50" i="1"/>
  <c r="CG50" i="1"/>
  <c r="AI127" i="8" l="1"/>
  <c r="AH127" i="8"/>
  <c r="AI126" i="8"/>
  <c r="AH126" i="8"/>
  <c r="CO199" i="1" l="1"/>
  <c r="CP207" i="1"/>
  <c r="CG207" i="1"/>
  <c r="CN199" i="1"/>
  <c r="CJ199" i="1"/>
  <c r="CI199" i="1"/>
  <c r="CH183" i="1"/>
  <c r="CN58" i="1"/>
  <c r="CL58" i="1"/>
  <c r="CI58" i="1"/>
  <c r="CH84" i="1"/>
  <c r="CG78" i="1"/>
  <c r="CN8" i="1"/>
  <c r="CL8" i="1"/>
  <c r="CO207" i="1" l="1"/>
  <c r="CK207" i="1"/>
  <c r="CJ207" i="1"/>
  <c r="CI207" i="1"/>
  <c r="CH207" i="1"/>
  <c r="CG199" i="1"/>
  <c r="CK77" i="1"/>
  <c r="CJ77" i="1"/>
  <c r="CM75" i="1"/>
  <c r="CP176" i="1" l="1"/>
  <c r="CO176" i="1"/>
  <c r="CN176" i="1"/>
  <c r="CM176" i="1"/>
  <c r="CL176" i="1"/>
  <c r="CK176" i="1"/>
  <c r="CJ176" i="1"/>
  <c r="CI176" i="1"/>
  <c r="CH176" i="1"/>
  <c r="CG176" i="1"/>
  <c r="CF174" i="1"/>
  <c r="CF198" i="1"/>
  <c r="CE198" i="1"/>
  <c r="CD198" i="1"/>
  <c r="CC198" i="1"/>
  <c r="CB198" i="1"/>
  <c r="CA198" i="1"/>
  <c r="BZ198" i="1"/>
  <c r="BX198" i="1"/>
  <c r="BW182" i="1"/>
  <c r="CE83" i="1"/>
  <c r="BY83" i="1"/>
  <c r="BW83" i="1"/>
  <c r="BZ81" i="1"/>
  <c r="BW81" i="1"/>
  <c r="CF81" i="1"/>
  <c r="CD81" i="1"/>
  <c r="CE79" i="1"/>
  <c r="BX79" i="1"/>
  <c r="CE77" i="1"/>
  <c r="CD77" i="1"/>
  <c r="CA77" i="1"/>
  <c r="BZ77" i="1"/>
  <c r="BY77" i="1"/>
  <c r="BX77" i="1"/>
  <c r="BW77" i="1"/>
  <c r="CF75" i="1"/>
  <c r="CA75" i="1"/>
  <c r="CB75" i="1"/>
  <c r="CD75" i="1"/>
  <c r="CC75" i="1" l="1"/>
  <c r="CD73" i="1"/>
  <c r="CA73" i="1"/>
  <c r="CF73" i="1"/>
  <c r="BW71" i="1"/>
  <c r="CD71" i="1"/>
  <c r="CB71" i="1"/>
  <c r="BW67" i="1"/>
  <c r="CF67" i="1"/>
  <c r="CE67" i="1"/>
  <c r="CD67" i="1"/>
  <c r="CB67" i="1"/>
  <c r="BY67" i="1"/>
  <c r="BZ59" i="1"/>
  <c r="CD59" i="1"/>
  <c r="CF59" i="1"/>
  <c r="CE59" i="1"/>
  <c r="CC59" i="1"/>
  <c r="CB59" i="1"/>
  <c r="CA59" i="1"/>
  <c r="BY59" i="1"/>
  <c r="BX59" i="1"/>
  <c r="BW59" i="1"/>
  <c r="CD65" i="1"/>
  <c r="CB65" i="1"/>
  <c r="BY65" i="1"/>
  <c r="BW65" i="1"/>
  <c r="CD57" i="1" l="1"/>
  <c r="BY57" i="1"/>
  <c r="CE11" i="1"/>
  <c r="BZ11" i="1"/>
  <c r="BY11" i="1"/>
  <c r="BZ7" i="1"/>
  <c r="BY7" i="1"/>
  <c r="CB7" i="1"/>
  <c r="CA7" i="1"/>
  <c r="CF7" i="1"/>
  <c r="CE7" i="1"/>
  <c r="CC7" i="1"/>
  <c r="CP206" i="1"/>
  <c r="CO206" i="1"/>
  <c r="CN206" i="1"/>
  <c r="CM206" i="1"/>
  <c r="CL206" i="1"/>
  <c r="CK206" i="1"/>
  <c r="CJ206" i="1"/>
  <c r="CI206" i="1"/>
  <c r="CH206" i="1"/>
  <c r="CG206" i="1"/>
  <c r="CP205" i="1"/>
  <c r="CO205" i="1"/>
  <c r="CN205" i="1"/>
  <c r="CM205" i="1"/>
  <c r="CL205" i="1"/>
  <c r="CK205" i="1"/>
  <c r="CJ205" i="1"/>
  <c r="CI205" i="1"/>
  <c r="CH205" i="1"/>
  <c r="CG205" i="1"/>
  <c r="CP204" i="1"/>
  <c r="CO204" i="1"/>
  <c r="CN204" i="1"/>
  <c r="CM204" i="1"/>
  <c r="CL204" i="1"/>
  <c r="CK204" i="1"/>
  <c r="CJ204" i="1"/>
  <c r="CI204" i="1"/>
  <c r="CH204" i="1"/>
  <c r="CG204" i="1"/>
  <c r="CP203" i="1"/>
  <c r="CO203" i="1"/>
  <c r="CN203" i="1"/>
  <c r="CM203" i="1"/>
  <c r="CM209" i="1" s="1"/>
  <c r="CL203" i="1"/>
  <c r="CK203" i="1"/>
  <c r="CJ203" i="1"/>
  <c r="CI203" i="1"/>
  <c r="CH203" i="1"/>
  <c r="CG203" i="1"/>
  <c r="CP202" i="1"/>
  <c r="CO202" i="1"/>
  <c r="CN202" i="1"/>
  <c r="CM202" i="1"/>
  <c r="CM208" i="1" s="1"/>
  <c r="CL202" i="1"/>
  <c r="CK202" i="1"/>
  <c r="CJ202" i="1"/>
  <c r="CI202" i="1"/>
  <c r="CH202" i="1"/>
  <c r="CG202" i="1"/>
  <c r="CP185" i="1"/>
  <c r="CO185" i="1"/>
  <c r="CN185" i="1"/>
  <c r="CM185" i="1"/>
  <c r="CL185" i="1"/>
  <c r="CK185" i="1"/>
  <c r="CJ185" i="1"/>
  <c r="CI185" i="1"/>
  <c r="CH185" i="1"/>
  <c r="CG185" i="1"/>
  <c r="CP184" i="1"/>
  <c r="CO184" i="1"/>
  <c r="CN184" i="1"/>
  <c r="CM184" i="1"/>
  <c r="CL184" i="1"/>
  <c r="CK184" i="1"/>
  <c r="CJ184" i="1"/>
  <c r="CI184" i="1"/>
  <c r="CH184" i="1"/>
  <c r="CG184" i="1"/>
  <c r="CP183" i="1"/>
  <c r="CO183" i="1"/>
  <c r="CN183" i="1"/>
  <c r="CM183" i="1"/>
  <c r="CL183" i="1"/>
  <c r="CK183" i="1"/>
  <c r="CJ183" i="1"/>
  <c r="CI183" i="1"/>
  <c r="CP182" i="1"/>
  <c r="CO182" i="1"/>
  <c r="CN182" i="1"/>
  <c r="CM182" i="1"/>
  <c r="CL182" i="1"/>
  <c r="CL186" i="1" s="1"/>
  <c r="CK182" i="1"/>
  <c r="CJ182" i="1"/>
  <c r="CI182" i="1"/>
  <c r="CH182" i="1"/>
  <c r="CP181" i="1"/>
  <c r="CO181" i="1"/>
  <c r="CN181" i="1"/>
  <c r="CM181" i="1"/>
  <c r="CL181" i="1"/>
  <c r="CK181" i="1"/>
  <c r="CJ181" i="1"/>
  <c r="CI181" i="1"/>
  <c r="CH181" i="1"/>
  <c r="CG181" i="1"/>
  <c r="CP180" i="1"/>
  <c r="CO180" i="1"/>
  <c r="CN180" i="1"/>
  <c r="CM180" i="1"/>
  <c r="CL180" i="1"/>
  <c r="CK180" i="1"/>
  <c r="CJ180" i="1"/>
  <c r="CI180" i="1"/>
  <c r="CH180" i="1"/>
  <c r="CG180" i="1"/>
  <c r="CM84" i="1"/>
  <c r="CK84" i="1"/>
  <c r="CM83" i="1"/>
  <c r="CK83" i="1"/>
  <c r="CP82" i="1"/>
  <c r="CO82" i="1"/>
  <c r="CN82" i="1"/>
  <c r="CM82" i="1"/>
  <c r="CL82" i="1"/>
  <c r="CK82" i="1"/>
  <c r="CJ82" i="1"/>
  <c r="CI82" i="1"/>
  <c r="CH82" i="1"/>
  <c r="CG82" i="1"/>
  <c r="CP81" i="1"/>
  <c r="CO81" i="1"/>
  <c r="CN81" i="1"/>
  <c r="CM81" i="1"/>
  <c r="CL81" i="1"/>
  <c r="CK81" i="1"/>
  <c r="CJ81" i="1"/>
  <c r="CI81" i="1"/>
  <c r="CH81" i="1"/>
  <c r="CG81" i="1"/>
  <c r="CP80" i="1"/>
  <c r="CO80" i="1"/>
  <c r="CN80" i="1"/>
  <c r="CM80" i="1"/>
  <c r="CL80" i="1"/>
  <c r="CK80" i="1"/>
  <c r="CJ80" i="1"/>
  <c r="CI80" i="1"/>
  <c r="CH80" i="1"/>
  <c r="CG80" i="1"/>
  <c r="CP79" i="1"/>
  <c r="CO79" i="1"/>
  <c r="CN79" i="1"/>
  <c r="CM79" i="1"/>
  <c r="CL79" i="1"/>
  <c r="CK79" i="1"/>
  <c r="CJ79" i="1"/>
  <c r="CI79" i="1"/>
  <c r="CH79" i="1"/>
  <c r="CG79" i="1"/>
  <c r="CP78" i="1"/>
  <c r="CO78" i="1"/>
  <c r="CN78" i="1"/>
  <c r="CM78" i="1"/>
  <c r="CL78" i="1"/>
  <c r="CK78" i="1"/>
  <c r="CJ78" i="1"/>
  <c r="CI78" i="1"/>
  <c r="CH78" i="1"/>
  <c r="CP77" i="1"/>
  <c r="CO77" i="1"/>
  <c r="CN77" i="1"/>
  <c r="CM77" i="1"/>
  <c r="CL77" i="1"/>
  <c r="CI77" i="1"/>
  <c r="CP76" i="1"/>
  <c r="CO76" i="1"/>
  <c r="CN76" i="1"/>
  <c r="CK76" i="1"/>
  <c r="CI76" i="1"/>
  <c r="CO75" i="1"/>
  <c r="CK75" i="1"/>
  <c r="CI75" i="1"/>
  <c r="CP74" i="1"/>
  <c r="CO74" i="1"/>
  <c r="CN74" i="1"/>
  <c r="CM74" i="1"/>
  <c r="CL74" i="1"/>
  <c r="CK74" i="1"/>
  <c r="CJ74" i="1"/>
  <c r="CI74" i="1"/>
  <c r="CH74" i="1"/>
  <c r="CG74" i="1"/>
  <c r="CP73" i="1"/>
  <c r="CO73" i="1"/>
  <c r="CN73" i="1"/>
  <c r="CM73" i="1"/>
  <c r="CL73" i="1"/>
  <c r="CK73" i="1"/>
  <c r="CJ73" i="1"/>
  <c r="CI73" i="1"/>
  <c r="CH73" i="1"/>
  <c r="CG73" i="1"/>
  <c r="CP72" i="1"/>
  <c r="CO72" i="1"/>
  <c r="CN72" i="1"/>
  <c r="CM72" i="1"/>
  <c r="CL72" i="1"/>
  <c r="CK72" i="1"/>
  <c r="CJ72" i="1"/>
  <c r="CI72" i="1"/>
  <c r="CH72" i="1"/>
  <c r="CG72" i="1"/>
  <c r="CP71" i="1"/>
  <c r="CO71" i="1"/>
  <c r="CN71" i="1"/>
  <c r="CM71" i="1"/>
  <c r="CL71" i="1"/>
  <c r="CK71" i="1"/>
  <c r="CJ71" i="1"/>
  <c r="CI71" i="1"/>
  <c r="CH71" i="1"/>
  <c r="CG71" i="1"/>
  <c r="CP70" i="1"/>
  <c r="CO70" i="1"/>
  <c r="CN70" i="1"/>
  <c r="CM70" i="1"/>
  <c r="CL70" i="1"/>
  <c r="CK70" i="1"/>
  <c r="CJ70" i="1"/>
  <c r="CI70" i="1"/>
  <c r="CH70" i="1"/>
  <c r="CG70" i="1"/>
  <c r="CP69" i="1"/>
  <c r="CO69" i="1"/>
  <c r="CN69" i="1"/>
  <c r="CM69" i="1"/>
  <c r="CL69" i="1"/>
  <c r="CK69" i="1"/>
  <c r="CJ69" i="1"/>
  <c r="CI69" i="1"/>
  <c r="CH69" i="1"/>
  <c r="CG69" i="1"/>
  <c r="CP68" i="1"/>
  <c r="CO68" i="1"/>
  <c r="CN68" i="1"/>
  <c r="CM68" i="1"/>
  <c r="CL68" i="1"/>
  <c r="CK68" i="1"/>
  <c r="CJ68" i="1"/>
  <c r="CI68" i="1"/>
  <c r="CH68" i="1"/>
  <c r="CG68" i="1"/>
  <c r="CP67" i="1"/>
  <c r="CO67" i="1"/>
  <c r="CN67" i="1"/>
  <c r="CM67" i="1"/>
  <c r="CL67" i="1"/>
  <c r="CK67" i="1"/>
  <c r="CJ67" i="1"/>
  <c r="CI67" i="1"/>
  <c r="CH67" i="1"/>
  <c r="CG67" i="1"/>
  <c r="CP66" i="1"/>
  <c r="CO66" i="1"/>
  <c r="CN66" i="1"/>
  <c r="CM66" i="1"/>
  <c r="CL66" i="1"/>
  <c r="CK66" i="1"/>
  <c r="CJ66" i="1"/>
  <c r="CI66" i="1"/>
  <c r="CH66" i="1"/>
  <c r="CG66" i="1"/>
  <c r="CP65" i="1"/>
  <c r="CO65" i="1"/>
  <c r="CN65" i="1"/>
  <c r="CM65" i="1"/>
  <c r="CL65" i="1"/>
  <c r="CK65" i="1"/>
  <c r="CJ65" i="1"/>
  <c r="CI65" i="1"/>
  <c r="CH65" i="1"/>
  <c r="CG65" i="1"/>
  <c r="CP64" i="1"/>
  <c r="CO64" i="1"/>
  <c r="CN64" i="1"/>
  <c r="CM64" i="1"/>
  <c r="CL64" i="1"/>
  <c r="CK64" i="1"/>
  <c r="CJ64" i="1"/>
  <c r="CI64" i="1"/>
  <c r="CH64" i="1"/>
  <c r="CG64" i="1"/>
  <c r="CP63" i="1"/>
  <c r="CO63" i="1"/>
  <c r="CN63" i="1"/>
  <c r="CM63" i="1"/>
  <c r="CL63" i="1"/>
  <c r="CK63" i="1"/>
  <c r="CJ63" i="1"/>
  <c r="CI63" i="1"/>
  <c r="CH63" i="1"/>
  <c r="CG63" i="1"/>
  <c r="CP62" i="1"/>
  <c r="CO62" i="1"/>
  <c r="CN62" i="1"/>
  <c r="CM62" i="1"/>
  <c r="CL62" i="1"/>
  <c r="CK62" i="1"/>
  <c r="CJ62" i="1"/>
  <c r="CI62" i="1"/>
  <c r="CH62" i="1"/>
  <c r="CG62" i="1"/>
  <c r="CP61" i="1"/>
  <c r="CO61" i="1"/>
  <c r="CN61" i="1"/>
  <c r="CM61" i="1"/>
  <c r="CL61" i="1"/>
  <c r="CK61" i="1"/>
  <c r="CJ61" i="1"/>
  <c r="CI61" i="1"/>
  <c r="CH61" i="1"/>
  <c r="CG61" i="1"/>
  <c r="CP60" i="1"/>
  <c r="CO60" i="1"/>
  <c r="CN60" i="1"/>
  <c r="CM60" i="1"/>
  <c r="CL60" i="1"/>
  <c r="CK60" i="1"/>
  <c r="CJ60" i="1"/>
  <c r="CI60" i="1"/>
  <c r="CH60" i="1"/>
  <c r="CG60" i="1"/>
  <c r="CP59" i="1"/>
  <c r="CO59" i="1"/>
  <c r="CN59" i="1"/>
  <c r="CM59" i="1"/>
  <c r="CL59" i="1"/>
  <c r="CK59" i="1"/>
  <c r="CJ59" i="1"/>
  <c r="CI59" i="1"/>
  <c r="CH59" i="1"/>
  <c r="CG59" i="1"/>
  <c r="CP58" i="1"/>
  <c r="CO58" i="1"/>
  <c r="CM58" i="1"/>
  <c r="CK58" i="1"/>
  <c r="CJ58" i="1"/>
  <c r="CH58" i="1"/>
  <c r="CP57" i="1"/>
  <c r="CO57" i="1"/>
  <c r="CM57" i="1"/>
  <c r="CK57" i="1"/>
  <c r="CJ57" i="1"/>
  <c r="CH57" i="1"/>
  <c r="CP56" i="1"/>
  <c r="CO56" i="1"/>
  <c r="CN56" i="1"/>
  <c r="CM56" i="1"/>
  <c r="CL56" i="1"/>
  <c r="CK56" i="1"/>
  <c r="CJ56" i="1"/>
  <c r="CI56" i="1"/>
  <c r="CH56" i="1"/>
  <c r="CG56" i="1"/>
  <c r="CP55" i="1"/>
  <c r="CO55" i="1"/>
  <c r="CN55" i="1"/>
  <c r="CM55" i="1"/>
  <c r="CL55" i="1"/>
  <c r="CK55" i="1"/>
  <c r="CJ55" i="1"/>
  <c r="CI55" i="1"/>
  <c r="CH55" i="1"/>
  <c r="CG55" i="1"/>
  <c r="CP54" i="1"/>
  <c r="CO54" i="1"/>
  <c r="CN54" i="1"/>
  <c r="CM54" i="1"/>
  <c r="CL54" i="1"/>
  <c r="CK54" i="1"/>
  <c r="CJ54" i="1"/>
  <c r="CI54" i="1"/>
  <c r="CH54" i="1"/>
  <c r="CG54" i="1"/>
  <c r="CP53" i="1"/>
  <c r="CO53" i="1"/>
  <c r="CN53" i="1"/>
  <c r="CM53" i="1"/>
  <c r="CL53" i="1"/>
  <c r="CK53" i="1"/>
  <c r="CJ53" i="1"/>
  <c r="CI53" i="1"/>
  <c r="CH53" i="1"/>
  <c r="CG53" i="1"/>
  <c r="CP52" i="1"/>
  <c r="CO52" i="1"/>
  <c r="CN52" i="1"/>
  <c r="CM52" i="1"/>
  <c r="CL52" i="1"/>
  <c r="CK52" i="1"/>
  <c r="CJ52" i="1"/>
  <c r="CI52" i="1"/>
  <c r="CH52" i="1"/>
  <c r="CG52" i="1"/>
  <c r="CP51" i="1"/>
  <c r="CO51" i="1"/>
  <c r="CN51" i="1"/>
  <c r="CM51" i="1"/>
  <c r="CL51" i="1"/>
  <c r="CK51" i="1"/>
  <c r="CJ51" i="1"/>
  <c r="CI51" i="1"/>
  <c r="CH51" i="1"/>
  <c r="CG51" i="1"/>
  <c r="CP50" i="1"/>
  <c r="CN50" i="1"/>
  <c r="CM50" i="1"/>
  <c r="CL50" i="1"/>
  <c r="CK50" i="1"/>
  <c r="CJ50" i="1"/>
  <c r="CI50" i="1"/>
  <c r="CP49" i="1"/>
  <c r="CN49" i="1"/>
  <c r="CM49" i="1"/>
  <c r="CL49" i="1"/>
  <c r="CK49" i="1"/>
  <c r="CJ49" i="1"/>
  <c r="CI49" i="1"/>
  <c r="CP48" i="1"/>
  <c r="CO48" i="1"/>
  <c r="CN48" i="1"/>
  <c r="CM48" i="1"/>
  <c r="CL48" i="1"/>
  <c r="CK48" i="1"/>
  <c r="CJ48" i="1"/>
  <c r="CI48" i="1"/>
  <c r="CH48" i="1"/>
  <c r="CG48" i="1"/>
  <c r="CP47" i="1"/>
  <c r="CO47" i="1"/>
  <c r="CN47" i="1"/>
  <c r="CM47" i="1"/>
  <c r="CL47" i="1"/>
  <c r="CK47" i="1"/>
  <c r="CJ47" i="1"/>
  <c r="CI47" i="1"/>
  <c r="CH47" i="1"/>
  <c r="CG47" i="1"/>
  <c r="CP46" i="1"/>
  <c r="CO46" i="1"/>
  <c r="CN46" i="1"/>
  <c r="CM46" i="1"/>
  <c r="CL46" i="1"/>
  <c r="CK46" i="1"/>
  <c r="CJ46" i="1"/>
  <c r="CI46" i="1"/>
  <c r="CH46" i="1"/>
  <c r="CG46" i="1"/>
  <c r="CP45" i="1"/>
  <c r="CO45" i="1"/>
  <c r="CN45" i="1"/>
  <c r="CM45" i="1"/>
  <c r="CL45" i="1"/>
  <c r="CK45" i="1"/>
  <c r="CJ45" i="1"/>
  <c r="CI45" i="1"/>
  <c r="CH45" i="1"/>
  <c r="CG45" i="1"/>
  <c r="CP44" i="1"/>
  <c r="CO44" i="1"/>
  <c r="CN44" i="1"/>
  <c r="CM44" i="1"/>
  <c r="CL44" i="1"/>
  <c r="CK44" i="1"/>
  <c r="CJ44" i="1"/>
  <c r="CI44" i="1"/>
  <c r="CH44" i="1"/>
  <c r="CG44" i="1"/>
  <c r="CP43" i="1"/>
  <c r="CO43" i="1"/>
  <c r="CN43" i="1"/>
  <c r="CM43" i="1"/>
  <c r="CL43" i="1"/>
  <c r="CK43" i="1"/>
  <c r="CJ43" i="1"/>
  <c r="CI43" i="1"/>
  <c r="CH43" i="1"/>
  <c r="CG43" i="1"/>
  <c r="CP42" i="1"/>
  <c r="CO42" i="1"/>
  <c r="CN42" i="1"/>
  <c r="CM42" i="1"/>
  <c r="CL42" i="1"/>
  <c r="CK42" i="1"/>
  <c r="CJ42" i="1"/>
  <c r="CI42" i="1"/>
  <c r="CH42" i="1"/>
  <c r="CG42" i="1"/>
  <c r="CP41" i="1"/>
  <c r="CO41" i="1"/>
  <c r="CN41" i="1"/>
  <c r="CM41" i="1"/>
  <c r="CL41" i="1"/>
  <c r="CK41" i="1"/>
  <c r="CJ41" i="1"/>
  <c r="CI41" i="1"/>
  <c r="CH41" i="1"/>
  <c r="CG41" i="1"/>
  <c r="CP40" i="1"/>
  <c r="CO40" i="1"/>
  <c r="CN40" i="1"/>
  <c r="CM40" i="1"/>
  <c r="CL40" i="1"/>
  <c r="CK40" i="1"/>
  <c r="CJ40" i="1"/>
  <c r="CI40" i="1"/>
  <c r="CH40" i="1"/>
  <c r="CG40" i="1"/>
  <c r="CP39" i="1"/>
  <c r="CO39" i="1"/>
  <c r="CN39" i="1"/>
  <c r="CM39" i="1"/>
  <c r="CL39" i="1"/>
  <c r="CK39" i="1"/>
  <c r="CJ39" i="1"/>
  <c r="CI39" i="1"/>
  <c r="CH39" i="1"/>
  <c r="CG39" i="1"/>
  <c r="CP38" i="1"/>
  <c r="CO38" i="1"/>
  <c r="CN38" i="1"/>
  <c r="CM38" i="1"/>
  <c r="CL38" i="1"/>
  <c r="CK38" i="1"/>
  <c r="CJ38" i="1"/>
  <c r="CI38" i="1"/>
  <c r="CH38" i="1"/>
  <c r="CG38" i="1"/>
  <c r="CP37" i="1"/>
  <c r="CO37" i="1"/>
  <c r="CN37" i="1"/>
  <c r="CM37" i="1"/>
  <c r="CL37" i="1"/>
  <c r="CK37" i="1"/>
  <c r="CJ37" i="1"/>
  <c r="CI37" i="1"/>
  <c r="CH37" i="1"/>
  <c r="CG37" i="1"/>
  <c r="CP36" i="1"/>
  <c r="CO36" i="1"/>
  <c r="CN36" i="1"/>
  <c r="CM36" i="1"/>
  <c r="CL36" i="1"/>
  <c r="CK36" i="1"/>
  <c r="CJ36" i="1"/>
  <c r="CI36" i="1"/>
  <c r="CH36" i="1"/>
  <c r="CG36" i="1"/>
  <c r="CP35" i="1"/>
  <c r="CO35" i="1"/>
  <c r="CN35" i="1"/>
  <c r="CM35" i="1"/>
  <c r="CL35" i="1"/>
  <c r="CK35" i="1"/>
  <c r="CJ35" i="1"/>
  <c r="CI35" i="1"/>
  <c r="CH35" i="1"/>
  <c r="CG35" i="1"/>
  <c r="CP34" i="1"/>
  <c r="CO34" i="1"/>
  <c r="CN34" i="1"/>
  <c r="CM34" i="1"/>
  <c r="CL34" i="1"/>
  <c r="CK34" i="1"/>
  <c r="CJ34" i="1"/>
  <c r="CI34" i="1"/>
  <c r="CH34" i="1"/>
  <c r="CG34" i="1"/>
  <c r="CP33" i="1"/>
  <c r="CO33" i="1"/>
  <c r="CN33" i="1"/>
  <c r="CM33" i="1"/>
  <c r="CL33" i="1"/>
  <c r="CK33" i="1"/>
  <c r="CJ33" i="1"/>
  <c r="CI33" i="1"/>
  <c r="CH33" i="1"/>
  <c r="CG33" i="1"/>
  <c r="CP32" i="1"/>
  <c r="CO32" i="1"/>
  <c r="CN32" i="1"/>
  <c r="CM32" i="1"/>
  <c r="CL32" i="1"/>
  <c r="CK32" i="1"/>
  <c r="CJ32" i="1"/>
  <c r="CI32" i="1"/>
  <c r="CH32" i="1"/>
  <c r="CG32" i="1"/>
  <c r="CP31" i="1"/>
  <c r="CO31" i="1"/>
  <c r="CN31" i="1"/>
  <c r="CM31" i="1"/>
  <c r="CL31" i="1"/>
  <c r="CK31" i="1"/>
  <c r="CJ31" i="1"/>
  <c r="CI31" i="1"/>
  <c r="CH31" i="1"/>
  <c r="CG31" i="1"/>
  <c r="CP30" i="1"/>
  <c r="CO30" i="1"/>
  <c r="CN30" i="1"/>
  <c r="CM30" i="1"/>
  <c r="CL30" i="1"/>
  <c r="CK30" i="1"/>
  <c r="CJ30" i="1"/>
  <c r="CI30" i="1"/>
  <c r="CH30" i="1"/>
  <c r="CG30" i="1"/>
  <c r="CP29" i="1"/>
  <c r="CO29" i="1"/>
  <c r="CN29" i="1"/>
  <c r="CM29" i="1"/>
  <c r="CL29" i="1"/>
  <c r="CK29" i="1"/>
  <c r="CJ29" i="1"/>
  <c r="CI29" i="1"/>
  <c r="CH29" i="1"/>
  <c r="CG29" i="1"/>
  <c r="CP28" i="1"/>
  <c r="CO28" i="1"/>
  <c r="CN28" i="1"/>
  <c r="CM28" i="1"/>
  <c r="CL28" i="1"/>
  <c r="CK28" i="1"/>
  <c r="CJ28" i="1"/>
  <c r="CI28" i="1"/>
  <c r="CH28" i="1"/>
  <c r="CG28" i="1"/>
  <c r="CP27" i="1"/>
  <c r="CO27" i="1"/>
  <c r="CN27" i="1"/>
  <c r="CM27" i="1"/>
  <c r="CL27" i="1"/>
  <c r="CK27" i="1"/>
  <c r="CJ27" i="1"/>
  <c r="CI27" i="1"/>
  <c r="CH27" i="1"/>
  <c r="CG27" i="1"/>
  <c r="CP26" i="1"/>
  <c r="CO26" i="1"/>
  <c r="CN26" i="1"/>
  <c r="CM26" i="1"/>
  <c r="CL26" i="1"/>
  <c r="CK26" i="1"/>
  <c r="CJ26" i="1"/>
  <c r="CI26" i="1"/>
  <c r="CH26" i="1"/>
  <c r="CG26" i="1"/>
  <c r="CP25" i="1"/>
  <c r="CO25" i="1"/>
  <c r="CN25" i="1"/>
  <c r="CM25" i="1"/>
  <c r="CL25" i="1"/>
  <c r="CK25" i="1"/>
  <c r="CJ25" i="1"/>
  <c r="CI25" i="1"/>
  <c r="CH25" i="1"/>
  <c r="CG25" i="1"/>
  <c r="CP24" i="1"/>
  <c r="CO24" i="1"/>
  <c r="CN24" i="1"/>
  <c r="CM24" i="1"/>
  <c r="CL24" i="1"/>
  <c r="CK24" i="1"/>
  <c r="CJ24" i="1"/>
  <c r="CI24" i="1"/>
  <c r="CH24" i="1"/>
  <c r="CG24" i="1"/>
  <c r="CP23" i="1"/>
  <c r="CO23" i="1"/>
  <c r="CN23" i="1"/>
  <c r="CM23" i="1"/>
  <c r="CL23" i="1"/>
  <c r="CK23" i="1"/>
  <c r="CJ23" i="1"/>
  <c r="CI23" i="1"/>
  <c r="CH23" i="1"/>
  <c r="CG23" i="1"/>
  <c r="CP22" i="1"/>
  <c r="CO22" i="1"/>
  <c r="CN22" i="1"/>
  <c r="CM22" i="1"/>
  <c r="CL22" i="1"/>
  <c r="CK22" i="1"/>
  <c r="CJ22" i="1"/>
  <c r="CI22" i="1"/>
  <c r="CH22" i="1"/>
  <c r="CG22" i="1"/>
  <c r="CP21" i="1"/>
  <c r="CO21" i="1"/>
  <c r="CN21" i="1"/>
  <c r="CM21" i="1"/>
  <c r="CL21" i="1"/>
  <c r="CK21" i="1"/>
  <c r="CJ21" i="1"/>
  <c r="CI21" i="1"/>
  <c r="CH21" i="1"/>
  <c r="CG21" i="1"/>
  <c r="CP20" i="1"/>
  <c r="CO20" i="1"/>
  <c r="CN20" i="1"/>
  <c r="CM20" i="1"/>
  <c r="CL20" i="1"/>
  <c r="CK20" i="1"/>
  <c r="CJ20" i="1"/>
  <c r="CI20" i="1"/>
  <c r="CH20" i="1"/>
  <c r="CG20" i="1"/>
  <c r="CP19" i="1"/>
  <c r="CO19" i="1"/>
  <c r="CN19" i="1"/>
  <c r="CM19" i="1"/>
  <c r="CL19" i="1"/>
  <c r="CK19" i="1"/>
  <c r="CJ19" i="1"/>
  <c r="CI19" i="1"/>
  <c r="CH19" i="1"/>
  <c r="CG19" i="1"/>
  <c r="CP18" i="1"/>
  <c r="CO18" i="1"/>
  <c r="CN18" i="1"/>
  <c r="CM18" i="1"/>
  <c r="CL18" i="1"/>
  <c r="CK18" i="1"/>
  <c r="CJ18" i="1"/>
  <c r="CI18" i="1"/>
  <c r="CH18" i="1"/>
  <c r="CG18" i="1"/>
  <c r="CP17" i="1"/>
  <c r="CO17" i="1"/>
  <c r="CN17" i="1"/>
  <c r="CM17" i="1"/>
  <c r="CL17" i="1"/>
  <c r="CK17" i="1"/>
  <c r="CJ17" i="1"/>
  <c r="CI17" i="1"/>
  <c r="CH17" i="1"/>
  <c r="CG17" i="1"/>
  <c r="CP16" i="1"/>
  <c r="CO16" i="1"/>
  <c r="CN16" i="1"/>
  <c r="CM16" i="1"/>
  <c r="CL16" i="1"/>
  <c r="CK16" i="1"/>
  <c r="CJ16" i="1"/>
  <c r="CI16" i="1"/>
  <c r="CH16" i="1"/>
  <c r="CG16" i="1"/>
  <c r="CP15" i="1"/>
  <c r="CO15" i="1"/>
  <c r="CN15" i="1"/>
  <c r="CM15" i="1"/>
  <c r="CL15" i="1"/>
  <c r="CK15" i="1"/>
  <c r="CJ15" i="1"/>
  <c r="CI15" i="1"/>
  <c r="CH15" i="1"/>
  <c r="CG15" i="1"/>
  <c r="CP14" i="1"/>
  <c r="CO14" i="1"/>
  <c r="CN14" i="1"/>
  <c r="CM14" i="1"/>
  <c r="CL14" i="1"/>
  <c r="CK14" i="1"/>
  <c r="CJ14" i="1"/>
  <c r="CI14" i="1"/>
  <c r="CH14" i="1"/>
  <c r="CG14" i="1"/>
  <c r="CP13" i="1"/>
  <c r="CO13" i="1"/>
  <c r="CN13" i="1"/>
  <c r="CM13" i="1"/>
  <c r="CL13" i="1"/>
  <c r="CK13" i="1"/>
  <c r="CJ13" i="1"/>
  <c r="CI13" i="1"/>
  <c r="CH13" i="1"/>
  <c r="CG13" i="1"/>
  <c r="CP12" i="1"/>
  <c r="CO12" i="1"/>
  <c r="CN12" i="1"/>
  <c r="CM12" i="1"/>
  <c r="CL12" i="1"/>
  <c r="CK12" i="1"/>
  <c r="CJ12" i="1"/>
  <c r="CI12" i="1"/>
  <c r="CH12" i="1"/>
  <c r="CG12" i="1"/>
  <c r="CP11" i="1"/>
  <c r="CO11" i="1"/>
  <c r="CN11" i="1"/>
  <c r="CM11" i="1"/>
  <c r="CL11" i="1"/>
  <c r="CK11" i="1"/>
  <c r="CJ11" i="1"/>
  <c r="CI11" i="1"/>
  <c r="CH11" i="1"/>
  <c r="CG11" i="1"/>
  <c r="CP8" i="1"/>
  <c r="CM8" i="1"/>
  <c r="CK8" i="1"/>
  <c r="CJ8" i="1"/>
  <c r="CH8" i="1"/>
  <c r="CG8" i="1"/>
  <c r="CH7" i="1"/>
  <c r="CG7" i="1"/>
  <c r="CF207" i="1"/>
  <c r="CE207" i="1"/>
  <c r="CD207" i="1"/>
  <c r="CC207" i="1"/>
  <c r="CB207" i="1"/>
  <c r="CA207" i="1"/>
  <c r="BZ207" i="1"/>
  <c r="BY207" i="1"/>
  <c r="BX207" i="1"/>
  <c r="BW207" i="1"/>
  <c r="CF206" i="1"/>
  <c r="CE206" i="1"/>
  <c r="CD206" i="1"/>
  <c r="CC206" i="1"/>
  <c r="CB206" i="1"/>
  <c r="CA206" i="1"/>
  <c r="BZ206" i="1"/>
  <c r="BY206" i="1"/>
  <c r="BX206" i="1"/>
  <c r="BW206" i="1"/>
  <c r="CF205" i="1"/>
  <c r="CE205" i="1"/>
  <c r="CD205" i="1"/>
  <c r="CC205" i="1"/>
  <c r="CB205" i="1"/>
  <c r="CA205" i="1"/>
  <c r="BZ205" i="1"/>
  <c r="BY205" i="1"/>
  <c r="BX205" i="1"/>
  <c r="BW205" i="1"/>
  <c r="CF204" i="1"/>
  <c r="CE204" i="1"/>
  <c r="CD204" i="1"/>
  <c r="CC204" i="1"/>
  <c r="CB204" i="1"/>
  <c r="CA204" i="1"/>
  <c r="BZ204" i="1"/>
  <c r="BY204" i="1"/>
  <c r="BX204" i="1"/>
  <c r="BW204" i="1"/>
  <c r="CF203" i="1"/>
  <c r="CE203" i="1"/>
  <c r="CD203" i="1"/>
  <c r="CC203" i="1"/>
  <c r="CB203" i="1"/>
  <c r="CA203" i="1"/>
  <c r="BZ203" i="1"/>
  <c r="BY203" i="1"/>
  <c r="BX203" i="1"/>
  <c r="BW203" i="1"/>
  <c r="CF202" i="1"/>
  <c r="CE202" i="1"/>
  <c r="CD202" i="1"/>
  <c r="CC202" i="1"/>
  <c r="CB202" i="1"/>
  <c r="CA202" i="1"/>
  <c r="BZ202" i="1"/>
  <c r="BY202" i="1"/>
  <c r="BX202" i="1"/>
  <c r="BW202" i="1"/>
  <c r="CF201" i="1"/>
  <c r="CE201" i="1"/>
  <c r="CD201" i="1"/>
  <c r="CC201" i="1"/>
  <c r="CB201" i="1"/>
  <c r="CA201" i="1"/>
  <c r="BZ201" i="1"/>
  <c r="BY201" i="1"/>
  <c r="BX201" i="1"/>
  <c r="BW201" i="1"/>
  <c r="CF200" i="1"/>
  <c r="CE200" i="1"/>
  <c r="CD200" i="1"/>
  <c r="CC200" i="1"/>
  <c r="CB200" i="1"/>
  <c r="CA200" i="1"/>
  <c r="BZ200" i="1"/>
  <c r="BY200" i="1"/>
  <c r="BX200" i="1"/>
  <c r="BW200" i="1"/>
  <c r="CF199" i="1"/>
  <c r="CE199" i="1"/>
  <c r="CD199" i="1"/>
  <c r="CC199" i="1"/>
  <c r="CB199" i="1"/>
  <c r="CA199" i="1"/>
  <c r="BZ199" i="1"/>
  <c r="BY199" i="1"/>
  <c r="BX199" i="1"/>
  <c r="BW199" i="1"/>
  <c r="BY198" i="1"/>
  <c r="BW198" i="1"/>
  <c r="CF185" i="1"/>
  <c r="CE185" i="1"/>
  <c r="CD185" i="1"/>
  <c r="CC185" i="1"/>
  <c r="CB185" i="1"/>
  <c r="CA185" i="1"/>
  <c r="BZ185" i="1"/>
  <c r="BY185" i="1"/>
  <c r="BX185" i="1"/>
  <c r="BW185" i="1"/>
  <c r="CF184" i="1"/>
  <c r="CE184" i="1"/>
  <c r="CD184" i="1"/>
  <c r="CC184" i="1"/>
  <c r="CB184" i="1"/>
  <c r="CA184" i="1"/>
  <c r="BZ184" i="1"/>
  <c r="BY184" i="1"/>
  <c r="BX184" i="1"/>
  <c r="BW184" i="1"/>
  <c r="CF183" i="1"/>
  <c r="CE183" i="1"/>
  <c r="CD183" i="1"/>
  <c r="CC183" i="1"/>
  <c r="CB183" i="1"/>
  <c r="CA183" i="1"/>
  <c r="BZ183" i="1"/>
  <c r="BY183" i="1"/>
  <c r="BX183" i="1"/>
  <c r="BW183" i="1"/>
  <c r="CF182" i="1"/>
  <c r="CE182" i="1"/>
  <c r="CD182" i="1"/>
  <c r="CC182" i="1"/>
  <c r="CB182" i="1"/>
  <c r="CA182" i="1"/>
  <c r="BZ182" i="1"/>
  <c r="BY182" i="1"/>
  <c r="BX182" i="1"/>
  <c r="CF181" i="1"/>
  <c r="CE181" i="1"/>
  <c r="CD181" i="1"/>
  <c r="CC181" i="1"/>
  <c r="CB181" i="1"/>
  <c r="CA181" i="1"/>
  <c r="BZ181" i="1"/>
  <c r="BY181" i="1"/>
  <c r="BX181" i="1"/>
  <c r="BW181" i="1"/>
  <c r="CF180" i="1"/>
  <c r="CE180" i="1"/>
  <c r="CD180" i="1"/>
  <c r="CC180" i="1"/>
  <c r="CB180" i="1"/>
  <c r="CA180" i="1"/>
  <c r="BZ180" i="1"/>
  <c r="BY180" i="1"/>
  <c r="BX180" i="1"/>
  <c r="BW180" i="1"/>
  <c r="CF179" i="1"/>
  <c r="CE179" i="1"/>
  <c r="CD179" i="1"/>
  <c r="CC179" i="1"/>
  <c r="CB179" i="1"/>
  <c r="CA179" i="1"/>
  <c r="BZ179" i="1"/>
  <c r="BY179" i="1"/>
  <c r="BX179" i="1"/>
  <c r="BW179" i="1"/>
  <c r="CF178" i="1"/>
  <c r="CE178" i="1"/>
  <c r="CD178" i="1"/>
  <c r="CC178" i="1"/>
  <c r="CB178" i="1"/>
  <c r="CA178" i="1"/>
  <c r="BZ178" i="1"/>
  <c r="BY178" i="1"/>
  <c r="BX178" i="1"/>
  <c r="BW178" i="1"/>
  <c r="CF177" i="1"/>
  <c r="CE177" i="1"/>
  <c r="CD177" i="1"/>
  <c r="CC177" i="1"/>
  <c r="CB177" i="1"/>
  <c r="CA177" i="1"/>
  <c r="BZ177" i="1"/>
  <c r="BY177" i="1"/>
  <c r="BX177" i="1"/>
  <c r="BW177" i="1"/>
  <c r="CF176" i="1"/>
  <c r="CE176" i="1"/>
  <c r="CD176" i="1"/>
  <c r="CC176" i="1"/>
  <c r="CB176" i="1"/>
  <c r="CA176" i="1"/>
  <c r="BZ176" i="1"/>
  <c r="BY176" i="1"/>
  <c r="BX176" i="1"/>
  <c r="BW176" i="1"/>
  <c r="CF175" i="1"/>
  <c r="CE175" i="1"/>
  <c r="CD175" i="1"/>
  <c r="CC175" i="1"/>
  <c r="CB175" i="1"/>
  <c r="CA175" i="1"/>
  <c r="BZ175" i="1"/>
  <c r="BY175" i="1"/>
  <c r="BX175" i="1"/>
  <c r="BW175" i="1"/>
  <c r="CE174" i="1"/>
  <c r="CD174" i="1"/>
  <c r="CC174" i="1"/>
  <c r="CB174" i="1"/>
  <c r="CA174" i="1"/>
  <c r="BZ174" i="1"/>
  <c r="BY174" i="1"/>
  <c r="BX174" i="1"/>
  <c r="BW174" i="1"/>
  <c r="AW166" i="1"/>
  <c r="AV166" i="1"/>
  <c r="AU166" i="1"/>
  <c r="AT166" i="1"/>
  <c r="AS166" i="1"/>
  <c r="AW165" i="1"/>
  <c r="AV165" i="1"/>
  <c r="AU165" i="1"/>
  <c r="AT165" i="1"/>
  <c r="AS165" i="1"/>
  <c r="AW164" i="1"/>
  <c r="AV164" i="1"/>
  <c r="AU164" i="1"/>
  <c r="AT164" i="1"/>
  <c r="AS164" i="1"/>
  <c r="AW163" i="1"/>
  <c r="AV163" i="1"/>
  <c r="AU163" i="1"/>
  <c r="AT163" i="1"/>
  <c r="AS163" i="1"/>
  <c r="AW162" i="1"/>
  <c r="AV162" i="1"/>
  <c r="AU162" i="1"/>
  <c r="AT162" i="1"/>
  <c r="AS162" i="1"/>
  <c r="AW161" i="1"/>
  <c r="AV161" i="1"/>
  <c r="AU161" i="1"/>
  <c r="AT161" i="1"/>
  <c r="AS161" i="1"/>
  <c r="AW160" i="1"/>
  <c r="AV160" i="1"/>
  <c r="AU160" i="1"/>
  <c r="AT160" i="1"/>
  <c r="AS160" i="1"/>
  <c r="AW159" i="1"/>
  <c r="AV159" i="1"/>
  <c r="AU159" i="1"/>
  <c r="AT159" i="1"/>
  <c r="AS159" i="1"/>
  <c r="AW158" i="1"/>
  <c r="AV158" i="1"/>
  <c r="AU158" i="1"/>
  <c r="AT158" i="1"/>
  <c r="AS158" i="1"/>
  <c r="AW157" i="1"/>
  <c r="AV157" i="1"/>
  <c r="AU157" i="1"/>
  <c r="AT157" i="1"/>
  <c r="AS157" i="1"/>
  <c r="AW156" i="1"/>
  <c r="AV156" i="1"/>
  <c r="AU156" i="1"/>
  <c r="AT156" i="1"/>
  <c r="AS156" i="1"/>
  <c r="AW155" i="1"/>
  <c r="AV155" i="1"/>
  <c r="AU155" i="1"/>
  <c r="AT155" i="1"/>
  <c r="AS155" i="1"/>
  <c r="AW154" i="1"/>
  <c r="AV154" i="1"/>
  <c r="AU154" i="1"/>
  <c r="AT154" i="1"/>
  <c r="AS154" i="1"/>
  <c r="AW153" i="1"/>
  <c r="AV153" i="1"/>
  <c r="AU153" i="1"/>
  <c r="AT153" i="1"/>
  <c r="AS153" i="1"/>
  <c r="AW152" i="1"/>
  <c r="AV152" i="1"/>
  <c r="AU152" i="1"/>
  <c r="AT152" i="1"/>
  <c r="AS152" i="1"/>
  <c r="AW151" i="1"/>
  <c r="AV151" i="1"/>
  <c r="AU151" i="1"/>
  <c r="AT151" i="1"/>
  <c r="AS151" i="1"/>
  <c r="AW150" i="1"/>
  <c r="AV150" i="1"/>
  <c r="AU150" i="1"/>
  <c r="AT150" i="1"/>
  <c r="AS150" i="1"/>
  <c r="AW149" i="1"/>
  <c r="AV149" i="1"/>
  <c r="AU149" i="1"/>
  <c r="AT149" i="1"/>
  <c r="AS149" i="1"/>
  <c r="AW148" i="1"/>
  <c r="AV148" i="1"/>
  <c r="AU148" i="1"/>
  <c r="AT148" i="1"/>
  <c r="AS148" i="1"/>
  <c r="AW147" i="1"/>
  <c r="AV147" i="1"/>
  <c r="AU147" i="1"/>
  <c r="AT147" i="1"/>
  <c r="AS147" i="1"/>
  <c r="AW146" i="1"/>
  <c r="AV146" i="1"/>
  <c r="AU146" i="1"/>
  <c r="AT146" i="1"/>
  <c r="AS146" i="1"/>
  <c r="AW145" i="1"/>
  <c r="AV145" i="1"/>
  <c r="AU145" i="1"/>
  <c r="AT145" i="1"/>
  <c r="AS145" i="1"/>
  <c r="AW144" i="1"/>
  <c r="AV144" i="1"/>
  <c r="AU144" i="1"/>
  <c r="AT144" i="1"/>
  <c r="AS144" i="1"/>
  <c r="AW143" i="1"/>
  <c r="AV143" i="1"/>
  <c r="AU143" i="1"/>
  <c r="AT143" i="1"/>
  <c r="AS143" i="1"/>
  <c r="AW142" i="1"/>
  <c r="AV142" i="1"/>
  <c r="AU142" i="1"/>
  <c r="AT142" i="1"/>
  <c r="AS142" i="1"/>
  <c r="AW141" i="1"/>
  <c r="AV141" i="1"/>
  <c r="AU141" i="1"/>
  <c r="AT141" i="1"/>
  <c r="AS141" i="1"/>
  <c r="AW140" i="1"/>
  <c r="AV140" i="1"/>
  <c r="AU140" i="1"/>
  <c r="AT140" i="1"/>
  <c r="AS140" i="1"/>
  <c r="AW139" i="1"/>
  <c r="AV139" i="1"/>
  <c r="AU139" i="1"/>
  <c r="AT139" i="1"/>
  <c r="AS139" i="1"/>
  <c r="AW138" i="1"/>
  <c r="AV138" i="1"/>
  <c r="AU138" i="1"/>
  <c r="AT138" i="1"/>
  <c r="AS138" i="1"/>
  <c r="AW137" i="1"/>
  <c r="AV137" i="1"/>
  <c r="AU137" i="1"/>
  <c r="AT137" i="1"/>
  <c r="AS137" i="1"/>
  <c r="AW136" i="1"/>
  <c r="AV136" i="1"/>
  <c r="AU136" i="1"/>
  <c r="AT136" i="1"/>
  <c r="AS136" i="1"/>
  <c r="AW135" i="1"/>
  <c r="AV135" i="1"/>
  <c r="AU135" i="1"/>
  <c r="AT135" i="1"/>
  <c r="AS135" i="1"/>
  <c r="AW134" i="1"/>
  <c r="AV134" i="1"/>
  <c r="AU134" i="1"/>
  <c r="AT134" i="1"/>
  <c r="AS134" i="1"/>
  <c r="AW133" i="1"/>
  <c r="AV133" i="1"/>
  <c r="AU133" i="1"/>
  <c r="AT133" i="1"/>
  <c r="AS133" i="1"/>
  <c r="AW132" i="1"/>
  <c r="AV132" i="1"/>
  <c r="AU132" i="1"/>
  <c r="AT132" i="1"/>
  <c r="AS132" i="1"/>
  <c r="AW131" i="1"/>
  <c r="AV131" i="1"/>
  <c r="AU131" i="1"/>
  <c r="AT131" i="1"/>
  <c r="AS131" i="1"/>
  <c r="AW130" i="1"/>
  <c r="AV130" i="1"/>
  <c r="AU130" i="1"/>
  <c r="AT130" i="1"/>
  <c r="AS130" i="1"/>
  <c r="AW129" i="1"/>
  <c r="AV129" i="1"/>
  <c r="AU129" i="1"/>
  <c r="AT129" i="1"/>
  <c r="AS129" i="1"/>
  <c r="AW128" i="1"/>
  <c r="AV128" i="1"/>
  <c r="AU128" i="1"/>
  <c r="AT128" i="1"/>
  <c r="AS128" i="1"/>
  <c r="AW127" i="1"/>
  <c r="AV127" i="1"/>
  <c r="AU127" i="1"/>
  <c r="AT127" i="1"/>
  <c r="AS127" i="1"/>
  <c r="AW126" i="1"/>
  <c r="AV126" i="1"/>
  <c r="AU126" i="1"/>
  <c r="AT126" i="1"/>
  <c r="AS126" i="1"/>
  <c r="AW125" i="1"/>
  <c r="AV125" i="1"/>
  <c r="AU125" i="1"/>
  <c r="AT125" i="1"/>
  <c r="AS125" i="1"/>
  <c r="AW124" i="1"/>
  <c r="AV124" i="1"/>
  <c r="AU124" i="1"/>
  <c r="AT124" i="1"/>
  <c r="AS124" i="1"/>
  <c r="AW123" i="1"/>
  <c r="AV123" i="1"/>
  <c r="AU123" i="1"/>
  <c r="AT123" i="1"/>
  <c r="AS123" i="1"/>
  <c r="AW122" i="1"/>
  <c r="AV122" i="1"/>
  <c r="AU122" i="1"/>
  <c r="AT122" i="1"/>
  <c r="AS122" i="1"/>
  <c r="AW121" i="1"/>
  <c r="AV121" i="1"/>
  <c r="AU121" i="1"/>
  <c r="AT121" i="1"/>
  <c r="AS121" i="1"/>
  <c r="AW120" i="1"/>
  <c r="AV120" i="1"/>
  <c r="AU120" i="1"/>
  <c r="AT120" i="1"/>
  <c r="AS120" i="1"/>
  <c r="AW119" i="1"/>
  <c r="AV119" i="1"/>
  <c r="AU119" i="1"/>
  <c r="AT119" i="1"/>
  <c r="AS119" i="1"/>
  <c r="AW118" i="1"/>
  <c r="AV118" i="1"/>
  <c r="AU118" i="1"/>
  <c r="AT118" i="1"/>
  <c r="AS118" i="1"/>
  <c r="AW117" i="1"/>
  <c r="AV117" i="1"/>
  <c r="AU117" i="1"/>
  <c r="AT117" i="1"/>
  <c r="AS117" i="1"/>
  <c r="AW116" i="1"/>
  <c r="AV116" i="1"/>
  <c r="AU116" i="1"/>
  <c r="AT116" i="1"/>
  <c r="AS116" i="1"/>
  <c r="AW115" i="1"/>
  <c r="AV115" i="1"/>
  <c r="AU115" i="1"/>
  <c r="AT115" i="1"/>
  <c r="AS115" i="1"/>
  <c r="AW114" i="1"/>
  <c r="AV114" i="1"/>
  <c r="AU114" i="1"/>
  <c r="AT114" i="1"/>
  <c r="AS114" i="1"/>
  <c r="AW113" i="1"/>
  <c r="AV113" i="1"/>
  <c r="AU113" i="1"/>
  <c r="AT113" i="1"/>
  <c r="AS113" i="1"/>
  <c r="AW112" i="1"/>
  <c r="AV112" i="1"/>
  <c r="AU112" i="1"/>
  <c r="AT112" i="1"/>
  <c r="AS112" i="1"/>
  <c r="AW111" i="1"/>
  <c r="AV111" i="1"/>
  <c r="AU111" i="1"/>
  <c r="AT111" i="1"/>
  <c r="AS111" i="1"/>
  <c r="AW110" i="1"/>
  <c r="AV110" i="1"/>
  <c r="AU110" i="1"/>
  <c r="AT110" i="1"/>
  <c r="AS110" i="1"/>
  <c r="AW109" i="1"/>
  <c r="AV109" i="1"/>
  <c r="AU109" i="1"/>
  <c r="AT109" i="1"/>
  <c r="AS109" i="1"/>
  <c r="AW108" i="1"/>
  <c r="AV108" i="1"/>
  <c r="AU108" i="1"/>
  <c r="AT108" i="1"/>
  <c r="AS108" i="1"/>
  <c r="AW107" i="1"/>
  <c r="AV107" i="1"/>
  <c r="AU107" i="1"/>
  <c r="AT107" i="1"/>
  <c r="AS107" i="1"/>
  <c r="AW106" i="1"/>
  <c r="AV106" i="1"/>
  <c r="AU106" i="1"/>
  <c r="AT106" i="1"/>
  <c r="AS106" i="1"/>
  <c r="AW105" i="1"/>
  <c r="AV105" i="1"/>
  <c r="AU105" i="1"/>
  <c r="AT105" i="1"/>
  <c r="AS105" i="1"/>
  <c r="AW104" i="1"/>
  <c r="AV104" i="1"/>
  <c r="AU104" i="1"/>
  <c r="AT104" i="1"/>
  <c r="AS104" i="1"/>
  <c r="AW103" i="1"/>
  <c r="AV103" i="1"/>
  <c r="AU103" i="1"/>
  <c r="AT103" i="1"/>
  <c r="AS103" i="1"/>
  <c r="AW102" i="1"/>
  <c r="AV102" i="1"/>
  <c r="AU102" i="1"/>
  <c r="AT102" i="1"/>
  <c r="AS102" i="1"/>
  <c r="AW101" i="1"/>
  <c r="AV101" i="1"/>
  <c r="AU101" i="1"/>
  <c r="AT101" i="1"/>
  <c r="AS101" i="1"/>
  <c r="AW100" i="1"/>
  <c r="AV100" i="1"/>
  <c r="AU100" i="1"/>
  <c r="AT100" i="1"/>
  <c r="AS100" i="1"/>
  <c r="AW99" i="1"/>
  <c r="AV99" i="1"/>
  <c r="AU99" i="1"/>
  <c r="AT99" i="1"/>
  <c r="AS99" i="1"/>
  <c r="AW98" i="1"/>
  <c r="AV98" i="1"/>
  <c r="AU98" i="1"/>
  <c r="AT98" i="1"/>
  <c r="AS98" i="1"/>
  <c r="AW97" i="1"/>
  <c r="AV97" i="1"/>
  <c r="AU97" i="1"/>
  <c r="AT97" i="1"/>
  <c r="AS97" i="1"/>
  <c r="AW96" i="1"/>
  <c r="AV96" i="1"/>
  <c r="AU96" i="1"/>
  <c r="AT96" i="1"/>
  <c r="AS96" i="1"/>
  <c r="AW95" i="1"/>
  <c r="AV95" i="1"/>
  <c r="AU95" i="1"/>
  <c r="AT95" i="1"/>
  <c r="AS95" i="1"/>
  <c r="AW94" i="1"/>
  <c r="AV94" i="1"/>
  <c r="AU94" i="1"/>
  <c r="AT94" i="1"/>
  <c r="AS94" i="1"/>
  <c r="AW93" i="1"/>
  <c r="AV93" i="1"/>
  <c r="AU93" i="1"/>
  <c r="AT93" i="1"/>
  <c r="AS93" i="1"/>
  <c r="AW92" i="1"/>
  <c r="AV92" i="1"/>
  <c r="AU92" i="1"/>
  <c r="AT92" i="1"/>
  <c r="AS92" i="1"/>
  <c r="AW91" i="1"/>
  <c r="AV91" i="1"/>
  <c r="AU91" i="1"/>
  <c r="AT91" i="1"/>
  <c r="AS91" i="1"/>
  <c r="AW90" i="1"/>
  <c r="AV90" i="1"/>
  <c r="AU90" i="1"/>
  <c r="AT90" i="1"/>
  <c r="AS90" i="1"/>
  <c r="AW89" i="1"/>
  <c r="AV89" i="1"/>
  <c r="AU89" i="1"/>
  <c r="AT89" i="1"/>
  <c r="AS89" i="1"/>
  <c r="AW88" i="1"/>
  <c r="AV88" i="1"/>
  <c r="AU88" i="1"/>
  <c r="AT88" i="1"/>
  <c r="AS88" i="1"/>
  <c r="AW87" i="1"/>
  <c r="AV87" i="1"/>
  <c r="AU87" i="1"/>
  <c r="AT87" i="1"/>
  <c r="AS87" i="1"/>
  <c r="AW86" i="1"/>
  <c r="AV86" i="1"/>
  <c r="AU86" i="1"/>
  <c r="AT86" i="1"/>
  <c r="AS86" i="1"/>
  <c r="AW85" i="1"/>
  <c r="AV85" i="1"/>
  <c r="AU85" i="1"/>
  <c r="AT85" i="1"/>
  <c r="AS85" i="1"/>
  <c r="CF84" i="1"/>
  <c r="CE84" i="1"/>
  <c r="CD84" i="1"/>
  <c r="CC84" i="1"/>
  <c r="CB84" i="1"/>
  <c r="CA84" i="1"/>
  <c r="BZ84" i="1"/>
  <c r="BY84" i="1"/>
  <c r="BX84" i="1"/>
  <c r="BW84" i="1"/>
  <c r="AW84" i="1"/>
  <c r="AV84" i="1"/>
  <c r="AU84" i="1"/>
  <c r="AT84" i="1"/>
  <c r="AS84" i="1"/>
  <c r="CF83" i="1"/>
  <c r="CD83" i="1"/>
  <c r="CC83" i="1"/>
  <c r="CB83" i="1"/>
  <c r="CA83" i="1"/>
  <c r="BZ83" i="1"/>
  <c r="BX83" i="1"/>
  <c r="AW83" i="1"/>
  <c r="AV83" i="1"/>
  <c r="AU83" i="1"/>
  <c r="AT83" i="1"/>
  <c r="AS83" i="1"/>
  <c r="CF82" i="1"/>
  <c r="CE82" i="1"/>
  <c r="CD82" i="1"/>
  <c r="CC82" i="1"/>
  <c r="CB82" i="1"/>
  <c r="CA82" i="1"/>
  <c r="BZ82" i="1"/>
  <c r="BY82" i="1"/>
  <c r="BX82" i="1"/>
  <c r="BW82" i="1"/>
  <c r="AW82" i="1"/>
  <c r="AV82" i="1"/>
  <c r="AU82" i="1"/>
  <c r="AT82" i="1"/>
  <c r="AS82" i="1"/>
  <c r="CE81" i="1"/>
  <c r="CC81" i="1"/>
  <c r="CB81" i="1"/>
  <c r="CA81" i="1"/>
  <c r="BY81" i="1"/>
  <c r="BX81" i="1"/>
  <c r="AW81" i="1"/>
  <c r="AV81" i="1"/>
  <c r="AU81" i="1"/>
  <c r="AT81" i="1"/>
  <c r="AS81" i="1"/>
  <c r="CF80" i="1"/>
  <c r="CE80" i="1"/>
  <c r="CD80" i="1"/>
  <c r="CC80" i="1"/>
  <c r="CB80" i="1"/>
  <c r="CA80" i="1"/>
  <c r="BZ80" i="1"/>
  <c r="BY80" i="1"/>
  <c r="BX80" i="1"/>
  <c r="BW80" i="1"/>
  <c r="AW80" i="1"/>
  <c r="AV80" i="1"/>
  <c r="AU80" i="1"/>
  <c r="AT80" i="1"/>
  <c r="AS80" i="1"/>
  <c r="CF79" i="1"/>
  <c r="CD79" i="1"/>
  <c r="CC79" i="1"/>
  <c r="CB79" i="1"/>
  <c r="CA79" i="1"/>
  <c r="BZ79" i="1"/>
  <c r="BY79" i="1"/>
  <c r="BW79" i="1"/>
  <c r="AW79" i="1"/>
  <c r="AV79" i="1"/>
  <c r="AU79" i="1"/>
  <c r="AT79" i="1"/>
  <c r="AS79" i="1"/>
  <c r="CF78" i="1"/>
  <c r="CE78" i="1"/>
  <c r="CD78" i="1"/>
  <c r="CC78" i="1"/>
  <c r="CB78" i="1"/>
  <c r="CA78" i="1"/>
  <c r="BZ78" i="1"/>
  <c r="BY78" i="1"/>
  <c r="BX78" i="1"/>
  <c r="BW78" i="1"/>
  <c r="AW78" i="1"/>
  <c r="AV78" i="1"/>
  <c r="AU78" i="1"/>
  <c r="AT78" i="1"/>
  <c r="AS78" i="1"/>
  <c r="CF77" i="1"/>
  <c r="CC77" i="1"/>
  <c r="CB77" i="1"/>
  <c r="AW77" i="1"/>
  <c r="AV77" i="1"/>
  <c r="AU77" i="1"/>
  <c r="AT77" i="1"/>
  <c r="AS77" i="1"/>
  <c r="CF76" i="1"/>
  <c r="CE76" i="1"/>
  <c r="CD76" i="1"/>
  <c r="CC76" i="1"/>
  <c r="CB76" i="1"/>
  <c r="CA76" i="1"/>
  <c r="BZ76" i="1"/>
  <c r="BY76" i="1"/>
  <c r="BX76" i="1"/>
  <c r="BW76" i="1"/>
  <c r="AW76" i="1"/>
  <c r="AV76" i="1"/>
  <c r="AU76" i="1"/>
  <c r="AT76" i="1"/>
  <c r="AS76" i="1"/>
  <c r="CE75" i="1"/>
  <c r="BZ75" i="1"/>
  <c r="BY75" i="1"/>
  <c r="BX75" i="1"/>
  <c r="BW75" i="1"/>
  <c r="AW75" i="1"/>
  <c r="AV75" i="1"/>
  <c r="AU75" i="1"/>
  <c r="AT75" i="1"/>
  <c r="AS75" i="1"/>
  <c r="CF74" i="1"/>
  <c r="CE74" i="1"/>
  <c r="CD74" i="1"/>
  <c r="CC74" i="1"/>
  <c r="CB74" i="1"/>
  <c r="CA74" i="1"/>
  <c r="BZ74" i="1"/>
  <c r="BY74" i="1"/>
  <c r="BX74" i="1"/>
  <c r="BW74" i="1"/>
  <c r="AW74" i="1"/>
  <c r="AV74" i="1"/>
  <c r="AU74" i="1"/>
  <c r="AT74" i="1"/>
  <c r="AS74" i="1"/>
  <c r="CE73" i="1"/>
  <c r="CC73" i="1"/>
  <c r="CB73" i="1"/>
  <c r="BZ73" i="1"/>
  <c r="BY73" i="1"/>
  <c r="BX73" i="1"/>
  <c r="BW73" i="1"/>
  <c r="AW73" i="1"/>
  <c r="AV73" i="1"/>
  <c r="AU73" i="1"/>
  <c r="AT73" i="1"/>
  <c r="AS73" i="1"/>
  <c r="CF72" i="1"/>
  <c r="CE72" i="1"/>
  <c r="CD72" i="1"/>
  <c r="CC72" i="1"/>
  <c r="CB72" i="1"/>
  <c r="CA72" i="1"/>
  <c r="BZ72" i="1"/>
  <c r="BY72" i="1"/>
  <c r="BX72" i="1"/>
  <c r="BW72" i="1"/>
  <c r="AW72" i="1"/>
  <c r="AV72" i="1"/>
  <c r="AU72" i="1"/>
  <c r="AT72" i="1"/>
  <c r="AS72" i="1"/>
  <c r="CF71" i="1"/>
  <c r="CE71" i="1"/>
  <c r="CC71" i="1"/>
  <c r="CA71" i="1"/>
  <c r="BZ71" i="1"/>
  <c r="BY71" i="1"/>
  <c r="BX71" i="1"/>
  <c r="AW71" i="1"/>
  <c r="AV71" i="1"/>
  <c r="AU71" i="1"/>
  <c r="AT71" i="1"/>
  <c r="AS71" i="1"/>
  <c r="CF70" i="1"/>
  <c r="CE70" i="1"/>
  <c r="CD70" i="1"/>
  <c r="CC70" i="1"/>
  <c r="CB70" i="1"/>
  <c r="CA70" i="1"/>
  <c r="BZ70" i="1"/>
  <c r="BY70" i="1"/>
  <c r="BX70" i="1"/>
  <c r="BW70" i="1"/>
  <c r="AW70" i="1"/>
  <c r="AV70" i="1"/>
  <c r="AU70" i="1"/>
  <c r="AT70" i="1"/>
  <c r="AS70" i="1"/>
  <c r="CF69" i="1"/>
  <c r="CE69" i="1"/>
  <c r="CD69" i="1"/>
  <c r="CC69" i="1"/>
  <c r="CB69" i="1"/>
  <c r="CA69" i="1"/>
  <c r="BZ69" i="1"/>
  <c r="BY69" i="1"/>
  <c r="BX69" i="1"/>
  <c r="BW69" i="1"/>
  <c r="AW69" i="1"/>
  <c r="AV69" i="1"/>
  <c r="AU69" i="1"/>
  <c r="AT69" i="1"/>
  <c r="AS69" i="1"/>
  <c r="CF68" i="1"/>
  <c r="CE68" i="1"/>
  <c r="CD68" i="1"/>
  <c r="CC68" i="1"/>
  <c r="CB68" i="1"/>
  <c r="CA68" i="1"/>
  <c r="BZ68" i="1"/>
  <c r="BY68" i="1"/>
  <c r="BX68" i="1"/>
  <c r="BW68" i="1"/>
  <c r="AW68" i="1"/>
  <c r="AV68" i="1"/>
  <c r="AU68" i="1"/>
  <c r="AT68" i="1"/>
  <c r="AS68" i="1"/>
  <c r="CC67" i="1"/>
  <c r="CA67" i="1"/>
  <c r="BZ67" i="1"/>
  <c r="BX67" i="1"/>
  <c r="AW67" i="1"/>
  <c r="AV67" i="1"/>
  <c r="AU67" i="1"/>
  <c r="AT67" i="1"/>
  <c r="AS67" i="1"/>
  <c r="CF66" i="1"/>
  <c r="CE66" i="1"/>
  <c r="CD66" i="1"/>
  <c r="CC66" i="1"/>
  <c r="CB66" i="1"/>
  <c r="CA66" i="1"/>
  <c r="BZ66" i="1"/>
  <c r="BY66" i="1"/>
  <c r="BX66" i="1"/>
  <c r="BW66" i="1"/>
  <c r="AW66" i="1"/>
  <c r="AV66" i="1"/>
  <c r="AU66" i="1"/>
  <c r="AT66" i="1"/>
  <c r="AS66" i="1"/>
  <c r="CF65" i="1"/>
  <c r="CE65" i="1"/>
  <c r="CC65" i="1"/>
  <c r="CA65" i="1"/>
  <c r="BZ65" i="1"/>
  <c r="BX65" i="1"/>
  <c r="AW65" i="1"/>
  <c r="AV65" i="1"/>
  <c r="AU65" i="1"/>
  <c r="AT65" i="1"/>
  <c r="AS65" i="1"/>
  <c r="CF64" i="1"/>
  <c r="CE64" i="1"/>
  <c r="CD64" i="1"/>
  <c r="CC64" i="1"/>
  <c r="CB64" i="1"/>
  <c r="CA64" i="1"/>
  <c r="BZ64" i="1"/>
  <c r="BY64" i="1"/>
  <c r="BX64" i="1"/>
  <c r="BW64" i="1"/>
  <c r="AW64" i="1"/>
  <c r="AV64" i="1"/>
  <c r="AU64" i="1"/>
  <c r="AT64" i="1"/>
  <c r="AS64" i="1"/>
  <c r="CF63" i="1"/>
  <c r="CE63" i="1"/>
  <c r="CD63" i="1"/>
  <c r="CC63" i="1"/>
  <c r="CB63" i="1"/>
  <c r="CA63" i="1"/>
  <c r="BZ63" i="1"/>
  <c r="BY63" i="1"/>
  <c r="BX63" i="1"/>
  <c r="BW63" i="1"/>
  <c r="AW63" i="1"/>
  <c r="AV63" i="1"/>
  <c r="AU63" i="1"/>
  <c r="AT63" i="1"/>
  <c r="AS63" i="1"/>
  <c r="CF62" i="1"/>
  <c r="CE62" i="1"/>
  <c r="CD62" i="1"/>
  <c r="CC62" i="1"/>
  <c r="CB62" i="1"/>
  <c r="CA62" i="1"/>
  <c r="BZ62" i="1"/>
  <c r="BY62" i="1"/>
  <c r="BX62" i="1"/>
  <c r="BW62" i="1"/>
  <c r="AW62" i="1"/>
  <c r="AV62" i="1"/>
  <c r="AU62" i="1"/>
  <c r="AT62" i="1"/>
  <c r="AS62" i="1"/>
  <c r="CF61" i="1"/>
  <c r="CE61" i="1"/>
  <c r="CD61" i="1"/>
  <c r="CC61" i="1"/>
  <c r="CB61" i="1"/>
  <c r="CA61" i="1"/>
  <c r="BZ61" i="1"/>
  <c r="BY61" i="1"/>
  <c r="BX61" i="1"/>
  <c r="BW61" i="1"/>
  <c r="AW61" i="1"/>
  <c r="AV61" i="1"/>
  <c r="AU61" i="1"/>
  <c r="AT61" i="1"/>
  <c r="AS61" i="1"/>
  <c r="CF60" i="1"/>
  <c r="CE60" i="1"/>
  <c r="CD60" i="1"/>
  <c r="CC60" i="1"/>
  <c r="CB60" i="1"/>
  <c r="CA60" i="1"/>
  <c r="BZ60" i="1"/>
  <c r="BY60" i="1"/>
  <c r="BX60" i="1"/>
  <c r="BW60" i="1"/>
  <c r="AW60" i="1"/>
  <c r="AV60" i="1"/>
  <c r="AU60" i="1"/>
  <c r="AT60" i="1"/>
  <c r="AS60" i="1"/>
  <c r="AW59" i="1"/>
  <c r="AV59" i="1"/>
  <c r="AU59" i="1"/>
  <c r="AT59" i="1"/>
  <c r="AS59" i="1"/>
  <c r="CF58" i="1"/>
  <c r="CE58" i="1"/>
  <c r="CD58" i="1"/>
  <c r="CC58" i="1"/>
  <c r="CB58" i="1"/>
  <c r="CA58" i="1"/>
  <c r="BZ58" i="1"/>
  <c r="BY58" i="1"/>
  <c r="BX58" i="1"/>
  <c r="BW58" i="1"/>
  <c r="AW58" i="1"/>
  <c r="AV58" i="1"/>
  <c r="AU58" i="1"/>
  <c r="AT58" i="1"/>
  <c r="AS58" i="1"/>
  <c r="CF57" i="1"/>
  <c r="CE57" i="1"/>
  <c r="CC57" i="1"/>
  <c r="CB57" i="1"/>
  <c r="CA57" i="1"/>
  <c r="BZ57" i="1"/>
  <c r="BX57" i="1"/>
  <c r="BW57" i="1"/>
  <c r="AW57" i="1"/>
  <c r="AV57" i="1"/>
  <c r="AU57" i="1"/>
  <c r="AT57" i="1"/>
  <c r="AS57" i="1"/>
  <c r="CF56" i="1"/>
  <c r="CE56" i="1"/>
  <c r="CD56" i="1"/>
  <c r="CC56" i="1"/>
  <c r="CB56" i="1"/>
  <c r="CA56" i="1"/>
  <c r="BZ56" i="1"/>
  <c r="BY56" i="1"/>
  <c r="BX56" i="1"/>
  <c r="BW56" i="1"/>
  <c r="AW56" i="1"/>
  <c r="AV56" i="1"/>
  <c r="AU56" i="1"/>
  <c r="AT56" i="1"/>
  <c r="AS56" i="1"/>
  <c r="CF55" i="1"/>
  <c r="CE55" i="1"/>
  <c r="CD55" i="1"/>
  <c r="CC55" i="1"/>
  <c r="CB55" i="1"/>
  <c r="CA55" i="1"/>
  <c r="BZ55" i="1"/>
  <c r="BY55" i="1"/>
  <c r="BX55" i="1"/>
  <c r="BW55" i="1"/>
  <c r="AW55" i="1"/>
  <c r="AV55" i="1"/>
  <c r="AU55" i="1"/>
  <c r="AT55" i="1"/>
  <c r="AS55" i="1"/>
  <c r="CF54" i="1"/>
  <c r="CE54" i="1"/>
  <c r="CD54" i="1"/>
  <c r="CC54" i="1"/>
  <c r="CB54" i="1"/>
  <c r="CA54" i="1"/>
  <c r="BZ54" i="1"/>
  <c r="BY54" i="1"/>
  <c r="BX54" i="1"/>
  <c r="BW54" i="1"/>
  <c r="CF53" i="1"/>
  <c r="CE53" i="1"/>
  <c r="CD53" i="1"/>
  <c r="CC53" i="1"/>
  <c r="CB53" i="1"/>
  <c r="CA53" i="1"/>
  <c r="BZ53" i="1"/>
  <c r="BY53" i="1"/>
  <c r="BX53" i="1"/>
  <c r="BW53" i="1"/>
  <c r="CF52" i="1"/>
  <c r="CE52" i="1"/>
  <c r="CD52" i="1"/>
  <c r="CC52" i="1"/>
  <c r="CB52" i="1"/>
  <c r="CA52" i="1"/>
  <c r="BZ52" i="1"/>
  <c r="BY52" i="1"/>
  <c r="BX52" i="1"/>
  <c r="BW52" i="1"/>
  <c r="CF51" i="1"/>
  <c r="CE51" i="1"/>
  <c r="CD51" i="1"/>
  <c r="CC51" i="1"/>
  <c r="CB51" i="1"/>
  <c r="CA51" i="1"/>
  <c r="BZ51" i="1"/>
  <c r="BY51" i="1"/>
  <c r="BX51" i="1"/>
  <c r="BW51" i="1"/>
  <c r="CF50" i="1"/>
  <c r="CE50" i="1"/>
  <c r="CD50" i="1"/>
  <c r="CC50" i="1"/>
  <c r="CB50" i="1"/>
  <c r="CA50" i="1"/>
  <c r="BZ50" i="1"/>
  <c r="BY50" i="1"/>
  <c r="BX50" i="1"/>
  <c r="BW50" i="1"/>
  <c r="CF49" i="1"/>
  <c r="CE49" i="1"/>
  <c r="CD49" i="1"/>
  <c r="CC49" i="1"/>
  <c r="CB49" i="1"/>
  <c r="CA49" i="1"/>
  <c r="BZ49" i="1"/>
  <c r="BY49" i="1"/>
  <c r="BX49" i="1"/>
  <c r="BW49" i="1"/>
  <c r="CF48" i="1"/>
  <c r="CE48" i="1"/>
  <c r="CD48" i="1"/>
  <c r="CC48" i="1"/>
  <c r="CB48" i="1"/>
  <c r="CA48" i="1"/>
  <c r="BZ48" i="1"/>
  <c r="BY48" i="1"/>
  <c r="BX48" i="1"/>
  <c r="BW48" i="1"/>
  <c r="CF47" i="1"/>
  <c r="CE47" i="1"/>
  <c r="CD47" i="1"/>
  <c r="CC47" i="1"/>
  <c r="CB47" i="1"/>
  <c r="CA47" i="1"/>
  <c r="BZ47" i="1"/>
  <c r="BY47" i="1"/>
  <c r="BX47" i="1"/>
  <c r="BW47" i="1"/>
  <c r="CF46" i="1"/>
  <c r="CE46" i="1"/>
  <c r="CD46" i="1"/>
  <c r="CC46" i="1"/>
  <c r="CB46" i="1"/>
  <c r="CA46" i="1"/>
  <c r="BZ46" i="1"/>
  <c r="BY46" i="1"/>
  <c r="BX46" i="1"/>
  <c r="BW46" i="1"/>
  <c r="CF45" i="1"/>
  <c r="CE45" i="1"/>
  <c r="CD45" i="1"/>
  <c r="CC45" i="1"/>
  <c r="CB45" i="1"/>
  <c r="CA45" i="1"/>
  <c r="BZ45" i="1"/>
  <c r="BY45" i="1"/>
  <c r="BX45" i="1"/>
  <c r="BW45" i="1"/>
  <c r="CF44" i="1"/>
  <c r="CE44" i="1"/>
  <c r="CD44" i="1"/>
  <c r="CC44" i="1"/>
  <c r="CB44" i="1"/>
  <c r="CA44" i="1"/>
  <c r="BZ44" i="1"/>
  <c r="BY44" i="1"/>
  <c r="BX44" i="1"/>
  <c r="BW44" i="1"/>
  <c r="CF43" i="1"/>
  <c r="CE43" i="1"/>
  <c r="CD43" i="1"/>
  <c r="CC43" i="1"/>
  <c r="CB43" i="1"/>
  <c r="CA43" i="1"/>
  <c r="BZ43" i="1"/>
  <c r="BY43" i="1"/>
  <c r="BX43" i="1"/>
  <c r="BW43" i="1"/>
  <c r="CF42" i="1"/>
  <c r="CE42" i="1"/>
  <c r="CD42" i="1"/>
  <c r="CC42" i="1"/>
  <c r="CB42" i="1"/>
  <c r="CA42" i="1"/>
  <c r="BZ42" i="1"/>
  <c r="BY42" i="1"/>
  <c r="BX42" i="1"/>
  <c r="BW42" i="1"/>
  <c r="CF41" i="1"/>
  <c r="CE41" i="1"/>
  <c r="CD41" i="1"/>
  <c r="CC41" i="1"/>
  <c r="CB41" i="1"/>
  <c r="CA41" i="1"/>
  <c r="BZ41" i="1"/>
  <c r="BY41" i="1"/>
  <c r="BX41" i="1"/>
  <c r="BW41" i="1"/>
  <c r="CF40" i="1"/>
  <c r="CE40" i="1"/>
  <c r="CD40" i="1"/>
  <c r="CC40" i="1"/>
  <c r="CB40" i="1"/>
  <c r="CA40" i="1"/>
  <c r="BZ40" i="1"/>
  <c r="BY40" i="1"/>
  <c r="BX40" i="1"/>
  <c r="BW40" i="1"/>
  <c r="CF39" i="1"/>
  <c r="CE39" i="1"/>
  <c r="CD39" i="1"/>
  <c r="CC39" i="1"/>
  <c r="CB39" i="1"/>
  <c r="CA39" i="1"/>
  <c r="BZ39" i="1"/>
  <c r="BY39" i="1"/>
  <c r="BX39" i="1"/>
  <c r="BW39" i="1"/>
  <c r="CF38" i="1"/>
  <c r="CE38" i="1"/>
  <c r="CD38" i="1"/>
  <c r="CC38" i="1"/>
  <c r="CB38" i="1"/>
  <c r="CA38" i="1"/>
  <c r="BZ38" i="1"/>
  <c r="BY38" i="1"/>
  <c r="BX38" i="1"/>
  <c r="BW38" i="1"/>
  <c r="CF37" i="1"/>
  <c r="CE37" i="1"/>
  <c r="CD37" i="1"/>
  <c r="CC37" i="1"/>
  <c r="CB37" i="1"/>
  <c r="CA37" i="1"/>
  <c r="BZ37" i="1"/>
  <c r="BY37" i="1"/>
  <c r="BX37" i="1"/>
  <c r="BW37" i="1"/>
  <c r="CF36" i="1"/>
  <c r="CE36" i="1"/>
  <c r="CD36" i="1"/>
  <c r="CC36" i="1"/>
  <c r="CB36" i="1"/>
  <c r="CA36" i="1"/>
  <c r="BZ36" i="1"/>
  <c r="BY36" i="1"/>
  <c r="BX36" i="1"/>
  <c r="BW36" i="1"/>
  <c r="CF35" i="1"/>
  <c r="CE35" i="1"/>
  <c r="CD35" i="1"/>
  <c r="CC35" i="1"/>
  <c r="CB35" i="1"/>
  <c r="CA35" i="1"/>
  <c r="BZ35" i="1"/>
  <c r="BY35" i="1"/>
  <c r="BX35" i="1"/>
  <c r="BW35" i="1"/>
  <c r="CF34" i="1"/>
  <c r="CE34" i="1"/>
  <c r="CD34" i="1"/>
  <c r="CC34" i="1"/>
  <c r="CB34" i="1"/>
  <c r="CA34" i="1"/>
  <c r="BZ34" i="1"/>
  <c r="BY34" i="1"/>
  <c r="BX34" i="1"/>
  <c r="BW34" i="1"/>
  <c r="CF33" i="1"/>
  <c r="CE33" i="1"/>
  <c r="CD33" i="1"/>
  <c r="CC33" i="1"/>
  <c r="CB33" i="1"/>
  <c r="CA33" i="1"/>
  <c r="BZ33" i="1"/>
  <c r="BY33" i="1"/>
  <c r="BX33" i="1"/>
  <c r="BW33" i="1"/>
  <c r="CF32" i="1"/>
  <c r="CE32" i="1"/>
  <c r="CD32" i="1"/>
  <c r="CC32" i="1"/>
  <c r="CB32" i="1"/>
  <c r="CA32" i="1"/>
  <c r="BZ32" i="1"/>
  <c r="BY32" i="1"/>
  <c r="BX32" i="1"/>
  <c r="BW32" i="1"/>
  <c r="CF31" i="1"/>
  <c r="CE31" i="1"/>
  <c r="CD31" i="1"/>
  <c r="CC31" i="1"/>
  <c r="CB31" i="1"/>
  <c r="CA31" i="1"/>
  <c r="BZ31" i="1"/>
  <c r="BY31" i="1"/>
  <c r="BX31" i="1"/>
  <c r="BW31" i="1"/>
  <c r="CF30" i="1"/>
  <c r="CE30" i="1"/>
  <c r="CD30" i="1"/>
  <c r="CC30" i="1"/>
  <c r="CB30" i="1"/>
  <c r="CA30" i="1"/>
  <c r="BZ30" i="1"/>
  <c r="BY30" i="1"/>
  <c r="BX30" i="1"/>
  <c r="BW30" i="1"/>
  <c r="AH30" i="1"/>
  <c r="AG30" i="1"/>
  <c r="AF30" i="1"/>
  <c r="AE30" i="1"/>
  <c r="AD30" i="1"/>
  <c r="AC30" i="1"/>
  <c r="AB30" i="1"/>
  <c r="AA30" i="1"/>
  <c r="Z30" i="1"/>
  <c r="Y30" i="1"/>
  <c r="CF29" i="1"/>
  <c r="CE29" i="1"/>
  <c r="CD29" i="1"/>
  <c r="CC29" i="1"/>
  <c r="CB29" i="1"/>
  <c r="CA29" i="1"/>
  <c r="BZ29" i="1"/>
  <c r="BY29" i="1"/>
  <c r="BX29" i="1"/>
  <c r="BW29" i="1"/>
  <c r="AH29" i="1"/>
  <c r="AG29" i="1"/>
  <c r="AF29" i="1"/>
  <c r="AE29" i="1"/>
  <c r="AD29" i="1"/>
  <c r="AC29" i="1"/>
  <c r="AB29" i="1"/>
  <c r="AA29" i="1"/>
  <c r="Z29" i="1"/>
  <c r="Y29" i="1"/>
  <c r="CF28" i="1"/>
  <c r="CE28" i="1"/>
  <c r="CD28" i="1"/>
  <c r="CC28" i="1"/>
  <c r="CB28" i="1"/>
  <c r="CA28" i="1"/>
  <c r="BZ28" i="1"/>
  <c r="BY28" i="1"/>
  <c r="BX28" i="1"/>
  <c r="BW28" i="1"/>
  <c r="CF27" i="1"/>
  <c r="CE27" i="1"/>
  <c r="CD27" i="1"/>
  <c r="CC27" i="1"/>
  <c r="CB27" i="1"/>
  <c r="CA27" i="1"/>
  <c r="BZ27" i="1"/>
  <c r="BY27" i="1"/>
  <c r="BX27" i="1"/>
  <c r="BW27" i="1"/>
  <c r="CF26" i="1"/>
  <c r="CE26" i="1"/>
  <c r="CD26" i="1"/>
  <c r="CC26" i="1"/>
  <c r="CB26" i="1"/>
  <c r="CA26" i="1"/>
  <c r="BZ26" i="1"/>
  <c r="BY26" i="1"/>
  <c r="BX26" i="1"/>
  <c r="BW26" i="1"/>
  <c r="CF25" i="1"/>
  <c r="CE25" i="1"/>
  <c r="CD25" i="1"/>
  <c r="CC25" i="1"/>
  <c r="CB25" i="1"/>
  <c r="CA25" i="1"/>
  <c r="BZ25" i="1"/>
  <c r="BY25" i="1"/>
  <c r="BX25" i="1"/>
  <c r="BW25" i="1"/>
  <c r="CF24" i="1"/>
  <c r="CE24" i="1"/>
  <c r="CD24" i="1"/>
  <c r="CC24" i="1"/>
  <c r="CB24" i="1"/>
  <c r="CA24" i="1"/>
  <c r="BZ24" i="1"/>
  <c r="BY24" i="1"/>
  <c r="BX24" i="1"/>
  <c r="BW24" i="1"/>
  <c r="CF23" i="1"/>
  <c r="CE23" i="1"/>
  <c r="CD23" i="1"/>
  <c r="CC23" i="1"/>
  <c r="CB23" i="1"/>
  <c r="CA23" i="1"/>
  <c r="BZ23" i="1"/>
  <c r="BY23" i="1"/>
  <c r="BX23" i="1"/>
  <c r="BW23" i="1"/>
  <c r="CF22" i="1"/>
  <c r="CE22" i="1"/>
  <c r="CD22" i="1"/>
  <c r="CC22" i="1"/>
  <c r="CB22" i="1"/>
  <c r="CA22" i="1"/>
  <c r="BZ22" i="1"/>
  <c r="BY22" i="1"/>
  <c r="BX22" i="1"/>
  <c r="BW22" i="1"/>
  <c r="CF21" i="1"/>
  <c r="CE21" i="1"/>
  <c r="CD21" i="1"/>
  <c r="CC21" i="1"/>
  <c r="CB21" i="1"/>
  <c r="CA21" i="1"/>
  <c r="BZ21" i="1"/>
  <c r="BY21" i="1"/>
  <c r="BX21" i="1"/>
  <c r="BW21" i="1"/>
  <c r="CF20" i="1"/>
  <c r="CE20" i="1"/>
  <c r="CD20" i="1"/>
  <c r="CC20" i="1"/>
  <c r="CB20" i="1"/>
  <c r="CA20" i="1"/>
  <c r="BZ20" i="1"/>
  <c r="BY20" i="1"/>
  <c r="BX20" i="1"/>
  <c r="BW20" i="1"/>
  <c r="CF19" i="1"/>
  <c r="CE19" i="1"/>
  <c r="CD19" i="1"/>
  <c r="CC19" i="1"/>
  <c r="CB19" i="1"/>
  <c r="CA19" i="1"/>
  <c r="BZ19" i="1"/>
  <c r="BY19" i="1"/>
  <c r="BX19" i="1"/>
  <c r="BW19" i="1"/>
  <c r="CF18" i="1"/>
  <c r="CE18" i="1"/>
  <c r="CD18" i="1"/>
  <c r="CC18" i="1"/>
  <c r="CB18" i="1"/>
  <c r="CA18" i="1"/>
  <c r="BZ18" i="1"/>
  <c r="BY18" i="1"/>
  <c r="BX18" i="1"/>
  <c r="BW18" i="1"/>
  <c r="CF17" i="1"/>
  <c r="CE17" i="1"/>
  <c r="CD17" i="1"/>
  <c r="CC17" i="1"/>
  <c r="CB17" i="1"/>
  <c r="CA17" i="1"/>
  <c r="BZ17" i="1"/>
  <c r="BY17" i="1"/>
  <c r="BX17" i="1"/>
  <c r="BW17" i="1"/>
  <c r="CF16" i="1"/>
  <c r="CE16" i="1"/>
  <c r="CD16" i="1"/>
  <c r="CC16" i="1"/>
  <c r="CB16" i="1"/>
  <c r="CA16" i="1"/>
  <c r="BZ16" i="1"/>
  <c r="BY16" i="1"/>
  <c r="BX16" i="1"/>
  <c r="BW16" i="1"/>
  <c r="CF15" i="1"/>
  <c r="CE15" i="1"/>
  <c r="CD15" i="1"/>
  <c r="CC15" i="1"/>
  <c r="CB15" i="1"/>
  <c r="CA15" i="1"/>
  <c r="BZ15" i="1"/>
  <c r="BY15" i="1"/>
  <c r="BX15" i="1"/>
  <c r="BW15" i="1"/>
  <c r="CF14" i="1"/>
  <c r="CE14" i="1"/>
  <c r="CD14" i="1"/>
  <c r="CC14" i="1"/>
  <c r="CB14" i="1"/>
  <c r="CA14" i="1"/>
  <c r="BZ14" i="1"/>
  <c r="BY14" i="1"/>
  <c r="BX14" i="1"/>
  <c r="BW14" i="1"/>
  <c r="CF13" i="1"/>
  <c r="CE13" i="1"/>
  <c r="CD13" i="1"/>
  <c r="CC13" i="1"/>
  <c r="CB13" i="1"/>
  <c r="CA13" i="1"/>
  <c r="BZ13" i="1"/>
  <c r="BY13" i="1"/>
  <c r="BX13" i="1"/>
  <c r="BW13" i="1"/>
  <c r="CF12" i="1"/>
  <c r="CE12" i="1"/>
  <c r="CD12" i="1"/>
  <c r="CC12" i="1"/>
  <c r="CB12" i="1"/>
  <c r="CA12" i="1"/>
  <c r="BZ12" i="1"/>
  <c r="BY12" i="1"/>
  <c r="BX12" i="1"/>
  <c r="BW12" i="1"/>
  <c r="CF11" i="1"/>
  <c r="CD11" i="1"/>
  <c r="CC11" i="1"/>
  <c r="CB11" i="1"/>
  <c r="CA11" i="1"/>
  <c r="BX11" i="1"/>
  <c r="BW11" i="1"/>
  <c r="CF8" i="1"/>
  <c r="CE8" i="1"/>
  <c r="CD8" i="1"/>
  <c r="CC8" i="1"/>
  <c r="CB8" i="1"/>
  <c r="CA8" i="1"/>
  <c r="BZ8" i="1"/>
  <c r="BY8" i="1"/>
  <c r="BX8" i="1"/>
  <c r="BW8" i="1"/>
  <c r="CD7" i="1"/>
  <c r="BX7" i="1"/>
  <c r="BW7" i="1"/>
  <c r="CL209" i="1"/>
  <c r="CL208" i="1"/>
  <c r="CL187" i="1"/>
  <c r="CM186" i="1"/>
  <c r="CL168" i="1"/>
  <c r="CM167" i="1"/>
  <c r="CL167" i="1"/>
  <c r="AI118" i="8"/>
  <c r="AI117" i="8"/>
  <c r="AI116" i="8"/>
  <c r="AH118" i="8"/>
  <c r="AH117" i="8"/>
  <c r="AH116" i="8"/>
  <c r="I11" i="1" l="1"/>
  <c r="I13" i="1"/>
  <c r="I15" i="1"/>
  <c r="I17" i="1"/>
  <c r="I19" i="1"/>
  <c r="I21" i="1"/>
  <c r="I23" i="1"/>
  <c r="I25" i="1"/>
  <c r="I27" i="1"/>
  <c r="I29" i="1"/>
  <c r="I31" i="1"/>
  <c r="CM168" i="1"/>
  <c r="I33" i="1"/>
  <c r="I35" i="1"/>
  <c r="I37" i="1"/>
  <c r="I39" i="1"/>
  <c r="I41" i="1"/>
  <c r="I43" i="1"/>
  <c r="I45" i="1"/>
  <c r="I47" i="1"/>
  <c r="H11" i="1"/>
  <c r="H13" i="1"/>
  <c r="H15" i="1"/>
  <c r="H17" i="1"/>
  <c r="H19" i="1"/>
  <c r="H21" i="1"/>
  <c r="H23" i="1"/>
  <c r="H25" i="1"/>
  <c r="H27" i="1"/>
  <c r="H29" i="1"/>
  <c r="H31" i="1"/>
  <c r="H33" i="1"/>
  <c r="H35" i="1"/>
  <c r="H37" i="1"/>
  <c r="H39" i="1"/>
  <c r="H41" i="1"/>
  <c r="H43" i="1"/>
  <c r="H45" i="1"/>
  <c r="H47" i="1"/>
  <c r="CM187" i="1"/>
  <c r="CM189" i="1"/>
  <c r="CM211" i="1" s="1"/>
  <c r="CL190" i="1"/>
  <c r="CL212" i="1" s="1"/>
  <c r="CL189" i="1"/>
  <c r="CL211" i="1" s="1"/>
  <c r="CM190" i="1" l="1"/>
  <c r="CM212" i="1" s="1"/>
  <c r="BM60" i="1"/>
  <c r="BP60" i="1"/>
  <c r="BQ60" i="1"/>
  <c r="BV60" i="1"/>
  <c r="BM199" i="1"/>
  <c r="BP199" i="1"/>
  <c r="BQ199" i="1"/>
  <c r="BV199" i="1"/>
  <c r="BM182" i="1" l="1"/>
  <c r="BV174" i="1"/>
  <c r="BO198" i="1"/>
  <c r="BV198" i="1"/>
  <c r="BT198" i="1"/>
  <c r="BM198" i="1"/>
  <c r="BS198" i="1"/>
  <c r="BN198" i="1"/>
  <c r="BT67" i="1"/>
  <c r="BR67" i="1"/>
  <c r="BO67" i="1"/>
  <c r="BR65" i="1"/>
  <c r="BQ65" i="1"/>
  <c r="BM65" i="1"/>
  <c r="BT63" i="1"/>
  <c r="BP63" i="1"/>
  <c r="BM67" i="1"/>
  <c r="BM63" i="1"/>
  <c r="BU61" i="1"/>
  <c r="BM61" i="1"/>
  <c r="BV59" i="1"/>
  <c r="BN59" i="1"/>
  <c r="BM59" i="1"/>
  <c r="BU59" i="1"/>
  <c r="BS59" i="1"/>
  <c r="BQ59" i="1"/>
  <c r="BP59" i="1"/>
  <c r="BR59" i="1"/>
  <c r="BO59" i="1"/>
  <c r="BR57" i="1"/>
  <c r="BO55" i="1"/>
  <c r="BT55" i="1"/>
  <c r="BS55" i="1"/>
  <c r="BV7" i="1"/>
  <c r="BU7" i="1"/>
  <c r="BT7" i="1"/>
  <c r="BS7" i="1"/>
  <c r="BO7" i="1"/>
  <c r="BQ7" i="1"/>
  <c r="BR183" i="1"/>
  <c r="BS199" i="1"/>
  <c r="BO199" i="1"/>
  <c r="BM183" i="1"/>
  <c r="BV177" i="1"/>
  <c r="BU177" i="1"/>
  <c r="BT177" i="1"/>
  <c r="BS177" i="1"/>
  <c r="BR177" i="1"/>
  <c r="BQ177" i="1"/>
  <c r="BP177" i="1"/>
  <c r="BO177" i="1"/>
  <c r="BN177" i="1"/>
  <c r="BM177" i="1"/>
  <c r="BV179" i="1"/>
  <c r="BU179" i="1"/>
  <c r="BT179" i="1"/>
  <c r="BS179" i="1"/>
  <c r="BR179" i="1"/>
  <c r="BQ179" i="1"/>
  <c r="BP179" i="1"/>
  <c r="BO179" i="1"/>
  <c r="BN179" i="1"/>
  <c r="BM179" i="1"/>
  <c r="BV175" i="1"/>
  <c r="BU175" i="1"/>
  <c r="BT175" i="1"/>
  <c r="BS175" i="1"/>
  <c r="BR175" i="1"/>
  <c r="BQ175" i="1"/>
  <c r="BP175" i="1"/>
  <c r="BO175" i="1"/>
  <c r="BN175" i="1"/>
  <c r="BM175" i="1"/>
  <c r="BT66" i="1"/>
  <c r="BR66" i="1"/>
  <c r="BR68" i="1"/>
  <c r="BO68" i="1"/>
  <c r="BU60" i="1"/>
  <c r="BS60" i="1"/>
  <c r="BR60" i="1"/>
  <c r="BN60" i="1"/>
  <c r="BT58" i="1"/>
  <c r="BR58" i="1"/>
  <c r="BM58" i="1"/>
  <c r="BU12" i="1"/>
  <c r="BO12" i="1"/>
  <c r="BM12" i="1"/>
  <c r="BU8" i="1"/>
  <c r="BT8" i="1"/>
  <c r="BR8" i="1"/>
  <c r="BO8" i="1"/>
  <c r="CC209" i="1"/>
  <c r="CC187" i="1"/>
  <c r="CF10" i="1"/>
  <c r="CE10" i="1"/>
  <c r="CD10" i="1"/>
  <c r="CC10" i="1"/>
  <c r="CB10" i="1"/>
  <c r="CA10" i="1"/>
  <c r="BZ10" i="1"/>
  <c r="BY10" i="1"/>
  <c r="BX10" i="1"/>
  <c r="CF9" i="1"/>
  <c r="CE9" i="1"/>
  <c r="CD9" i="1"/>
  <c r="CC9" i="1"/>
  <c r="CB9" i="1"/>
  <c r="CA9" i="1"/>
  <c r="BZ9" i="1"/>
  <c r="BY9" i="1"/>
  <c r="BX9" i="1"/>
  <c r="BW9" i="1"/>
  <c r="BW10" i="1"/>
  <c r="CC208" i="1"/>
  <c r="CC186" i="1"/>
  <c r="CD209" i="1"/>
  <c r="CD208" i="1"/>
  <c r="CD187" i="1"/>
  <c r="CD186" i="1"/>
  <c r="AI105" i="8"/>
  <c r="AI104" i="8"/>
  <c r="AI103" i="8"/>
  <c r="AH106" i="8"/>
  <c r="AH105" i="8"/>
  <c r="AH104" i="8"/>
  <c r="AH103" i="8"/>
  <c r="BU64" i="1"/>
  <c r="BT64" i="1"/>
  <c r="CD168" i="1" l="1"/>
  <c r="CC167" i="1"/>
  <c r="CC189" i="1" s="1"/>
  <c r="CC211" i="1" s="1"/>
  <c r="CD167" i="1"/>
  <c r="CD189" i="1" s="1"/>
  <c r="CD211" i="1" s="1"/>
  <c r="CC168" i="1"/>
  <c r="CC190" i="1" s="1"/>
  <c r="CC212" i="1" s="1"/>
  <c r="CD190" i="1"/>
  <c r="CD212" i="1" s="1"/>
  <c r="BT199" i="1"/>
  <c r="BN199" i="1"/>
  <c r="BN183" i="1"/>
  <c r="BO11" i="1"/>
  <c r="BU11" i="1"/>
  <c r="BT57" i="1"/>
  <c r="BO57" i="1"/>
  <c r="BT68" i="1"/>
  <c r="BM68" i="1"/>
  <c r="BO58" i="1"/>
  <c r="BP64" i="1"/>
  <c r="BT56" i="1"/>
  <c r="BS66" i="1"/>
  <c r="BQ66" i="1"/>
  <c r="BM66" i="1"/>
  <c r="BQ183" i="1"/>
  <c r="BM64" i="1"/>
  <c r="BT60" i="1"/>
  <c r="BM11" i="1"/>
  <c r="BV12" i="1"/>
  <c r="BT12" i="1"/>
  <c r="BS12" i="1"/>
  <c r="BR12" i="1"/>
  <c r="BQ12" i="1"/>
  <c r="BP12" i="1"/>
  <c r="BN12" i="1"/>
  <c r="BV11" i="1"/>
  <c r="BT11" i="1"/>
  <c r="BS11" i="1"/>
  <c r="BR11" i="1"/>
  <c r="BQ11" i="1"/>
  <c r="BP11" i="1"/>
  <c r="BN11" i="1"/>
  <c r="BR69" i="1"/>
  <c r="BO69" i="1"/>
  <c r="BT65" i="1"/>
  <c r="BS65" i="1"/>
  <c r="BU63" i="1"/>
  <c r="BV61" i="1"/>
  <c r="BQ61" i="1"/>
  <c r="BT59" i="1"/>
  <c r="BM57" i="1"/>
  <c r="BM55" i="1"/>
  <c r="BR7" i="1"/>
  <c r="BP7" i="1"/>
  <c r="BR70" i="1"/>
  <c r="BO70" i="1"/>
  <c r="BM70" i="1"/>
  <c r="BM69" i="1"/>
  <c r="BV70" i="1"/>
  <c r="BU70" i="1"/>
  <c r="BT70" i="1"/>
  <c r="BS70" i="1"/>
  <c r="BQ70" i="1"/>
  <c r="BP70" i="1"/>
  <c r="BN70" i="1"/>
  <c r="BV69" i="1"/>
  <c r="BU69" i="1"/>
  <c r="BT69" i="1"/>
  <c r="BS69" i="1"/>
  <c r="BQ69" i="1"/>
  <c r="BP69" i="1"/>
  <c r="BN69" i="1"/>
  <c r="BO60" i="1"/>
  <c r="BV62" i="1"/>
  <c r="BU62" i="1"/>
  <c r="BQ62" i="1"/>
  <c r="BM62" i="1"/>
  <c r="BS56" i="1"/>
  <c r="BO56" i="1"/>
  <c r="BM56" i="1"/>
  <c r="BS8" i="1"/>
  <c r="BP8" i="1"/>
  <c r="BV68" i="1"/>
  <c r="BU68" i="1"/>
  <c r="BS68" i="1"/>
  <c r="BQ68" i="1"/>
  <c r="BP68" i="1"/>
  <c r="BN68" i="1"/>
  <c r="BV67" i="1"/>
  <c r="BU67" i="1"/>
  <c r="BS67" i="1"/>
  <c r="BQ67" i="1"/>
  <c r="BP67" i="1"/>
  <c r="BN67" i="1"/>
  <c r="BD198" i="1"/>
  <c r="BL198" i="1"/>
  <c r="BJ198" i="1"/>
  <c r="BI198" i="1"/>
  <c r="BH198" i="1"/>
  <c r="BF198" i="1"/>
  <c r="BC198" i="1"/>
  <c r="BV176" i="1"/>
  <c r="BU176" i="1"/>
  <c r="BT176" i="1"/>
  <c r="BS176" i="1"/>
  <c r="BR176" i="1"/>
  <c r="BQ176" i="1"/>
  <c r="BP176" i="1"/>
  <c r="BO176" i="1"/>
  <c r="BN176" i="1"/>
  <c r="BM176" i="1"/>
  <c r="BV178" i="1"/>
  <c r="BU178" i="1"/>
  <c r="BT178" i="1"/>
  <c r="BS178" i="1"/>
  <c r="BR178" i="1"/>
  <c r="BQ178" i="1"/>
  <c r="BP178" i="1"/>
  <c r="BO178" i="1"/>
  <c r="BN178" i="1"/>
  <c r="BM178" i="1"/>
  <c r="BU174" i="1"/>
  <c r="BT174" i="1"/>
  <c r="BS174" i="1"/>
  <c r="BR174" i="1"/>
  <c r="BQ174" i="1"/>
  <c r="BP174" i="1"/>
  <c r="BO174" i="1"/>
  <c r="BN174" i="1"/>
  <c r="BM174" i="1"/>
  <c r="BL174" i="1"/>
  <c r="BU66" i="1"/>
  <c r="BV207" i="1"/>
  <c r="BU207" i="1"/>
  <c r="BT207" i="1"/>
  <c r="BS207" i="1"/>
  <c r="BR207" i="1"/>
  <c r="BQ207" i="1"/>
  <c r="BP207" i="1"/>
  <c r="BO207" i="1"/>
  <c r="BN207" i="1"/>
  <c r="BM207" i="1"/>
  <c r="BV206" i="1"/>
  <c r="BU206" i="1"/>
  <c r="BT206" i="1"/>
  <c r="BS206" i="1"/>
  <c r="BR206" i="1"/>
  <c r="BQ206" i="1"/>
  <c r="BP206" i="1"/>
  <c r="BO206" i="1"/>
  <c r="BN206" i="1"/>
  <c r="BM206" i="1"/>
  <c r="BV205" i="1"/>
  <c r="BU205" i="1"/>
  <c r="BT205" i="1"/>
  <c r="BS205" i="1"/>
  <c r="BR205" i="1"/>
  <c r="BQ205" i="1"/>
  <c r="BP205" i="1"/>
  <c r="BO205" i="1"/>
  <c r="BN205" i="1"/>
  <c r="BM205" i="1"/>
  <c r="BV204" i="1"/>
  <c r="BU204" i="1"/>
  <c r="BT204" i="1"/>
  <c r="BS204" i="1"/>
  <c r="BR204" i="1"/>
  <c r="BQ204" i="1"/>
  <c r="BP204" i="1"/>
  <c r="BO204" i="1"/>
  <c r="BN204" i="1"/>
  <c r="BM204" i="1"/>
  <c r="BV203" i="1"/>
  <c r="BU203" i="1"/>
  <c r="BT203" i="1"/>
  <c r="BS203" i="1"/>
  <c r="BR203" i="1"/>
  <c r="BQ203" i="1"/>
  <c r="BP203" i="1"/>
  <c r="BO203" i="1"/>
  <c r="BN203" i="1"/>
  <c r="BM203" i="1"/>
  <c r="BV202" i="1"/>
  <c r="BU202" i="1"/>
  <c r="BT202" i="1"/>
  <c r="BS202" i="1"/>
  <c r="BR202" i="1"/>
  <c r="BQ202" i="1"/>
  <c r="BP202" i="1"/>
  <c r="BO202" i="1"/>
  <c r="BN202" i="1"/>
  <c r="BM202" i="1"/>
  <c r="BV201" i="1"/>
  <c r="BU201" i="1"/>
  <c r="BT201" i="1"/>
  <c r="BS201" i="1"/>
  <c r="BR201" i="1"/>
  <c r="BQ201" i="1"/>
  <c r="BP201" i="1"/>
  <c r="BO201" i="1"/>
  <c r="BN201" i="1"/>
  <c r="BM201" i="1"/>
  <c r="BV200" i="1"/>
  <c r="BU200" i="1"/>
  <c r="BT200" i="1"/>
  <c r="BT208" i="1" s="1"/>
  <c r="BS200" i="1"/>
  <c r="BR200" i="1"/>
  <c r="BQ200" i="1"/>
  <c r="BP200" i="1"/>
  <c r="BO200" i="1"/>
  <c r="BN200" i="1"/>
  <c r="BM200" i="1"/>
  <c r="BU199" i="1"/>
  <c r="BR199" i="1"/>
  <c r="BU198" i="1"/>
  <c r="BR198" i="1"/>
  <c r="BQ198" i="1"/>
  <c r="BP198" i="1"/>
  <c r="BV185" i="1"/>
  <c r="BU185" i="1"/>
  <c r="BT185" i="1"/>
  <c r="BS185" i="1"/>
  <c r="BR185" i="1"/>
  <c r="BQ185" i="1"/>
  <c r="BP185" i="1"/>
  <c r="BO185" i="1"/>
  <c r="BN185" i="1"/>
  <c r="BM185" i="1"/>
  <c r="BV184" i="1"/>
  <c r="BU184" i="1"/>
  <c r="BT184" i="1"/>
  <c r="BS184" i="1"/>
  <c r="BR184" i="1"/>
  <c r="BQ184" i="1"/>
  <c r="BP184" i="1"/>
  <c r="BO184" i="1"/>
  <c r="BN184" i="1"/>
  <c r="BM184" i="1"/>
  <c r="BV183" i="1"/>
  <c r="BU183" i="1"/>
  <c r="BT183" i="1"/>
  <c r="BS183" i="1"/>
  <c r="BP183" i="1"/>
  <c r="BO183" i="1"/>
  <c r="BV182" i="1"/>
  <c r="BU182" i="1"/>
  <c r="BT182" i="1"/>
  <c r="BS182" i="1"/>
  <c r="BR182" i="1"/>
  <c r="BQ182" i="1"/>
  <c r="BP182" i="1"/>
  <c r="BO182" i="1"/>
  <c r="BN182" i="1"/>
  <c r="BV181" i="1"/>
  <c r="BU181" i="1"/>
  <c r="BU187" i="1" s="1"/>
  <c r="BT181" i="1"/>
  <c r="BS181" i="1"/>
  <c r="BR181" i="1"/>
  <c r="BQ181" i="1"/>
  <c r="BQ187" i="1" s="1"/>
  <c r="BP181" i="1"/>
  <c r="BO181" i="1"/>
  <c r="BN181" i="1"/>
  <c r="BM181" i="1"/>
  <c r="BV180" i="1"/>
  <c r="BU180" i="1"/>
  <c r="BT180" i="1"/>
  <c r="BS180" i="1"/>
  <c r="BR180" i="1"/>
  <c r="BQ180" i="1"/>
  <c r="BP180" i="1"/>
  <c r="BO180" i="1"/>
  <c r="BN180" i="1"/>
  <c r="BM180" i="1"/>
  <c r="BV66" i="1"/>
  <c r="BP66" i="1"/>
  <c r="BO66" i="1"/>
  <c r="BN66" i="1"/>
  <c r="BV65" i="1"/>
  <c r="BU65" i="1"/>
  <c r="BP65" i="1"/>
  <c r="BO65" i="1"/>
  <c r="BN65" i="1"/>
  <c r="BV64" i="1"/>
  <c r="BS64" i="1"/>
  <c r="BR64" i="1"/>
  <c r="BQ64" i="1"/>
  <c r="BO64" i="1"/>
  <c r="BN64" i="1"/>
  <c r="BV63" i="1"/>
  <c r="BS63" i="1"/>
  <c r="BR63" i="1"/>
  <c r="BQ63" i="1"/>
  <c r="BO63" i="1"/>
  <c r="BN63" i="1"/>
  <c r="BT62" i="1"/>
  <c r="BS62" i="1"/>
  <c r="BR62" i="1"/>
  <c r="BP62" i="1"/>
  <c r="BO62" i="1"/>
  <c r="BN62" i="1"/>
  <c r="BT61" i="1"/>
  <c r="BS61" i="1"/>
  <c r="BR61" i="1"/>
  <c r="BP61" i="1"/>
  <c r="BO61" i="1"/>
  <c r="BN61" i="1"/>
  <c r="BV58" i="1"/>
  <c r="BU58" i="1"/>
  <c r="BS58" i="1"/>
  <c r="BQ58" i="1"/>
  <c r="BP58" i="1"/>
  <c r="BN58" i="1"/>
  <c r="BV57" i="1"/>
  <c r="BU57" i="1"/>
  <c r="BS57" i="1"/>
  <c r="BQ57" i="1"/>
  <c r="BP57" i="1"/>
  <c r="BN57" i="1"/>
  <c r="BV56" i="1"/>
  <c r="BU56" i="1"/>
  <c r="BR56" i="1"/>
  <c r="BQ56" i="1"/>
  <c r="BP56" i="1"/>
  <c r="BN56" i="1"/>
  <c r="BV55" i="1"/>
  <c r="BU55" i="1"/>
  <c r="BR55" i="1"/>
  <c r="BQ55" i="1"/>
  <c r="BP55" i="1"/>
  <c r="BN55" i="1"/>
  <c r="BV54" i="1"/>
  <c r="BU54" i="1"/>
  <c r="BT54" i="1"/>
  <c r="BS54" i="1"/>
  <c r="BR54" i="1"/>
  <c r="BQ54" i="1"/>
  <c r="BP54" i="1"/>
  <c r="BO54" i="1"/>
  <c r="BN54" i="1"/>
  <c r="BM54" i="1"/>
  <c r="BV53" i="1"/>
  <c r="BU53" i="1"/>
  <c r="BT53" i="1"/>
  <c r="BS53" i="1"/>
  <c r="BR53" i="1"/>
  <c r="BQ53" i="1"/>
  <c r="BP53" i="1"/>
  <c r="BO53" i="1"/>
  <c r="BN53" i="1"/>
  <c r="BM53" i="1"/>
  <c r="BV52" i="1"/>
  <c r="BU52" i="1"/>
  <c r="BT52" i="1"/>
  <c r="BS52" i="1"/>
  <c r="BR52" i="1"/>
  <c r="BQ52" i="1"/>
  <c r="BP52" i="1"/>
  <c r="BO52" i="1"/>
  <c r="BN52" i="1"/>
  <c r="BM52" i="1"/>
  <c r="BV51" i="1"/>
  <c r="BU51" i="1"/>
  <c r="BT51" i="1"/>
  <c r="BS51" i="1"/>
  <c r="BR51" i="1"/>
  <c r="BQ51" i="1"/>
  <c r="BP51" i="1"/>
  <c r="BO51" i="1"/>
  <c r="BN51" i="1"/>
  <c r="BM51" i="1"/>
  <c r="BV50" i="1"/>
  <c r="BU50" i="1"/>
  <c r="BT50" i="1"/>
  <c r="BS50" i="1"/>
  <c r="BR50" i="1"/>
  <c r="BQ50" i="1"/>
  <c r="BP50" i="1"/>
  <c r="BO50" i="1"/>
  <c r="BN50" i="1"/>
  <c r="BM50" i="1"/>
  <c r="BV49" i="1"/>
  <c r="BU49" i="1"/>
  <c r="BT49" i="1"/>
  <c r="BS49" i="1"/>
  <c r="BR49" i="1"/>
  <c r="BQ49" i="1"/>
  <c r="BP49" i="1"/>
  <c r="BO49" i="1"/>
  <c r="BN49" i="1"/>
  <c r="BM49" i="1"/>
  <c r="BV48" i="1"/>
  <c r="BU48" i="1"/>
  <c r="BT48" i="1"/>
  <c r="BS48" i="1"/>
  <c r="BR48" i="1"/>
  <c r="BQ48" i="1"/>
  <c r="BP48" i="1"/>
  <c r="BO48" i="1"/>
  <c r="BN48" i="1"/>
  <c r="BM48" i="1"/>
  <c r="BV47" i="1"/>
  <c r="BU47" i="1"/>
  <c r="BT47" i="1"/>
  <c r="BS47" i="1"/>
  <c r="BR47" i="1"/>
  <c r="BQ47" i="1"/>
  <c r="BP47" i="1"/>
  <c r="BO47" i="1"/>
  <c r="BN47" i="1"/>
  <c r="BM47" i="1"/>
  <c r="BV46" i="1"/>
  <c r="BU46" i="1"/>
  <c r="BT46" i="1"/>
  <c r="BS46" i="1"/>
  <c r="BR46" i="1"/>
  <c r="BQ46" i="1"/>
  <c r="BP46" i="1"/>
  <c r="BO46" i="1"/>
  <c r="BN46" i="1"/>
  <c r="BM46" i="1"/>
  <c r="BV45" i="1"/>
  <c r="BU45" i="1"/>
  <c r="BT45" i="1"/>
  <c r="BS45" i="1"/>
  <c r="BR45" i="1"/>
  <c r="BQ45" i="1"/>
  <c r="BP45" i="1"/>
  <c r="BO45" i="1"/>
  <c r="BN45" i="1"/>
  <c r="BM45" i="1"/>
  <c r="BV44" i="1"/>
  <c r="BU44" i="1"/>
  <c r="BT44" i="1"/>
  <c r="BS44" i="1"/>
  <c r="BR44" i="1"/>
  <c r="BQ44" i="1"/>
  <c r="BP44" i="1"/>
  <c r="BO44" i="1"/>
  <c r="BN44" i="1"/>
  <c r="BM44" i="1"/>
  <c r="BV43" i="1"/>
  <c r="BU43" i="1"/>
  <c r="BT43" i="1"/>
  <c r="BS43" i="1"/>
  <c r="BR43" i="1"/>
  <c r="BQ43" i="1"/>
  <c r="BP43" i="1"/>
  <c r="BO43" i="1"/>
  <c r="BN43" i="1"/>
  <c r="BM43" i="1"/>
  <c r="BV42" i="1"/>
  <c r="BU42" i="1"/>
  <c r="BT42" i="1"/>
  <c r="BS42" i="1"/>
  <c r="BR42" i="1"/>
  <c r="BQ42" i="1"/>
  <c r="BP42" i="1"/>
  <c r="BO42" i="1"/>
  <c r="BN42" i="1"/>
  <c r="BM42" i="1"/>
  <c r="BV41" i="1"/>
  <c r="BU41" i="1"/>
  <c r="BT41" i="1"/>
  <c r="BS41" i="1"/>
  <c r="BR41" i="1"/>
  <c r="BQ41" i="1"/>
  <c r="BP41" i="1"/>
  <c r="BO41" i="1"/>
  <c r="BN41" i="1"/>
  <c r="BM41" i="1"/>
  <c r="BV40" i="1"/>
  <c r="BU40" i="1"/>
  <c r="BT40" i="1"/>
  <c r="BS40" i="1"/>
  <c r="BR40" i="1"/>
  <c r="BQ40" i="1"/>
  <c r="BP40" i="1"/>
  <c r="BO40" i="1"/>
  <c r="BN40" i="1"/>
  <c r="BM40" i="1"/>
  <c r="BV39" i="1"/>
  <c r="BU39" i="1"/>
  <c r="BT39" i="1"/>
  <c r="BS39" i="1"/>
  <c r="BR39" i="1"/>
  <c r="BQ39" i="1"/>
  <c r="BP39" i="1"/>
  <c r="BO39" i="1"/>
  <c r="BN39" i="1"/>
  <c r="BM39" i="1"/>
  <c r="BV38" i="1"/>
  <c r="BU38" i="1"/>
  <c r="BT38" i="1"/>
  <c r="BS38" i="1"/>
  <c r="BR38" i="1"/>
  <c r="BQ38" i="1"/>
  <c r="BP38" i="1"/>
  <c r="BO38" i="1"/>
  <c r="BN38" i="1"/>
  <c r="BM38" i="1"/>
  <c r="BV37" i="1"/>
  <c r="BU37" i="1"/>
  <c r="BT37" i="1"/>
  <c r="BS37" i="1"/>
  <c r="BR37" i="1"/>
  <c r="BQ37" i="1"/>
  <c r="BP37" i="1"/>
  <c r="BO37" i="1"/>
  <c r="BN37" i="1"/>
  <c r="BM37" i="1"/>
  <c r="BV36" i="1"/>
  <c r="BU36" i="1"/>
  <c r="BT36" i="1"/>
  <c r="BS36" i="1"/>
  <c r="BR36" i="1"/>
  <c r="BQ36" i="1"/>
  <c r="BP36" i="1"/>
  <c r="BO36" i="1"/>
  <c r="BN36" i="1"/>
  <c r="BM36" i="1"/>
  <c r="BV35" i="1"/>
  <c r="BU35" i="1"/>
  <c r="BT35" i="1"/>
  <c r="BS35" i="1"/>
  <c r="BR35" i="1"/>
  <c r="BQ35" i="1"/>
  <c r="BP35" i="1"/>
  <c r="BO35" i="1"/>
  <c r="BN35" i="1"/>
  <c r="BM35" i="1"/>
  <c r="BV34" i="1"/>
  <c r="BU34" i="1"/>
  <c r="BT34" i="1"/>
  <c r="BS34" i="1"/>
  <c r="BR34" i="1"/>
  <c r="BQ34" i="1"/>
  <c r="BP34" i="1"/>
  <c r="BO34" i="1"/>
  <c r="BN34" i="1"/>
  <c r="BM34" i="1"/>
  <c r="BV33" i="1"/>
  <c r="BU33" i="1"/>
  <c r="BT33" i="1"/>
  <c r="BS33" i="1"/>
  <c r="BR33" i="1"/>
  <c r="BQ33" i="1"/>
  <c r="BP33" i="1"/>
  <c r="BO33" i="1"/>
  <c r="BN33" i="1"/>
  <c r="BM33" i="1"/>
  <c r="BV32" i="1"/>
  <c r="BU32" i="1"/>
  <c r="BT32" i="1"/>
  <c r="BS32" i="1"/>
  <c r="BR32" i="1"/>
  <c r="BQ32" i="1"/>
  <c r="BP32" i="1"/>
  <c r="BO32" i="1"/>
  <c r="BN32" i="1"/>
  <c r="BM32" i="1"/>
  <c r="BV31" i="1"/>
  <c r="BU31" i="1"/>
  <c r="BT31" i="1"/>
  <c r="BS31" i="1"/>
  <c r="BR31" i="1"/>
  <c r="BQ31" i="1"/>
  <c r="BP31" i="1"/>
  <c r="BO31" i="1"/>
  <c r="BN31" i="1"/>
  <c r="BM31" i="1"/>
  <c r="BV30" i="1"/>
  <c r="BU30" i="1"/>
  <c r="BT30" i="1"/>
  <c r="BS30" i="1"/>
  <c r="BR30" i="1"/>
  <c r="BQ30" i="1"/>
  <c r="BP30" i="1"/>
  <c r="BO30" i="1"/>
  <c r="BN30" i="1"/>
  <c r="BM30" i="1"/>
  <c r="BV29" i="1"/>
  <c r="BU29" i="1"/>
  <c r="BT29" i="1"/>
  <c r="BS29" i="1"/>
  <c r="BR29" i="1"/>
  <c r="BQ29" i="1"/>
  <c r="BP29" i="1"/>
  <c r="BO29" i="1"/>
  <c r="BN29" i="1"/>
  <c r="BM29" i="1"/>
  <c r="BV28" i="1"/>
  <c r="BU28" i="1"/>
  <c r="BT28" i="1"/>
  <c r="BS28" i="1"/>
  <c r="BR28" i="1"/>
  <c r="BQ28" i="1"/>
  <c r="BP28" i="1"/>
  <c r="BO28" i="1"/>
  <c r="BN28" i="1"/>
  <c r="BM28" i="1"/>
  <c r="BV27" i="1"/>
  <c r="BU27" i="1"/>
  <c r="BT27" i="1"/>
  <c r="BS27" i="1"/>
  <c r="BR27" i="1"/>
  <c r="BQ27" i="1"/>
  <c r="BP27" i="1"/>
  <c r="BO27" i="1"/>
  <c r="BN27" i="1"/>
  <c r="BM27" i="1"/>
  <c r="BV26" i="1"/>
  <c r="BU26" i="1"/>
  <c r="BT26" i="1"/>
  <c r="BS26" i="1"/>
  <c r="BR26" i="1"/>
  <c r="BQ26" i="1"/>
  <c r="BP26" i="1"/>
  <c r="BO26" i="1"/>
  <c r="BN26" i="1"/>
  <c r="BM26" i="1"/>
  <c r="BV25" i="1"/>
  <c r="BU25" i="1"/>
  <c r="BT25" i="1"/>
  <c r="BS25" i="1"/>
  <c r="BR25" i="1"/>
  <c r="BQ25" i="1"/>
  <c r="BP25" i="1"/>
  <c r="BO25" i="1"/>
  <c r="BN25" i="1"/>
  <c r="BM25" i="1"/>
  <c r="BV24" i="1"/>
  <c r="BU24" i="1"/>
  <c r="BT24" i="1"/>
  <c r="BS24" i="1"/>
  <c r="BR24" i="1"/>
  <c r="BQ24" i="1"/>
  <c r="BP24" i="1"/>
  <c r="BO24" i="1"/>
  <c r="BN24" i="1"/>
  <c r="BM24" i="1"/>
  <c r="BV23" i="1"/>
  <c r="BU23" i="1"/>
  <c r="BT23" i="1"/>
  <c r="BS23" i="1"/>
  <c r="BR23" i="1"/>
  <c r="BQ23" i="1"/>
  <c r="BP23" i="1"/>
  <c r="BO23" i="1"/>
  <c r="BN23" i="1"/>
  <c r="BM23" i="1"/>
  <c r="BV22" i="1"/>
  <c r="BU22" i="1"/>
  <c r="BT22" i="1"/>
  <c r="BS22" i="1"/>
  <c r="BR22" i="1"/>
  <c r="BQ22" i="1"/>
  <c r="BP22" i="1"/>
  <c r="BO22" i="1"/>
  <c r="BN22" i="1"/>
  <c r="BM22" i="1"/>
  <c r="BV21" i="1"/>
  <c r="BU21" i="1"/>
  <c r="BT21" i="1"/>
  <c r="BS21" i="1"/>
  <c r="BR21" i="1"/>
  <c r="BQ21" i="1"/>
  <c r="BP21" i="1"/>
  <c r="BO21" i="1"/>
  <c r="BN21" i="1"/>
  <c r="BM21" i="1"/>
  <c r="BV20" i="1"/>
  <c r="BU20" i="1"/>
  <c r="BT20" i="1"/>
  <c r="BS20" i="1"/>
  <c r="BR20" i="1"/>
  <c r="BQ20" i="1"/>
  <c r="BP20" i="1"/>
  <c r="BO20" i="1"/>
  <c r="BN20" i="1"/>
  <c r="BM20" i="1"/>
  <c r="BV19" i="1"/>
  <c r="BU19" i="1"/>
  <c r="BT19" i="1"/>
  <c r="BS19" i="1"/>
  <c r="BR19" i="1"/>
  <c r="BQ19" i="1"/>
  <c r="BP19" i="1"/>
  <c r="BO19" i="1"/>
  <c r="BN19" i="1"/>
  <c r="BM19" i="1"/>
  <c r="BV18" i="1"/>
  <c r="BU18" i="1"/>
  <c r="BT18" i="1"/>
  <c r="BS18" i="1"/>
  <c r="BR18" i="1"/>
  <c r="BQ18" i="1"/>
  <c r="BP18" i="1"/>
  <c r="BO18" i="1"/>
  <c r="BN18" i="1"/>
  <c r="BM18" i="1"/>
  <c r="BV17" i="1"/>
  <c r="BU17" i="1"/>
  <c r="BT17" i="1"/>
  <c r="BS17" i="1"/>
  <c r="BR17" i="1"/>
  <c r="BQ17" i="1"/>
  <c r="BP17" i="1"/>
  <c r="BO17" i="1"/>
  <c r="BN17" i="1"/>
  <c r="BM17" i="1"/>
  <c r="BV16" i="1"/>
  <c r="BU16" i="1"/>
  <c r="BT16" i="1"/>
  <c r="BS16" i="1"/>
  <c r="BR16" i="1"/>
  <c r="BQ16" i="1"/>
  <c r="BP16" i="1"/>
  <c r="BO16" i="1"/>
  <c r="BN16" i="1"/>
  <c r="BM16" i="1"/>
  <c r="BV15" i="1"/>
  <c r="BU15" i="1"/>
  <c r="BT15" i="1"/>
  <c r="BS15" i="1"/>
  <c r="BR15" i="1"/>
  <c r="BQ15" i="1"/>
  <c r="BP15" i="1"/>
  <c r="BO15" i="1"/>
  <c r="BN15" i="1"/>
  <c r="BM15" i="1"/>
  <c r="BV14" i="1"/>
  <c r="BU14" i="1"/>
  <c r="BT14" i="1"/>
  <c r="BS14" i="1"/>
  <c r="BR14" i="1"/>
  <c r="BQ14" i="1"/>
  <c r="BP14" i="1"/>
  <c r="BO14" i="1"/>
  <c r="BN14" i="1"/>
  <c r="BM14" i="1"/>
  <c r="BV13" i="1"/>
  <c r="BU13" i="1"/>
  <c r="BT13" i="1"/>
  <c r="BS13" i="1"/>
  <c r="BR13" i="1"/>
  <c r="BQ13" i="1"/>
  <c r="BP13" i="1"/>
  <c r="BO13" i="1"/>
  <c r="BN13" i="1"/>
  <c r="BM13" i="1"/>
  <c r="BV8" i="1"/>
  <c r="BQ8" i="1"/>
  <c r="BN8" i="1"/>
  <c r="BM8" i="1"/>
  <c r="BN7" i="1"/>
  <c r="BM7" i="1"/>
  <c r="BC182" i="1"/>
  <c r="BG182" i="1"/>
  <c r="BK49" i="1"/>
  <c r="BD49" i="1"/>
  <c r="BC49" i="1"/>
  <c r="BH57" i="1"/>
  <c r="BE57" i="1"/>
  <c r="BK55" i="1"/>
  <c r="BJ55" i="1"/>
  <c r="BI55" i="1"/>
  <c r="BE55" i="1"/>
  <c r="BC55" i="1"/>
  <c r="BE45" i="1"/>
  <c r="BJ53" i="1"/>
  <c r="BE53" i="1"/>
  <c r="BK47" i="1"/>
  <c r="BJ47" i="1"/>
  <c r="BE47" i="1"/>
  <c r="BC47" i="1"/>
  <c r="BC43" i="1"/>
  <c r="BG43" i="1"/>
  <c r="BG35" i="1"/>
  <c r="BF35" i="1"/>
  <c r="BK35" i="1"/>
  <c r="BC35" i="1"/>
  <c r="BK33" i="1"/>
  <c r="BE33" i="1"/>
  <c r="BL33" i="1"/>
  <c r="BI33" i="1"/>
  <c r="BJ33" i="1"/>
  <c r="BK11" i="1"/>
  <c r="BE11" i="1"/>
  <c r="BK7" i="1"/>
  <c r="BJ7" i="1"/>
  <c r="BI7" i="1"/>
  <c r="BG7" i="1"/>
  <c r="BE7" i="1"/>
  <c r="BF7" i="1"/>
  <c r="BJ205" i="1"/>
  <c r="BH205" i="1"/>
  <c r="BL199" i="1"/>
  <c r="BH199" i="1"/>
  <c r="BC183" i="1"/>
  <c r="BL179" i="1"/>
  <c r="BL177" i="1"/>
  <c r="BL175" i="1"/>
  <c r="BK179" i="1"/>
  <c r="BK177" i="1"/>
  <c r="BK175" i="1"/>
  <c r="BJ179" i="1"/>
  <c r="BJ177" i="1"/>
  <c r="BJ175" i="1"/>
  <c r="BI179" i="1"/>
  <c r="BI177" i="1"/>
  <c r="BI175" i="1"/>
  <c r="BH179" i="1"/>
  <c r="BH177" i="1"/>
  <c r="BH175" i="1"/>
  <c r="BG179" i="1"/>
  <c r="BG177" i="1"/>
  <c r="BG175" i="1"/>
  <c r="BF179" i="1"/>
  <c r="BF177" i="1"/>
  <c r="BF175" i="1"/>
  <c r="BE179" i="1"/>
  <c r="BE177" i="1"/>
  <c r="BE175" i="1"/>
  <c r="BD179" i="1"/>
  <c r="BD177" i="1"/>
  <c r="BD175" i="1"/>
  <c r="BC179" i="1"/>
  <c r="BC177" i="1"/>
  <c r="BC175" i="1"/>
  <c r="BL34" i="1"/>
  <c r="BJ8" i="1"/>
  <c r="BG8" i="1"/>
  <c r="BG36" i="1"/>
  <c r="BF36" i="1"/>
  <c r="BC36" i="1"/>
  <c r="BJ48" i="1"/>
  <c r="BE48" i="1"/>
  <c r="BK50" i="1"/>
  <c r="BD50" i="1"/>
  <c r="BC50" i="1"/>
  <c r="BL50" i="1"/>
  <c r="BJ50" i="1"/>
  <c r="BI50" i="1"/>
  <c r="BH50" i="1"/>
  <c r="BG50" i="1"/>
  <c r="BF50" i="1"/>
  <c r="BE50" i="1"/>
  <c r="BL49" i="1"/>
  <c r="BJ49" i="1"/>
  <c r="BI49" i="1"/>
  <c r="BH49" i="1"/>
  <c r="BG49" i="1"/>
  <c r="BF49" i="1"/>
  <c r="BE49" i="1"/>
  <c r="BH58" i="1"/>
  <c r="BE58" i="1"/>
  <c r="BC58" i="1"/>
  <c r="BC66" i="1"/>
  <c r="BC65" i="1"/>
  <c r="BC64" i="1"/>
  <c r="BC63" i="1"/>
  <c r="BC62" i="1"/>
  <c r="BC61" i="1"/>
  <c r="BC60" i="1"/>
  <c r="BC59" i="1"/>
  <c r="BC57" i="1"/>
  <c r="BL66" i="1"/>
  <c r="BK66" i="1"/>
  <c r="BJ66" i="1"/>
  <c r="BI66" i="1"/>
  <c r="BH66" i="1"/>
  <c r="BG66" i="1"/>
  <c r="BF66" i="1"/>
  <c r="BE66" i="1"/>
  <c r="BD66" i="1"/>
  <c r="BL65" i="1"/>
  <c r="BK65" i="1"/>
  <c r="BJ65" i="1"/>
  <c r="BI65" i="1"/>
  <c r="BH65" i="1"/>
  <c r="BG65" i="1"/>
  <c r="BF65" i="1"/>
  <c r="BE65" i="1"/>
  <c r="BD65" i="1"/>
  <c r="BL64" i="1"/>
  <c r="BK64" i="1"/>
  <c r="BJ64" i="1"/>
  <c r="BI64" i="1"/>
  <c r="BH64" i="1"/>
  <c r="BG64" i="1"/>
  <c r="BF64" i="1"/>
  <c r="BE64" i="1"/>
  <c r="BD64" i="1"/>
  <c r="BL63" i="1"/>
  <c r="BK63" i="1"/>
  <c r="BJ63" i="1"/>
  <c r="BI63" i="1"/>
  <c r="BH63" i="1"/>
  <c r="BG63" i="1"/>
  <c r="BF63" i="1"/>
  <c r="BE63" i="1"/>
  <c r="BD63" i="1"/>
  <c r="BL62" i="1"/>
  <c r="BK62" i="1"/>
  <c r="BJ62" i="1"/>
  <c r="BI62" i="1"/>
  <c r="BH62" i="1"/>
  <c r="BG62" i="1"/>
  <c r="BF62" i="1"/>
  <c r="BE62" i="1"/>
  <c r="BD62" i="1"/>
  <c r="BL61" i="1"/>
  <c r="BK61" i="1"/>
  <c r="BJ61" i="1"/>
  <c r="BI61" i="1"/>
  <c r="BH61" i="1"/>
  <c r="BG61" i="1"/>
  <c r="BF61" i="1"/>
  <c r="BE61" i="1"/>
  <c r="BD61" i="1"/>
  <c r="BL60" i="1"/>
  <c r="BK60" i="1"/>
  <c r="BJ60" i="1"/>
  <c r="BI60" i="1"/>
  <c r="BH60" i="1"/>
  <c r="BG60" i="1"/>
  <c r="BF60" i="1"/>
  <c r="BE60" i="1"/>
  <c r="BD60" i="1"/>
  <c r="BL59" i="1"/>
  <c r="BK59" i="1"/>
  <c r="BJ59" i="1"/>
  <c r="BI59" i="1"/>
  <c r="BH59" i="1"/>
  <c r="BG59" i="1"/>
  <c r="BF59" i="1"/>
  <c r="BE59" i="1"/>
  <c r="BD59" i="1"/>
  <c r="BL58" i="1"/>
  <c r="BK58" i="1"/>
  <c r="BJ58" i="1"/>
  <c r="BI58" i="1"/>
  <c r="BG58" i="1"/>
  <c r="BF58" i="1"/>
  <c r="BD58" i="1"/>
  <c r="BL57" i="1"/>
  <c r="BK57" i="1"/>
  <c r="BJ57" i="1"/>
  <c r="BI57" i="1"/>
  <c r="BG57" i="1"/>
  <c r="BF57" i="1"/>
  <c r="BD57" i="1"/>
  <c r="BJ56" i="1"/>
  <c r="BI56" i="1"/>
  <c r="BE56" i="1"/>
  <c r="BC56" i="1"/>
  <c r="AI93" i="8"/>
  <c r="AI92" i="8"/>
  <c r="AI91" i="8"/>
  <c r="AI90" i="8"/>
  <c r="AI89" i="8"/>
  <c r="B56" i="8"/>
  <c r="B69" i="8" s="1"/>
  <c r="B82" i="8" s="1"/>
  <c r="B95" i="8" s="1"/>
  <c r="AH93" i="8"/>
  <c r="AH92" i="8"/>
  <c r="AH91" i="8"/>
  <c r="AH90" i="8"/>
  <c r="AH89" i="8"/>
  <c r="AH88" i="8"/>
  <c r="AH87" i="8"/>
  <c r="AH86" i="8"/>
  <c r="AH85" i="8"/>
  <c r="AH84" i="8"/>
  <c r="BC44" i="1"/>
  <c r="BT187" i="1" l="1"/>
  <c r="BP186" i="1"/>
  <c r="BU208" i="1"/>
  <c r="BU168" i="1"/>
  <c r="BU190" i="1" s="1"/>
  <c r="BP187" i="1"/>
  <c r="BT209" i="1"/>
  <c r="BM187" i="1"/>
  <c r="BR186" i="1"/>
  <c r="BV186" i="1"/>
  <c r="BR187" i="1"/>
  <c r="BV187" i="1"/>
  <c r="BU209" i="1"/>
  <c r="BM186" i="1"/>
  <c r="BT168" i="1"/>
  <c r="BT190" i="1" s="1"/>
  <c r="BU167" i="1"/>
  <c r="BO187" i="1"/>
  <c r="BS187" i="1"/>
  <c r="BN186" i="1"/>
  <c r="BT186" i="1"/>
  <c r="BN187" i="1"/>
  <c r="BQ186" i="1"/>
  <c r="BU186" i="1"/>
  <c r="BT167" i="1"/>
  <c r="BO186" i="1"/>
  <c r="BS186" i="1"/>
  <c r="BI205" i="1"/>
  <c r="BD199" i="1"/>
  <c r="BC199" i="1"/>
  <c r="BJ199" i="1"/>
  <c r="BK56" i="1"/>
  <c r="BK48" i="1"/>
  <c r="BI8" i="1"/>
  <c r="BE8" i="1"/>
  <c r="BK34" i="1"/>
  <c r="BJ34" i="1"/>
  <c r="BI34" i="1"/>
  <c r="BH34" i="1"/>
  <c r="BE34" i="1"/>
  <c r="BD34" i="1"/>
  <c r="BL56" i="1"/>
  <c r="BH56" i="1"/>
  <c r="BG56" i="1"/>
  <c r="BF56" i="1"/>
  <c r="BD56" i="1"/>
  <c r="BL55" i="1"/>
  <c r="BH55" i="1"/>
  <c r="BG55" i="1"/>
  <c r="BF55" i="1"/>
  <c r="BD55" i="1"/>
  <c r="BL205" i="1"/>
  <c r="BL207" i="1"/>
  <c r="BK207" i="1"/>
  <c r="BJ207" i="1"/>
  <c r="BI207" i="1"/>
  <c r="BH207" i="1"/>
  <c r="BG207" i="1"/>
  <c r="BF207" i="1"/>
  <c r="BE207" i="1"/>
  <c r="BD207" i="1"/>
  <c r="BC207" i="1"/>
  <c r="BK205" i="1"/>
  <c r="BG205" i="1"/>
  <c r="BF205" i="1"/>
  <c r="BE205" i="1"/>
  <c r="BD205" i="1"/>
  <c r="BC205" i="1"/>
  <c r="BH33" i="1"/>
  <c r="BD33" i="1"/>
  <c r="BG44" i="1"/>
  <c r="BL44" i="1"/>
  <c r="BK44" i="1"/>
  <c r="BJ44" i="1"/>
  <c r="BI44" i="1"/>
  <c r="BH44" i="1"/>
  <c r="BF44" i="1"/>
  <c r="BE44" i="1"/>
  <c r="BD44" i="1"/>
  <c r="BL43" i="1"/>
  <c r="BK43" i="1"/>
  <c r="BJ43" i="1"/>
  <c r="BI43" i="1"/>
  <c r="BH43" i="1"/>
  <c r="BF43" i="1"/>
  <c r="BE43" i="1"/>
  <c r="BD43" i="1"/>
  <c r="BK36" i="1"/>
  <c r="BE12" i="1"/>
  <c r="BK8" i="1"/>
  <c r="BF8" i="1"/>
  <c r="BL176" i="1"/>
  <c r="BK176" i="1"/>
  <c r="BJ176" i="1"/>
  <c r="BI176" i="1"/>
  <c r="BH176" i="1"/>
  <c r="BG176" i="1"/>
  <c r="BF176" i="1"/>
  <c r="BE176" i="1"/>
  <c r="BD176" i="1"/>
  <c r="BC176" i="1"/>
  <c r="BL178" i="1"/>
  <c r="BK178" i="1"/>
  <c r="BJ178" i="1"/>
  <c r="BI178" i="1"/>
  <c r="BH178" i="1"/>
  <c r="BG178" i="1"/>
  <c r="BF178" i="1"/>
  <c r="BE178" i="1"/>
  <c r="BD178" i="1"/>
  <c r="BC178" i="1"/>
  <c r="BK174" i="1"/>
  <c r="BJ174" i="1"/>
  <c r="BI174" i="1"/>
  <c r="BH174" i="1"/>
  <c r="BG174" i="1"/>
  <c r="BF174" i="1"/>
  <c r="BE174" i="1"/>
  <c r="BD174" i="1"/>
  <c r="BC174" i="1"/>
  <c r="BF199" i="1"/>
  <c r="BD201" i="1"/>
  <c r="BD185" i="1"/>
  <c r="BD183" i="1"/>
  <c r="BC48" i="1"/>
  <c r="BK12" i="1"/>
  <c r="BU189" i="1" l="1"/>
  <c r="BU211" i="1" s="1"/>
  <c r="BT212" i="1"/>
  <c r="BU212" i="1"/>
  <c r="BT189" i="1"/>
  <c r="BT211" i="1" s="1"/>
  <c r="BK201" i="1"/>
  <c r="BH201" i="1"/>
  <c r="BE201" i="1"/>
  <c r="BC201" i="1"/>
  <c r="BI199" i="1"/>
  <c r="BG183" i="1"/>
  <c r="BE46" i="1"/>
  <c r="BJ54" i="1"/>
  <c r="BF54" i="1"/>
  <c r="BE54" i="1"/>
  <c r="BL206" i="1"/>
  <c r="BK206" i="1"/>
  <c r="BJ206" i="1"/>
  <c r="BI206" i="1"/>
  <c r="BH206" i="1"/>
  <c r="BG206" i="1"/>
  <c r="BF206" i="1"/>
  <c r="BE206" i="1"/>
  <c r="BD206" i="1"/>
  <c r="BC206" i="1"/>
  <c r="BL204" i="1"/>
  <c r="BK204" i="1"/>
  <c r="BJ204" i="1"/>
  <c r="BI204" i="1"/>
  <c r="BH204" i="1"/>
  <c r="BG204" i="1"/>
  <c r="BF204" i="1"/>
  <c r="BE204" i="1"/>
  <c r="BD204" i="1"/>
  <c r="BC204" i="1"/>
  <c r="BL203" i="1"/>
  <c r="BK203" i="1"/>
  <c r="BJ203" i="1"/>
  <c r="BI203" i="1"/>
  <c r="BH203" i="1"/>
  <c r="BG203" i="1"/>
  <c r="BF203" i="1"/>
  <c r="BE203" i="1"/>
  <c r="BD203" i="1"/>
  <c r="BC203" i="1"/>
  <c r="BL202" i="1"/>
  <c r="BK202" i="1"/>
  <c r="BJ202" i="1"/>
  <c r="BI202" i="1"/>
  <c r="BH202" i="1"/>
  <c r="BG202" i="1"/>
  <c r="BF202" i="1"/>
  <c r="BE202" i="1"/>
  <c r="BD202" i="1"/>
  <c r="BC202" i="1"/>
  <c r="BL201" i="1"/>
  <c r="BJ201" i="1"/>
  <c r="BI201" i="1"/>
  <c r="BG201" i="1"/>
  <c r="BF201" i="1"/>
  <c r="BL200" i="1"/>
  <c r="BK200" i="1"/>
  <c r="BJ200" i="1"/>
  <c r="BI200" i="1"/>
  <c r="BH200" i="1"/>
  <c r="BG200" i="1"/>
  <c r="BF200" i="1"/>
  <c r="BE200" i="1"/>
  <c r="BD200" i="1"/>
  <c r="BC200" i="1"/>
  <c r="BK199" i="1"/>
  <c r="BG199" i="1"/>
  <c r="BE199" i="1"/>
  <c r="BK198" i="1"/>
  <c r="BG198" i="1"/>
  <c r="BE198" i="1"/>
  <c r="BL185" i="1"/>
  <c r="BK185" i="1"/>
  <c r="BJ185" i="1"/>
  <c r="BI185" i="1"/>
  <c r="BH185" i="1"/>
  <c r="BG185" i="1"/>
  <c r="BF185" i="1"/>
  <c r="BE185" i="1"/>
  <c r="BC185" i="1"/>
  <c r="BL184" i="1"/>
  <c r="BK184" i="1"/>
  <c r="BJ184" i="1"/>
  <c r="BI184" i="1"/>
  <c r="BH184" i="1"/>
  <c r="BG184" i="1"/>
  <c r="BF184" i="1"/>
  <c r="BE184" i="1"/>
  <c r="BD184" i="1"/>
  <c r="BC184" i="1"/>
  <c r="BL183" i="1"/>
  <c r="BK183" i="1"/>
  <c r="BJ183" i="1"/>
  <c r="BI183" i="1"/>
  <c r="BH183" i="1"/>
  <c r="BF183" i="1"/>
  <c r="BE183" i="1"/>
  <c r="BL182" i="1"/>
  <c r="BK182" i="1"/>
  <c r="BJ182" i="1"/>
  <c r="BI182" i="1"/>
  <c r="BH182" i="1"/>
  <c r="BF182" i="1"/>
  <c r="BE182" i="1"/>
  <c r="BD182" i="1"/>
  <c r="BL181" i="1"/>
  <c r="BK181" i="1"/>
  <c r="BJ181" i="1"/>
  <c r="BI181" i="1"/>
  <c r="BH181" i="1"/>
  <c r="BG181" i="1"/>
  <c r="BF181" i="1"/>
  <c r="BE181" i="1"/>
  <c r="BD181" i="1"/>
  <c r="BC181" i="1"/>
  <c r="BL180" i="1"/>
  <c r="BK180" i="1"/>
  <c r="BJ180" i="1"/>
  <c r="BI180" i="1"/>
  <c r="BH180" i="1"/>
  <c r="BG180" i="1"/>
  <c r="BF180" i="1"/>
  <c r="BE180" i="1"/>
  <c r="BD180" i="1"/>
  <c r="BC180" i="1"/>
  <c r="BL54" i="1"/>
  <c r="BK54" i="1"/>
  <c r="BI54" i="1"/>
  <c r="BH54" i="1"/>
  <c r="BG54" i="1"/>
  <c r="BD54" i="1"/>
  <c r="BC54" i="1"/>
  <c r="BL53" i="1"/>
  <c r="BK53" i="1"/>
  <c r="BI53" i="1"/>
  <c r="BH53" i="1"/>
  <c r="BG53" i="1"/>
  <c r="BF53" i="1"/>
  <c r="BD53" i="1"/>
  <c r="BC53" i="1"/>
  <c r="BL52" i="1"/>
  <c r="BK52" i="1"/>
  <c r="BJ52" i="1"/>
  <c r="BI52" i="1"/>
  <c r="BH52" i="1"/>
  <c r="BG52" i="1"/>
  <c r="BF52" i="1"/>
  <c r="BE52" i="1"/>
  <c r="BD52" i="1"/>
  <c r="BC52" i="1"/>
  <c r="BL51" i="1"/>
  <c r="BK51" i="1"/>
  <c r="BJ51" i="1"/>
  <c r="BI51" i="1"/>
  <c r="BH51" i="1"/>
  <c r="BG51" i="1"/>
  <c r="BF51" i="1"/>
  <c r="BE51" i="1"/>
  <c r="BD51" i="1"/>
  <c r="BC51" i="1"/>
  <c r="BL48" i="1"/>
  <c r="BI48" i="1"/>
  <c r="BH48" i="1"/>
  <c r="BG48" i="1"/>
  <c r="BF48" i="1"/>
  <c r="BD48" i="1"/>
  <c r="BL47" i="1"/>
  <c r="BI47" i="1"/>
  <c r="BH47" i="1"/>
  <c r="BG47" i="1"/>
  <c r="BF47" i="1"/>
  <c r="BD47" i="1"/>
  <c r="BL46" i="1"/>
  <c r="BK46" i="1"/>
  <c r="BJ46" i="1"/>
  <c r="BI46" i="1"/>
  <c r="BH46" i="1"/>
  <c r="BG46" i="1"/>
  <c r="BF46" i="1"/>
  <c r="BD46" i="1"/>
  <c r="BC46" i="1"/>
  <c r="BL45" i="1"/>
  <c r="BK45" i="1"/>
  <c r="BJ45" i="1"/>
  <c r="BI45" i="1"/>
  <c r="BH45" i="1"/>
  <c r="BG45" i="1"/>
  <c r="BF45" i="1"/>
  <c r="BD45" i="1"/>
  <c r="BC45" i="1"/>
  <c r="BL42" i="1"/>
  <c r="BK42" i="1"/>
  <c r="BJ42" i="1"/>
  <c r="BI42" i="1"/>
  <c r="BH42" i="1"/>
  <c r="BG42" i="1"/>
  <c r="BF42" i="1"/>
  <c r="BE42" i="1"/>
  <c r="BD42" i="1"/>
  <c r="BC42" i="1"/>
  <c r="BL41" i="1"/>
  <c r="BK41" i="1"/>
  <c r="BJ41" i="1"/>
  <c r="BI41" i="1"/>
  <c r="BH41" i="1"/>
  <c r="BG41" i="1"/>
  <c r="BF41" i="1"/>
  <c r="BE41" i="1"/>
  <c r="BD41" i="1"/>
  <c r="BC41" i="1"/>
  <c r="BL40" i="1"/>
  <c r="BK40" i="1"/>
  <c r="BJ40" i="1"/>
  <c r="BI40" i="1"/>
  <c r="BH40" i="1"/>
  <c r="BG40" i="1"/>
  <c r="BF40" i="1"/>
  <c r="BE40" i="1"/>
  <c r="BD40" i="1"/>
  <c r="BC40" i="1"/>
  <c r="BL39" i="1"/>
  <c r="BK39" i="1"/>
  <c r="BJ39" i="1"/>
  <c r="BI39" i="1"/>
  <c r="BH39" i="1"/>
  <c r="BG39" i="1"/>
  <c r="BF39" i="1"/>
  <c r="BE39" i="1"/>
  <c r="BD39" i="1"/>
  <c r="BC39" i="1"/>
  <c r="BL38" i="1"/>
  <c r="BK38" i="1"/>
  <c r="BJ38" i="1"/>
  <c r="BI38" i="1"/>
  <c r="BH38" i="1"/>
  <c r="BG38" i="1"/>
  <c r="BF38" i="1"/>
  <c r="BE38" i="1"/>
  <c r="BD38" i="1"/>
  <c r="BC38" i="1"/>
  <c r="BL37" i="1"/>
  <c r="BK37" i="1"/>
  <c r="BJ37" i="1"/>
  <c r="BI37" i="1"/>
  <c r="BH37" i="1"/>
  <c r="BG37" i="1"/>
  <c r="BF37" i="1"/>
  <c r="BE37" i="1"/>
  <c r="BD37" i="1"/>
  <c r="BC37" i="1"/>
  <c r="BL36" i="1"/>
  <c r="BJ36" i="1"/>
  <c r="BI36" i="1"/>
  <c r="BH36" i="1"/>
  <c r="BE36" i="1"/>
  <c r="BD36" i="1"/>
  <c r="BL35" i="1"/>
  <c r="BJ35" i="1"/>
  <c r="BI35" i="1"/>
  <c r="BH35" i="1"/>
  <c r="BE35" i="1"/>
  <c r="BD35" i="1"/>
  <c r="BG34" i="1"/>
  <c r="BF34" i="1"/>
  <c r="BC34" i="1"/>
  <c r="BG33" i="1"/>
  <c r="BF33" i="1"/>
  <c r="BC33" i="1"/>
  <c r="BL32" i="1"/>
  <c r="BK32" i="1"/>
  <c r="BJ32" i="1"/>
  <c r="BI32" i="1"/>
  <c r="BH32" i="1"/>
  <c r="BG32" i="1"/>
  <c r="BF32" i="1"/>
  <c r="BE32" i="1"/>
  <c r="BD32" i="1"/>
  <c r="BC32" i="1"/>
  <c r="BL31" i="1"/>
  <c r="BK31" i="1"/>
  <c r="BJ31" i="1"/>
  <c r="BI31" i="1"/>
  <c r="BH31" i="1"/>
  <c r="BG31" i="1"/>
  <c r="BF31" i="1"/>
  <c r="BE31" i="1"/>
  <c r="BD31" i="1"/>
  <c r="BC31" i="1"/>
  <c r="BL30" i="1"/>
  <c r="BK30" i="1"/>
  <c r="BJ30" i="1"/>
  <c r="BI30" i="1"/>
  <c r="BH30" i="1"/>
  <c r="BG30" i="1"/>
  <c r="BF30" i="1"/>
  <c r="BE30" i="1"/>
  <c r="BD30" i="1"/>
  <c r="BC30" i="1"/>
  <c r="BL29" i="1"/>
  <c r="BK29" i="1"/>
  <c r="BJ29" i="1"/>
  <c r="BI29" i="1"/>
  <c r="BH29" i="1"/>
  <c r="BG29" i="1"/>
  <c r="BF29" i="1"/>
  <c r="BE29" i="1"/>
  <c r="BD29" i="1"/>
  <c r="BC29" i="1"/>
  <c r="BL28" i="1"/>
  <c r="BK28" i="1"/>
  <c r="BJ28" i="1"/>
  <c r="BI28" i="1"/>
  <c r="BH28" i="1"/>
  <c r="BG28" i="1"/>
  <c r="BF28" i="1"/>
  <c r="BE28" i="1"/>
  <c r="BD28" i="1"/>
  <c r="BC28" i="1"/>
  <c r="BL27" i="1"/>
  <c r="BK27" i="1"/>
  <c r="BJ27" i="1"/>
  <c r="BI27" i="1"/>
  <c r="BH27" i="1"/>
  <c r="BG27" i="1"/>
  <c r="BF27" i="1"/>
  <c r="BE27" i="1"/>
  <c r="BD27" i="1"/>
  <c r="BC27" i="1"/>
  <c r="BL26" i="1"/>
  <c r="BK26" i="1"/>
  <c r="BJ26" i="1"/>
  <c r="BI26" i="1"/>
  <c r="BH26" i="1"/>
  <c r="BG26" i="1"/>
  <c r="BF26" i="1"/>
  <c r="BE26" i="1"/>
  <c r="BD26" i="1"/>
  <c r="BC26" i="1"/>
  <c r="BL25" i="1"/>
  <c r="BK25" i="1"/>
  <c r="BJ25" i="1"/>
  <c r="BI25" i="1"/>
  <c r="BH25" i="1"/>
  <c r="BG25" i="1"/>
  <c r="BF25" i="1"/>
  <c r="BE25" i="1"/>
  <c r="BD25" i="1"/>
  <c r="BC25" i="1"/>
  <c r="BL24" i="1"/>
  <c r="BK24" i="1"/>
  <c r="BJ24" i="1"/>
  <c r="BI24" i="1"/>
  <c r="BH24" i="1"/>
  <c r="BG24" i="1"/>
  <c r="BF24" i="1"/>
  <c r="BE24" i="1"/>
  <c r="BD24" i="1"/>
  <c r="BC24" i="1"/>
  <c r="BL23" i="1"/>
  <c r="BK23" i="1"/>
  <c r="BJ23" i="1"/>
  <c r="BI23" i="1"/>
  <c r="BH23" i="1"/>
  <c r="BG23" i="1"/>
  <c r="BF23" i="1"/>
  <c r="BE23" i="1"/>
  <c r="BD23" i="1"/>
  <c r="BC23" i="1"/>
  <c r="BL22" i="1"/>
  <c r="BK22" i="1"/>
  <c r="BJ22" i="1"/>
  <c r="BI22" i="1"/>
  <c r="BH22" i="1"/>
  <c r="BG22" i="1"/>
  <c r="BF22" i="1"/>
  <c r="BE22" i="1"/>
  <c r="BD22" i="1"/>
  <c r="BC22" i="1"/>
  <c r="BL21" i="1"/>
  <c r="BK21" i="1"/>
  <c r="BJ21" i="1"/>
  <c r="BI21" i="1"/>
  <c r="BH21" i="1"/>
  <c r="BG21" i="1"/>
  <c r="BF21" i="1"/>
  <c r="BE21" i="1"/>
  <c r="BD21" i="1"/>
  <c r="BC21" i="1"/>
  <c r="BL20" i="1"/>
  <c r="BK20" i="1"/>
  <c r="BJ20" i="1"/>
  <c r="BI20" i="1"/>
  <c r="BH20" i="1"/>
  <c r="BG20" i="1"/>
  <c r="BF20" i="1"/>
  <c r="BE20" i="1"/>
  <c r="BD20" i="1"/>
  <c r="BC20" i="1"/>
  <c r="BL19" i="1"/>
  <c r="BK19" i="1"/>
  <c r="BJ19" i="1"/>
  <c r="BI19" i="1"/>
  <c r="BH19" i="1"/>
  <c r="BG19" i="1"/>
  <c r="BF19" i="1"/>
  <c r="BE19" i="1"/>
  <c r="BD19" i="1"/>
  <c r="BC19" i="1"/>
  <c r="BL18" i="1"/>
  <c r="BK18" i="1"/>
  <c r="BJ18" i="1"/>
  <c r="BI18" i="1"/>
  <c r="BH18" i="1"/>
  <c r="BG18" i="1"/>
  <c r="BF18" i="1"/>
  <c r="BE18" i="1"/>
  <c r="BD18" i="1"/>
  <c r="BC18" i="1"/>
  <c r="BL17" i="1"/>
  <c r="BK17" i="1"/>
  <c r="BJ17" i="1"/>
  <c r="BI17" i="1"/>
  <c r="BH17" i="1"/>
  <c r="BG17" i="1"/>
  <c r="BF17" i="1"/>
  <c r="BE17" i="1"/>
  <c r="BD17" i="1"/>
  <c r="BC17" i="1"/>
  <c r="BL16" i="1"/>
  <c r="BK16" i="1"/>
  <c r="BJ16" i="1"/>
  <c r="BI16" i="1"/>
  <c r="BH16" i="1"/>
  <c r="BG16" i="1"/>
  <c r="BF16" i="1"/>
  <c r="BE16" i="1"/>
  <c r="BD16" i="1"/>
  <c r="BC16" i="1"/>
  <c r="BL15" i="1"/>
  <c r="BK15" i="1"/>
  <c r="BJ15" i="1"/>
  <c r="BI15" i="1"/>
  <c r="BH15" i="1"/>
  <c r="BG15" i="1"/>
  <c r="BF15" i="1"/>
  <c r="BE15" i="1"/>
  <c r="BD15" i="1"/>
  <c r="BC15" i="1"/>
  <c r="BL14" i="1"/>
  <c r="BK14" i="1"/>
  <c r="BJ14" i="1"/>
  <c r="BI14" i="1"/>
  <c r="BH14" i="1"/>
  <c r="BG14" i="1"/>
  <c r="BF14" i="1"/>
  <c r="BE14" i="1"/>
  <c r="BD14" i="1"/>
  <c r="BC14" i="1"/>
  <c r="BL13" i="1"/>
  <c r="BK13" i="1"/>
  <c r="BJ13" i="1"/>
  <c r="BI13" i="1"/>
  <c r="BH13" i="1"/>
  <c r="BG13" i="1"/>
  <c r="BF13" i="1"/>
  <c r="BE13" i="1"/>
  <c r="BD13" i="1"/>
  <c r="BC13" i="1"/>
  <c r="BL12" i="1"/>
  <c r="BJ12" i="1"/>
  <c r="BI12" i="1"/>
  <c r="BH12" i="1"/>
  <c r="BG12" i="1"/>
  <c r="BF12" i="1"/>
  <c r="BD12" i="1"/>
  <c r="BC12" i="1"/>
  <c r="BL11" i="1"/>
  <c r="BJ11" i="1"/>
  <c r="BI11" i="1"/>
  <c r="BH11" i="1"/>
  <c r="BG11" i="1"/>
  <c r="BF11" i="1"/>
  <c r="BD11" i="1"/>
  <c r="BC11" i="1"/>
  <c r="BL8" i="1"/>
  <c r="BH8" i="1"/>
  <c r="BL7" i="1"/>
  <c r="BH7" i="1"/>
  <c r="BD8" i="1"/>
  <c r="BD7" i="1"/>
  <c r="BC8" i="1"/>
  <c r="BC7" i="1"/>
  <c r="AZ54" i="1"/>
  <c r="AZ179" i="1"/>
  <c r="AX175" i="1"/>
  <c r="AX177" i="1"/>
  <c r="AX179" i="1"/>
  <c r="AZ177" i="1"/>
  <c r="AV179" i="1"/>
  <c r="AV175" i="1"/>
  <c r="AS177" i="1"/>
  <c r="AT177" i="1"/>
  <c r="AU177" i="1"/>
  <c r="AW177" i="1"/>
  <c r="AY177" i="1"/>
  <c r="BA177" i="1"/>
  <c r="BB207" i="1"/>
  <c r="BA201" i="1"/>
  <c r="AX201" i="1"/>
  <c r="AU201" i="1"/>
  <c r="AS201" i="1"/>
  <c r="BB199" i="1"/>
  <c r="AS183" i="1"/>
  <c r="BB179" i="1"/>
  <c r="BA179" i="1"/>
  <c r="AY179" i="1"/>
  <c r="AW179" i="1"/>
  <c r="AU179" i="1"/>
  <c r="AT179" i="1"/>
  <c r="AS179" i="1"/>
  <c r="BB175" i="1"/>
  <c r="BA175" i="1"/>
  <c r="AZ175" i="1"/>
  <c r="AY175" i="1"/>
  <c r="AW175" i="1"/>
  <c r="AU175" i="1"/>
  <c r="AT175" i="1"/>
  <c r="AS175" i="1"/>
  <c r="AW36" i="1"/>
  <c r="AV36" i="1"/>
  <c r="BB54" i="1"/>
  <c r="AX54" i="1"/>
  <c r="AV54" i="1"/>
  <c r="AU54" i="1"/>
  <c r="AU48" i="1"/>
  <c r="AY8" i="1"/>
  <c r="AU8" i="1"/>
  <c r="BA12" i="1"/>
  <c r="AU12" i="1"/>
  <c r="AX42" i="1"/>
  <c r="AT42" i="1"/>
  <c r="BA50" i="1"/>
  <c r="AT50" i="1"/>
  <c r="AY34" i="1"/>
  <c r="AT34" i="1"/>
  <c r="AI76" i="8"/>
  <c r="AH76" i="8"/>
  <c r="AI75" i="8"/>
  <c r="AH75" i="8"/>
  <c r="AI74" i="8"/>
  <c r="AH74" i="8"/>
  <c r="AS200" i="1" l="1"/>
  <c r="BB200" i="1"/>
  <c r="BA200" i="1"/>
  <c r="AZ200" i="1"/>
  <c r="AY200" i="1"/>
  <c r="AX200" i="1"/>
  <c r="AW200" i="1"/>
  <c r="AV200" i="1"/>
  <c r="AU200" i="1"/>
  <c r="AT200" i="1"/>
  <c r="BB201" i="1"/>
  <c r="AU198" i="1"/>
  <c r="AZ198" i="1"/>
  <c r="AY198" i="1"/>
  <c r="AW198" i="1"/>
  <c r="AT198" i="1"/>
  <c r="AS198" i="1"/>
  <c r="AT182" i="1"/>
  <c r="AZ53" i="1"/>
  <c r="AV53" i="1"/>
  <c r="AX53" i="1"/>
  <c r="BB53" i="1"/>
  <c r="AU53" i="1"/>
  <c r="BB51" i="1"/>
  <c r="AW51" i="1"/>
  <c r="BB49" i="1"/>
  <c r="AU47" i="1"/>
  <c r="AZ47" i="1"/>
  <c r="AY47" i="1"/>
  <c r="AX47" i="1"/>
  <c r="AZ45" i="1"/>
  <c r="AU45" i="1"/>
  <c r="AW43" i="1"/>
  <c r="AV43" i="1"/>
  <c r="AX41" i="1"/>
  <c r="AZ41" i="1"/>
  <c r="AT41" i="1"/>
  <c r="AY41" i="1"/>
  <c r="AX35" i="1"/>
  <c r="BB35" i="1"/>
  <c r="AW35" i="1"/>
  <c r="AV35" i="1"/>
  <c r="AT35" i="1"/>
  <c r="BB33" i="1"/>
  <c r="BA33" i="1"/>
  <c r="AY33" i="1"/>
  <c r="AT33" i="1"/>
  <c r="AU33" i="1"/>
  <c r="AW33" i="1"/>
  <c r="AX33" i="1"/>
  <c r="BA11" i="1"/>
  <c r="AU11" i="1"/>
  <c r="AW7" i="1"/>
  <c r="BA7" i="1"/>
  <c r="AZ7" i="1"/>
  <c r="AY7" i="1"/>
  <c r="AV7" i="1"/>
  <c r="AU7" i="1"/>
  <c r="BF209" i="1"/>
  <c r="BG209" i="1"/>
  <c r="BG208" i="1"/>
  <c r="BF208" i="1"/>
  <c r="BG187" i="1"/>
  <c r="BF187" i="1"/>
  <c r="BG186" i="1"/>
  <c r="BF186" i="1"/>
  <c r="BG166" i="1"/>
  <c r="BF166" i="1"/>
  <c r="BG165" i="1"/>
  <c r="BF165" i="1"/>
  <c r="BG164" i="1"/>
  <c r="BF164" i="1"/>
  <c r="BG163" i="1"/>
  <c r="BF163" i="1"/>
  <c r="BG162" i="1"/>
  <c r="BF162" i="1"/>
  <c r="BG161" i="1"/>
  <c r="BF161" i="1"/>
  <c r="BG160" i="1"/>
  <c r="BF160" i="1"/>
  <c r="BG159" i="1"/>
  <c r="BF159" i="1"/>
  <c r="BG158" i="1"/>
  <c r="BF158" i="1"/>
  <c r="BG157" i="1"/>
  <c r="BF157" i="1"/>
  <c r="BG156" i="1"/>
  <c r="BF156" i="1"/>
  <c r="BG155" i="1"/>
  <c r="BF155" i="1"/>
  <c r="BG154" i="1"/>
  <c r="BF154" i="1"/>
  <c r="BG153" i="1"/>
  <c r="BF153" i="1"/>
  <c r="BG152" i="1"/>
  <c r="BF152" i="1"/>
  <c r="BG151" i="1"/>
  <c r="BF151" i="1"/>
  <c r="BG150" i="1"/>
  <c r="BF150" i="1"/>
  <c r="BG149" i="1"/>
  <c r="BF149" i="1"/>
  <c r="BG148" i="1"/>
  <c r="BF148" i="1"/>
  <c r="BG147" i="1"/>
  <c r="BF147" i="1"/>
  <c r="BG146" i="1"/>
  <c r="BF146" i="1"/>
  <c r="BG145" i="1"/>
  <c r="BF145" i="1"/>
  <c r="BG144" i="1"/>
  <c r="BF144" i="1"/>
  <c r="BG143" i="1"/>
  <c r="BF143" i="1"/>
  <c r="BG142" i="1"/>
  <c r="BF142" i="1"/>
  <c r="BG141" i="1"/>
  <c r="BF141" i="1"/>
  <c r="BG140" i="1"/>
  <c r="BF140" i="1"/>
  <c r="BG139" i="1"/>
  <c r="BF139" i="1"/>
  <c r="BG138" i="1"/>
  <c r="BF138" i="1"/>
  <c r="BG137" i="1"/>
  <c r="BF137" i="1"/>
  <c r="BG136" i="1"/>
  <c r="BF136" i="1"/>
  <c r="BG135" i="1"/>
  <c r="BF135" i="1"/>
  <c r="BG134" i="1"/>
  <c r="BF134" i="1"/>
  <c r="BG133" i="1"/>
  <c r="BF133" i="1"/>
  <c r="BG132" i="1"/>
  <c r="BF132" i="1"/>
  <c r="BG131" i="1"/>
  <c r="BF131" i="1"/>
  <c r="BG130" i="1"/>
  <c r="BF130" i="1"/>
  <c r="BG129" i="1"/>
  <c r="BF129" i="1"/>
  <c r="BG128" i="1"/>
  <c r="BF128" i="1"/>
  <c r="BG127" i="1"/>
  <c r="BF127" i="1"/>
  <c r="BG126" i="1"/>
  <c r="BF126" i="1"/>
  <c r="BG125" i="1"/>
  <c r="BF125" i="1"/>
  <c r="BG124" i="1"/>
  <c r="BF124" i="1"/>
  <c r="BG123" i="1"/>
  <c r="BF123" i="1"/>
  <c r="BG122" i="1"/>
  <c r="BF122" i="1"/>
  <c r="BG121" i="1"/>
  <c r="BF121" i="1"/>
  <c r="BG120" i="1"/>
  <c r="BF120" i="1"/>
  <c r="BG119" i="1"/>
  <c r="BF119" i="1"/>
  <c r="BG118" i="1"/>
  <c r="BF118" i="1"/>
  <c r="BG117" i="1"/>
  <c r="BF117" i="1"/>
  <c r="BG116" i="1"/>
  <c r="BF116" i="1"/>
  <c r="BG115" i="1"/>
  <c r="BF115" i="1"/>
  <c r="BG114" i="1"/>
  <c r="BF114" i="1"/>
  <c r="BG113" i="1"/>
  <c r="BF113" i="1"/>
  <c r="BG112" i="1"/>
  <c r="BF112" i="1"/>
  <c r="BG111" i="1"/>
  <c r="BF111" i="1"/>
  <c r="BG110" i="1"/>
  <c r="BF110" i="1"/>
  <c r="BG109" i="1"/>
  <c r="BF109" i="1"/>
  <c r="BG108" i="1"/>
  <c r="BF108" i="1"/>
  <c r="BG107" i="1"/>
  <c r="BF107" i="1"/>
  <c r="BG106" i="1"/>
  <c r="BF106" i="1"/>
  <c r="BG105" i="1"/>
  <c r="BF105" i="1"/>
  <c r="BG104" i="1"/>
  <c r="BF104" i="1"/>
  <c r="BG103" i="1"/>
  <c r="BF103" i="1"/>
  <c r="BG102" i="1"/>
  <c r="BF102" i="1"/>
  <c r="BG101" i="1"/>
  <c r="BF101" i="1"/>
  <c r="BG100" i="1"/>
  <c r="BF100" i="1"/>
  <c r="BG99" i="1"/>
  <c r="BF99" i="1"/>
  <c r="BG98" i="1"/>
  <c r="BF98" i="1"/>
  <c r="BG97" i="1"/>
  <c r="BF97" i="1"/>
  <c r="BG96" i="1"/>
  <c r="BF96" i="1"/>
  <c r="BG95" i="1"/>
  <c r="BF95" i="1"/>
  <c r="BG94" i="1"/>
  <c r="BF94" i="1"/>
  <c r="BG93" i="1"/>
  <c r="BF93" i="1"/>
  <c r="BG92" i="1"/>
  <c r="BF92" i="1"/>
  <c r="BG91" i="1"/>
  <c r="BF91" i="1"/>
  <c r="BG90" i="1"/>
  <c r="BF90" i="1"/>
  <c r="BG89" i="1"/>
  <c r="BF89" i="1"/>
  <c r="BG88" i="1"/>
  <c r="BF88" i="1"/>
  <c r="BG87" i="1"/>
  <c r="BF87" i="1"/>
  <c r="BG86" i="1"/>
  <c r="BF86" i="1"/>
  <c r="BG85" i="1"/>
  <c r="BF85" i="1"/>
  <c r="BG84" i="1"/>
  <c r="BF84" i="1"/>
  <c r="BG83" i="1"/>
  <c r="BF83" i="1"/>
  <c r="BG82" i="1"/>
  <c r="BF82" i="1"/>
  <c r="BG81" i="1"/>
  <c r="BF81" i="1"/>
  <c r="BG80" i="1"/>
  <c r="BF80" i="1"/>
  <c r="BG79" i="1"/>
  <c r="BF79" i="1"/>
  <c r="BG78" i="1"/>
  <c r="BF78" i="1"/>
  <c r="BG77" i="1"/>
  <c r="BF77" i="1"/>
  <c r="BG76" i="1"/>
  <c r="BF76" i="1"/>
  <c r="BG75" i="1"/>
  <c r="BF75" i="1"/>
  <c r="BG74" i="1"/>
  <c r="BF74" i="1"/>
  <c r="BG73" i="1"/>
  <c r="BF73" i="1"/>
  <c r="BG72" i="1"/>
  <c r="BF72" i="1"/>
  <c r="BG71" i="1"/>
  <c r="BF71" i="1"/>
  <c r="BG70" i="1"/>
  <c r="BF70" i="1"/>
  <c r="BG69" i="1"/>
  <c r="BF69" i="1"/>
  <c r="BG68" i="1"/>
  <c r="BF68" i="1"/>
  <c r="BG67" i="1"/>
  <c r="BF67" i="1"/>
  <c r="BG10" i="1"/>
  <c r="BF10" i="1"/>
  <c r="BG9" i="1"/>
  <c r="BF9" i="1"/>
  <c r="BG168" i="1"/>
  <c r="BF168" i="1"/>
  <c r="BG167" i="1"/>
  <c r="BG189" i="1" s="1"/>
  <c r="BG211" i="1" s="1"/>
  <c r="BF167" i="1"/>
  <c r="BF189" i="1" s="1"/>
  <c r="BF211" i="1" s="1"/>
  <c r="AW44" i="1"/>
  <c r="AU46" i="1"/>
  <c r="AV44" i="1"/>
  <c r="AY201" i="1"/>
  <c r="AZ199" i="1"/>
  <c r="AW199" i="1"/>
  <c r="AT199" i="1"/>
  <c r="BA49" i="1"/>
  <c r="AT49" i="1"/>
  <c r="BB52" i="1"/>
  <c r="AW52" i="1"/>
  <c r="AZ46" i="1"/>
  <c r="BB36" i="1"/>
  <c r="AX36" i="1"/>
  <c r="BB34" i="1"/>
  <c r="AX34" i="1"/>
  <c r="AW34" i="1"/>
  <c r="BA8" i="1"/>
  <c r="AV8" i="1"/>
  <c r="AW201" i="1"/>
  <c r="AV201" i="1"/>
  <c r="AY199" i="1"/>
  <c r="AU199" i="1"/>
  <c r="AS199" i="1"/>
  <c r="BB177" i="1"/>
  <c r="AV177" i="1"/>
  <c r="AX43" i="1"/>
  <c r="AZ8" i="1"/>
  <c r="AW8" i="1"/>
  <c r="AZ48" i="1"/>
  <c r="AY48" i="1"/>
  <c r="AX48" i="1"/>
  <c r="BB50" i="1"/>
  <c r="BA34" i="1"/>
  <c r="BA54" i="1"/>
  <c r="AY54" i="1"/>
  <c r="AW54" i="1"/>
  <c r="AT54" i="1"/>
  <c r="BA53" i="1"/>
  <c r="AY53" i="1"/>
  <c r="AW53" i="1"/>
  <c r="AT53" i="1"/>
  <c r="BA52" i="1"/>
  <c r="AZ52" i="1"/>
  <c r="AY52" i="1"/>
  <c r="AX52" i="1"/>
  <c r="AV52" i="1"/>
  <c r="AU52" i="1"/>
  <c r="AT52" i="1"/>
  <c r="BA51" i="1"/>
  <c r="AZ51" i="1"/>
  <c r="AY51" i="1"/>
  <c r="AX51" i="1"/>
  <c r="AV51" i="1"/>
  <c r="AU51" i="1"/>
  <c r="AT51" i="1"/>
  <c r="AS54" i="1"/>
  <c r="AS53" i="1"/>
  <c r="AS52" i="1"/>
  <c r="AS51" i="1"/>
  <c r="AZ201" i="1"/>
  <c r="AS50" i="1"/>
  <c r="AS49" i="1"/>
  <c r="AS48" i="1"/>
  <c r="AS47" i="1"/>
  <c r="AZ50" i="1"/>
  <c r="AY50" i="1"/>
  <c r="AX50" i="1"/>
  <c r="AW50" i="1"/>
  <c r="AV50" i="1"/>
  <c r="AU50" i="1"/>
  <c r="AZ49" i="1"/>
  <c r="AY49" i="1"/>
  <c r="AX49" i="1"/>
  <c r="AW49" i="1"/>
  <c r="AV49" i="1"/>
  <c r="AU49" i="1"/>
  <c r="BB48" i="1"/>
  <c r="BA48" i="1"/>
  <c r="AW48" i="1"/>
  <c r="AV48" i="1"/>
  <c r="AT48" i="1"/>
  <c r="BB47" i="1"/>
  <c r="BA47" i="1"/>
  <c r="AW47" i="1"/>
  <c r="AV47" i="1"/>
  <c r="AT47" i="1"/>
  <c r="BF190" i="1" l="1"/>
  <c r="BF212" i="1" s="1"/>
  <c r="BG190" i="1"/>
  <c r="BG212" i="1" s="1"/>
  <c r="AV199" i="1"/>
  <c r="AT201" i="1"/>
  <c r="AT183" i="1"/>
  <c r="AS46" i="1"/>
  <c r="AS45" i="1"/>
  <c r="AS44" i="1"/>
  <c r="AS43" i="1"/>
  <c r="BB46" i="1"/>
  <c r="BA46" i="1"/>
  <c r="AY46" i="1"/>
  <c r="AX46" i="1"/>
  <c r="AW46" i="1"/>
  <c r="AV46" i="1"/>
  <c r="AT46" i="1"/>
  <c r="BB45" i="1"/>
  <c r="BA45" i="1"/>
  <c r="AY45" i="1"/>
  <c r="AX45" i="1"/>
  <c r="AW45" i="1"/>
  <c r="AV45" i="1"/>
  <c r="AT45" i="1"/>
  <c r="BB44" i="1"/>
  <c r="BA44" i="1"/>
  <c r="AZ44" i="1"/>
  <c r="AY44" i="1"/>
  <c r="AX44" i="1"/>
  <c r="AU44" i="1"/>
  <c r="AT44" i="1"/>
  <c r="BB43" i="1"/>
  <c r="BA43" i="1"/>
  <c r="AZ43" i="1"/>
  <c r="AY43" i="1"/>
  <c r="AU43" i="1"/>
  <c r="AT43" i="1"/>
  <c r="AZ42" i="1" l="1"/>
  <c r="AU34" i="1"/>
  <c r="AT36" i="1"/>
  <c r="AS182" i="1" l="1"/>
  <c r="BB176" i="1"/>
  <c r="BA176" i="1"/>
  <c r="AZ176" i="1"/>
  <c r="AY176" i="1"/>
  <c r="AX176" i="1"/>
  <c r="AW176" i="1"/>
  <c r="AV176" i="1"/>
  <c r="AU176" i="1"/>
  <c r="AT176" i="1"/>
  <c r="AS176" i="1"/>
  <c r="BB178" i="1"/>
  <c r="BA178" i="1"/>
  <c r="AZ178" i="1"/>
  <c r="AY178" i="1"/>
  <c r="AX178" i="1"/>
  <c r="AW178" i="1"/>
  <c r="AV178" i="1"/>
  <c r="AU178" i="1"/>
  <c r="AT178" i="1"/>
  <c r="AS178" i="1"/>
  <c r="BB174" i="1"/>
  <c r="BA174" i="1"/>
  <c r="AZ174" i="1"/>
  <c r="AY174" i="1"/>
  <c r="AX174" i="1"/>
  <c r="AW174" i="1"/>
  <c r="AV174" i="1"/>
  <c r="AU174" i="1"/>
  <c r="AT174" i="1"/>
  <c r="AS174" i="1"/>
  <c r="AY42" i="1"/>
  <c r="BA207" i="1"/>
  <c r="AZ207" i="1"/>
  <c r="AY207" i="1"/>
  <c r="AX207" i="1"/>
  <c r="AW207" i="1"/>
  <c r="AV207" i="1"/>
  <c r="AU207" i="1"/>
  <c r="AT207" i="1"/>
  <c r="AS207" i="1"/>
  <c r="BB206" i="1"/>
  <c r="BA206" i="1"/>
  <c r="AZ206" i="1"/>
  <c r="AY206" i="1"/>
  <c r="AX206" i="1"/>
  <c r="AW206" i="1"/>
  <c r="AV206" i="1"/>
  <c r="AU206" i="1"/>
  <c r="AT206" i="1"/>
  <c r="AS206" i="1"/>
  <c r="BB205" i="1"/>
  <c r="BA205" i="1"/>
  <c r="AZ205" i="1"/>
  <c r="AY205" i="1"/>
  <c r="AX205" i="1"/>
  <c r="AW205" i="1"/>
  <c r="AV205" i="1"/>
  <c r="AU205" i="1"/>
  <c r="AT205" i="1"/>
  <c r="AS205" i="1"/>
  <c r="BB204" i="1"/>
  <c r="BA204" i="1"/>
  <c r="AZ204" i="1"/>
  <c r="AY204" i="1"/>
  <c r="AX204" i="1"/>
  <c r="AW204" i="1"/>
  <c r="AV204" i="1"/>
  <c r="AU204" i="1"/>
  <c r="AT204" i="1"/>
  <c r="AS204" i="1"/>
  <c r="BB203" i="1"/>
  <c r="BA203" i="1"/>
  <c r="AZ203" i="1"/>
  <c r="AY203" i="1"/>
  <c r="AX203" i="1"/>
  <c r="AW203" i="1"/>
  <c r="AV203" i="1"/>
  <c r="AU203" i="1"/>
  <c r="AT203" i="1"/>
  <c r="AS203" i="1"/>
  <c r="BB202" i="1"/>
  <c r="BA202" i="1"/>
  <c r="AZ202" i="1"/>
  <c r="AY202" i="1"/>
  <c r="AX202" i="1"/>
  <c r="AW202" i="1"/>
  <c r="AV202" i="1"/>
  <c r="AU202" i="1"/>
  <c r="AT202" i="1"/>
  <c r="AS202" i="1"/>
  <c r="BA199" i="1"/>
  <c r="AX199" i="1"/>
  <c r="BB198" i="1"/>
  <c r="BA198" i="1"/>
  <c r="AX198" i="1"/>
  <c r="AV198" i="1"/>
  <c r="BB185" i="1"/>
  <c r="BA185" i="1"/>
  <c r="AZ185" i="1"/>
  <c r="AY185" i="1"/>
  <c r="AX185" i="1"/>
  <c r="AW185" i="1"/>
  <c r="AV185" i="1"/>
  <c r="AU185" i="1"/>
  <c r="AT185" i="1"/>
  <c r="AS185" i="1"/>
  <c r="BB184" i="1"/>
  <c r="BA184" i="1"/>
  <c r="AZ184" i="1"/>
  <c r="AY184" i="1"/>
  <c r="AX184" i="1"/>
  <c r="AW184" i="1"/>
  <c r="AV184" i="1"/>
  <c r="AU184" i="1"/>
  <c r="AT184" i="1"/>
  <c r="AS184" i="1"/>
  <c r="BB183" i="1"/>
  <c r="BA183" i="1"/>
  <c r="AZ183" i="1"/>
  <c r="AY183" i="1"/>
  <c r="AX183" i="1"/>
  <c r="AW183" i="1"/>
  <c r="AV183" i="1"/>
  <c r="AU183" i="1"/>
  <c r="BB182" i="1"/>
  <c r="BA182" i="1"/>
  <c r="AZ182" i="1"/>
  <c r="AY182" i="1"/>
  <c r="AX182" i="1"/>
  <c r="AW182" i="1"/>
  <c r="AV182" i="1"/>
  <c r="AU182" i="1"/>
  <c r="BB181" i="1"/>
  <c r="BA181" i="1"/>
  <c r="AZ181" i="1"/>
  <c r="AY181" i="1"/>
  <c r="AX181" i="1"/>
  <c r="AW181" i="1"/>
  <c r="AV181" i="1"/>
  <c r="AU181" i="1"/>
  <c r="AT181" i="1"/>
  <c r="AS181" i="1"/>
  <c r="BB180" i="1"/>
  <c r="BA180" i="1"/>
  <c r="AZ180" i="1"/>
  <c r="AY180" i="1"/>
  <c r="AX180" i="1"/>
  <c r="AW180" i="1"/>
  <c r="AV180" i="1"/>
  <c r="AU180" i="1"/>
  <c r="AT180" i="1"/>
  <c r="AS180" i="1"/>
  <c r="BB42" i="1"/>
  <c r="BA42" i="1"/>
  <c r="AW42" i="1"/>
  <c r="AV42" i="1"/>
  <c r="AU42" i="1"/>
  <c r="AS42" i="1"/>
  <c r="BB41" i="1"/>
  <c r="BA41" i="1"/>
  <c r="AW41" i="1"/>
  <c r="AV41" i="1"/>
  <c r="AU41" i="1"/>
  <c r="AS41" i="1"/>
  <c r="BB40" i="1"/>
  <c r="BA40" i="1"/>
  <c r="AZ40" i="1"/>
  <c r="AY40" i="1"/>
  <c r="AX40" i="1"/>
  <c r="AW40" i="1"/>
  <c r="AV40" i="1"/>
  <c r="AU40" i="1"/>
  <c r="AT40" i="1"/>
  <c r="AS40" i="1"/>
  <c r="BB39" i="1"/>
  <c r="BA39" i="1"/>
  <c r="AZ39" i="1"/>
  <c r="AY39" i="1"/>
  <c r="AX39" i="1"/>
  <c r="AW39" i="1"/>
  <c r="AV39" i="1"/>
  <c r="AU39" i="1"/>
  <c r="AT39" i="1"/>
  <c r="AS39" i="1"/>
  <c r="BB38" i="1"/>
  <c r="BA38" i="1"/>
  <c r="AZ38" i="1"/>
  <c r="AY38" i="1"/>
  <c r="AX38" i="1"/>
  <c r="AW38" i="1"/>
  <c r="AV38" i="1"/>
  <c r="AU38" i="1"/>
  <c r="AT38" i="1"/>
  <c r="AS38" i="1"/>
  <c r="BB37" i="1"/>
  <c r="BA37" i="1"/>
  <c r="AZ37" i="1"/>
  <c r="AY37" i="1"/>
  <c r="AX37" i="1"/>
  <c r="AW37" i="1"/>
  <c r="AV37" i="1"/>
  <c r="AU37" i="1"/>
  <c r="AT37" i="1"/>
  <c r="AS37" i="1"/>
  <c r="BA36" i="1"/>
  <c r="AZ36" i="1"/>
  <c r="AY36" i="1"/>
  <c r="AU36" i="1"/>
  <c r="AS36" i="1"/>
  <c r="BA35" i="1"/>
  <c r="AZ35" i="1"/>
  <c r="AY35" i="1"/>
  <c r="AU35" i="1"/>
  <c r="AS35" i="1"/>
  <c r="AZ34" i="1"/>
  <c r="AV34" i="1"/>
  <c r="AS34" i="1"/>
  <c r="AZ33" i="1"/>
  <c r="AV33" i="1"/>
  <c r="AS33" i="1"/>
  <c r="BB32" i="1"/>
  <c r="BA32" i="1"/>
  <c r="AZ32" i="1"/>
  <c r="AY32" i="1"/>
  <c r="AX32" i="1"/>
  <c r="AW32" i="1"/>
  <c r="AV32" i="1"/>
  <c r="AU32" i="1"/>
  <c r="AT32" i="1"/>
  <c r="AS32" i="1"/>
  <c r="BB31" i="1"/>
  <c r="BA31" i="1"/>
  <c r="AZ31" i="1"/>
  <c r="AY31" i="1"/>
  <c r="AX31" i="1"/>
  <c r="AW31" i="1"/>
  <c r="AV31" i="1"/>
  <c r="AU31" i="1"/>
  <c r="AT31" i="1"/>
  <c r="AS31" i="1"/>
  <c r="BB30" i="1"/>
  <c r="BA30" i="1"/>
  <c r="AZ30" i="1"/>
  <c r="AY30" i="1"/>
  <c r="AX30" i="1"/>
  <c r="AW30" i="1"/>
  <c r="AV30" i="1"/>
  <c r="AU30" i="1"/>
  <c r="AT30" i="1"/>
  <c r="AS30" i="1"/>
  <c r="BB29" i="1"/>
  <c r="BA29" i="1"/>
  <c r="AZ29" i="1"/>
  <c r="AY29" i="1"/>
  <c r="AX29" i="1"/>
  <c r="AW29" i="1"/>
  <c r="AV29" i="1"/>
  <c r="AU29" i="1"/>
  <c r="AT29" i="1"/>
  <c r="AS29" i="1"/>
  <c r="BB28" i="1"/>
  <c r="BA28" i="1"/>
  <c r="AZ28" i="1"/>
  <c r="AY28" i="1"/>
  <c r="AX28" i="1"/>
  <c r="AW28" i="1"/>
  <c r="AV28" i="1"/>
  <c r="AU28" i="1"/>
  <c r="AT28" i="1"/>
  <c r="AS28" i="1"/>
  <c r="BB27" i="1"/>
  <c r="BA27" i="1"/>
  <c r="AZ27" i="1"/>
  <c r="AY27" i="1"/>
  <c r="AX27" i="1"/>
  <c r="AW27" i="1"/>
  <c r="AV27" i="1"/>
  <c r="AU27" i="1"/>
  <c r="AT27" i="1"/>
  <c r="AS27" i="1"/>
  <c r="BB26" i="1"/>
  <c r="BA26" i="1"/>
  <c r="AZ26" i="1"/>
  <c r="AY26" i="1"/>
  <c r="AX26" i="1"/>
  <c r="AW26" i="1"/>
  <c r="AV26" i="1"/>
  <c r="AU26" i="1"/>
  <c r="AT26" i="1"/>
  <c r="AS26" i="1"/>
  <c r="BB25" i="1"/>
  <c r="BA25" i="1"/>
  <c r="AZ25" i="1"/>
  <c r="AY25" i="1"/>
  <c r="AX25" i="1"/>
  <c r="AW25" i="1"/>
  <c r="AV25" i="1"/>
  <c r="AU25" i="1"/>
  <c r="AT25" i="1"/>
  <c r="AS25" i="1"/>
  <c r="BB24" i="1"/>
  <c r="BA24" i="1"/>
  <c r="AZ24" i="1"/>
  <c r="AY24" i="1"/>
  <c r="AX24" i="1"/>
  <c r="AW24" i="1"/>
  <c r="AV24" i="1"/>
  <c r="AU24" i="1"/>
  <c r="AT24" i="1"/>
  <c r="AS24" i="1"/>
  <c r="BB23" i="1"/>
  <c r="BA23" i="1"/>
  <c r="AZ23" i="1"/>
  <c r="AY23" i="1"/>
  <c r="AX23" i="1"/>
  <c r="AW23" i="1"/>
  <c r="AV23" i="1"/>
  <c r="AU23" i="1"/>
  <c r="AT23" i="1"/>
  <c r="AS23" i="1"/>
  <c r="BB22" i="1"/>
  <c r="BA22" i="1"/>
  <c r="AZ22" i="1"/>
  <c r="AY22" i="1"/>
  <c r="AX22" i="1"/>
  <c r="AW22" i="1"/>
  <c r="AV22" i="1"/>
  <c r="AU22" i="1"/>
  <c r="AT22" i="1"/>
  <c r="AS22" i="1"/>
  <c r="BB21" i="1"/>
  <c r="BA21" i="1"/>
  <c r="AZ21" i="1"/>
  <c r="AY21" i="1"/>
  <c r="AX21" i="1"/>
  <c r="AW21" i="1"/>
  <c r="AV21" i="1"/>
  <c r="AU21" i="1"/>
  <c r="AT21" i="1"/>
  <c r="AS21" i="1"/>
  <c r="BB20" i="1"/>
  <c r="BA20" i="1"/>
  <c r="AZ20" i="1"/>
  <c r="AY20" i="1"/>
  <c r="AX20" i="1"/>
  <c r="AW20" i="1"/>
  <c r="AV20" i="1"/>
  <c r="AU20" i="1"/>
  <c r="AT20" i="1"/>
  <c r="AS20" i="1"/>
  <c r="BB19" i="1"/>
  <c r="BA19" i="1"/>
  <c r="AZ19" i="1"/>
  <c r="AY19" i="1"/>
  <c r="AX19" i="1"/>
  <c r="AW19" i="1"/>
  <c r="AV19" i="1"/>
  <c r="AU19" i="1"/>
  <c r="AT19" i="1"/>
  <c r="AS19" i="1"/>
  <c r="BB18" i="1"/>
  <c r="BA18" i="1"/>
  <c r="AZ18" i="1"/>
  <c r="AY18" i="1"/>
  <c r="AX18" i="1"/>
  <c r="AW18" i="1"/>
  <c r="AV18" i="1"/>
  <c r="AU18" i="1"/>
  <c r="AT18" i="1"/>
  <c r="AS18" i="1"/>
  <c r="BB17" i="1"/>
  <c r="BA17" i="1"/>
  <c r="AZ17" i="1"/>
  <c r="AY17" i="1"/>
  <c r="AX17" i="1"/>
  <c r="AW17" i="1"/>
  <c r="AV17" i="1"/>
  <c r="AU17" i="1"/>
  <c r="AT17" i="1"/>
  <c r="AS17" i="1"/>
  <c r="BB16" i="1"/>
  <c r="BA16" i="1"/>
  <c r="AZ16" i="1"/>
  <c r="AY16" i="1"/>
  <c r="AX16" i="1"/>
  <c r="AW16" i="1"/>
  <c r="AV16" i="1"/>
  <c r="AU16" i="1"/>
  <c r="AT16" i="1"/>
  <c r="AS16" i="1"/>
  <c r="BB15" i="1"/>
  <c r="BA15" i="1"/>
  <c r="AZ15" i="1"/>
  <c r="AY15" i="1"/>
  <c r="AX15" i="1"/>
  <c r="AW15" i="1"/>
  <c r="AV15" i="1"/>
  <c r="AU15" i="1"/>
  <c r="AT15" i="1"/>
  <c r="AS15" i="1"/>
  <c r="BB14" i="1"/>
  <c r="BA14" i="1"/>
  <c r="AZ14" i="1"/>
  <c r="AY14" i="1"/>
  <c r="AX14" i="1"/>
  <c r="AW14" i="1"/>
  <c r="AV14" i="1"/>
  <c r="AU14" i="1"/>
  <c r="AT14" i="1"/>
  <c r="AS14" i="1"/>
  <c r="BB13" i="1"/>
  <c r="BA13" i="1"/>
  <c r="AZ13" i="1"/>
  <c r="AY13" i="1"/>
  <c r="AX13" i="1"/>
  <c r="AW13" i="1"/>
  <c r="AV13" i="1"/>
  <c r="AU13" i="1"/>
  <c r="AT13" i="1"/>
  <c r="AS13" i="1"/>
  <c r="BB12" i="1"/>
  <c r="AZ12" i="1"/>
  <c r="AY12" i="1"/>
  <c r="AX12" i="1"/>
  <c r="AW12" i="1"/>
  <c r="AV12" i="1"/>
  <c r="AT12" i="1"/>
  <c r="AS12" i="1"/>
  <c r="BB11" i="1"/>
  <c r="AZ11" i="1"/>
  <c r="AY11" i="1"/>
  <c r="AX11" i="1"/>
  <c r="AW11" i="1"/>
  <c r="AV11" i="1"/>
  <c r="AT11" i="1"/>
  <c r="AS11" i="1"/>
  <c r="BB8" i="1"/>
  <c r="BB7" i="1"/>
  <c r="AX8" i="1"/>
  <c r="AX7" i="1"/>
  <c r="AT8" i="1"/>
  <c r="AT7" i="1"/>
  <c r="AS8" i="1"/>
  <c r="AS7" i="1"/>
  <c r="AR200" i="1" l="1"/>
  <c r="AQ200" i="1"/>
  <c r="AP200" i="1"/>
  <c r="AO200" i="1"/>
  <c r="AN200" i="1"/>
  <c r="AM200" i="1"/>
  <c r="AL200" i="1"/>
  <c r="AK200" i="1"/>
  <c r="AJ200" i="1"/>
  <c r="AI200" i="1"/>
  <c r="AL198" i="1"/>
  <c r="AK198" i="1"/>
  <c r="AI198" i="1"/>
  <c r="AR198" i="1"/>
  <c r="AJ198" i="1"/>
  <c r="AI182" i="1"/>
  <c r="AP41" i="1"/>
  <c r="AO41" i="1"/>
  <c r="AN41" i="1"/>
  <c r="AJ41" i="1"/>
  <c r="AO39" i="1"/>
  <c r="AN37" i="1"/>
  <c r="AR37" i="1"/>
  <c r="AJ37" i="1"/>
  <c r="AM37" i="1"/>
  <c r="AL35" i="1"/>
  <c r="AN35" i="1"/>
  <c r="AR35" i="1"/>
  <c r="AO35" i="1"/>
  <c r="AJ35" i="1"/>
  <c r="AK33" i="1"/>
  <c r="AL33" i="1"/>
  <c r="AQ33" i="1"/>
  <c r="AP33" i="1"/>
  <c r="AO33" i="1"/>
  <c r="AM33" i="1"/>
  <c r="AJ33" i="1"/>
  <c r="AR33" i="1"/>
  <c r="AO31" i="1"/>
  <c r="AJ31" i="1"/>
  <c r="AQ7" i="1"/>
  <c r="AP7" i="1"/>
  <c r="AO7" i="1"/>
  <c r="AM7" i="1"/>
  <c r="AL7" i="1"/>
  <c r="AP207" i="1"/>
  <c r="AN207" i="1"/>
  <c r="AP201" i="1"/>
  <c r="AR201" i="1"/>
  <c r="AQ201" i="1"/>
  <c r="AO201" i="1"/>
  <c r="AN201" i="1"/>
  <c r="AM201" i="1"/>
  <c r="AL201" i="1"/>
  <c r="AK201" i="1"/>
  <c r="AJ201" i="1"/>
  <c r="AI201" i="1"/>
  <c r="AR199" i="1"/>
  <c r="AL199" i="1"/>
  <c r="AI199" i="1"/>
  <c r="AI183" i="1"/>
  <c r="AR177" i="1"/>
  <c r="AQ177" i="1"/>
  <c r="AP177" i="1"/>
  <c r="AO177" i="1"/>
  <c r="AN177" i="1"/>
  <c r="AM177" i="1"/>
  <c r="AL177" i="1"/>
  <c r="AK177" i="1"/>
  <c r="AJ177" i="1"/>
  <c r="AI177" i="1"/>
  <c r="AR179" i="1"/>
  <c r="AQ179" i="1"/>
  <c r="AP179" i="1"/>
  <c r="AO179" i="1"/>
  <c r="AN179" i="1"/>
  <c r="AM179" i="1"/>
  <c r="AL179" i="1"/>
  <c r="AK179" i="1"/>
  <c r="AJ179" i="1"/>
  <c r="AI179" i="1"/>
  <c r="AR175" i="1"/>
  <c r="AQ175" i="1"/>
  <c r="AP175" i="1"/>
  <c r="AO175" i="1"/>
  <c r="AN175" i="1"/>
  <c r="AM175" i="1"/>
  <c r="AL175" i="1"/>
  <c r="AK175" i="1"/>
  <c r="AJ175" i="1"/>
  <c r="AI175" i="1"/>
  <c r="AM38" i="1"/>
  <c r="AL36" i="1"/>
  <c r="AQ8" i="1"/>
  <c r="AP8" i="1"/>
  <c r="AM8" i="1"/>
  <c r="AP42" i="1"/>
  <c r="AO42" i="1"/>
  <c r="AN42" i="1"/>
  <c r="AJ42" i="1"/>
  <c r="AR34" i="1"/>
  <c r="AQ34" i="1"/>
  <c r="AO34" i="1"/>
  <c r="AM34" i="1"/>
  <c r="AK34" i="1"/>
  <c r="AJ34" i="1"/>
  <c r="AZ209" i="1"/>
  <c r="AZ208" i="1"/>
  <c r="AZ187" i="1"/>
  <c r="AZ186" i="1"/>
  <c r="AZ166" i="1"/>
  <c r="AZ165" i="1"/>
  <c r="AZ164" i="1"/>
  <c r="AZ163" i="1"/>
  <c r="AZ162" i="1"/>
  <c r="AZ161" i="1"/>
  <c r="AZ160" i="1"/>
  <c r="AZ159" i="1"/>
  <c r="AZ158" i="1"/>
  <c r="AZ157" i="1"/>
  <c r="AZ156" i="1"/>
  <c r="AZ155" i="1"/>
  <c r="AZ154" i="1"/>
  <c r="AZ153" i="1"/>
  <c r="AZ152" i="1"/>
  <c r="AZ151" i="1"/>
  <c r="AZ150" i="1"/>
  <c r="AZ149" i="1"/>
  <c r="AZ148" i="1"/>
  <c r="AZ147" i="1"/>
  <c r="AZ146" i="1"/>
  <c r="AZ145" i="1"/>
  <c r="AZ144" i="1"/>
  <c r="AZ143" i="1"/>
  <c r="AZ142" i="1"/>
  <c r="AZ141" i="1"/>
  <c r="AZ140" i="1"/>
  <c r="AZ139" i="1"/>
  <c r="AZ138" i="1"/>
  <c r="AZ137" i="1"/>
  <c r="AZ136" i="1"/>
  <c r="AZ135" i="1"/>
  <c r="AZ134" i="1"/>
  <c r="AZ133" i="1"/>
  <c r="AZ132" i="1"/>
  <c r="AZ131" i="1"/>
  <c r="AZ130" i="1"/>
  <c r="AZ129" i="1"/>
  <c r="AZ128" i="1"/>
  <c r="AZ127" i="1"/>
  <c r="AZ126" i="1"/>
  <c r="AZ125" i="1"/>
  <c r="AZ124" i="1"/>
  <c r="AZ123" i="1"/>
  <c r="AZ122" i="1"/>
  <c r="AZ121" i="1"/>
  <c r="AZ120" i="1"/>
  <c r="AZ119" i="1"/>
  <c r="AZ118" i="1"/>
  <c r="AZ117" i="1"/>
  <c r="AZ116" i="1"/>
  <c r="AZ115" i="1"/>
  <c r="AZ114" i="1"/>
  <c r="AZ113" i="1"/>
  <c r="AZ112" i="1"/>
  <c r="AZ111" i="1"/>
  <c r="AZ110" i="1"/>
  <c r="AZ109" i="1"/>
  <c r="AZ108" i="1"/>
  <c r="AZ107" i="1"/>
  <c r="AZ106" i="1"/>
  <c r="AZ105" i="1"/>
  <c r="AZ104" i="1"/>
  <c r="AZ103" i="1"/>
  <c r="AZ102" i="1"/>
  <c r="AZ101" i="1"/>
  <c r="AZ100" i="1"/>
  <c r="AZ99" i="1"/>
  <c r="AZ98" i="1"/>
  <c r="AZ97" i="1"/>
  <c r="AZ96" i="1"/>
  <c r="AZ95" i="1"/>
  <c r="AZ94" i="1"/>
  <c r="AZ93" i="1"/>
  <c r="AZ92" i="1"/>
  <c r="AZ91" i="1"/>
  <c r="AZ90" i="1"/>
  <c r="AZ89" i="1"/>
  <c r="AZ88" i="1"/>
  <c r="AZ87" i="1"/>
  <c r="AZ86" i="1"/>
  <c r="AZ85" i="1"/>
  <c r="AZ84" i="1"/>
  <c r="AZ83" i="1"/>
  <c r="AZ82" i="1"/>
  <c r="AZ81" i="1"/>
  <c r="AZ80" i="1"/>
  <c r="AZ79" i="1"/>
  <c r="AZ78" i="1"/>
  <c r="AZ77" i="1"/>
  <c r="AZ76" i="1"/>
  <c r="AZ75" i="1"/>
  <c r="AZ74" i="1"/>
  <c r="AZ73" i="1"/>
  <c r="AZ72" i="1"/>
  <c r="AZ71" i="1"/>
  <c r="AZ70" i="1"/>
  <c r="AZ69" i="1"/>
  <c r="AZ68" i="1"/>
  <c r="AZ67" i="1"/>
  <c r="AZ66" i="1"/>
  <c r="AZ65" i="1"/>
  <c r="AZ64" i="1"/>
  <c r="AZ63" i="1"/>
  <c r="AZ62" i="1"/>
  <c r="AZ61" i="1"/>
  <c r="AZ60" i="1"/>
  <c r="AZ59" i="1"/>
  <c r="AZ58" i="1"/>
  <c r="AZ57" i="1"/>
  <c r="AZ56" i="1"/>
  <c r="AZ55" i="1"/>
  <c r="AZ10" i="1"/>
  <c r="AZ168" i="1" s="1"/>
  <c r="AZ190" i="1" s="1"/>
  <c r="AZ9" i="1"/>
  <c r="AZ167" i="1" s="1"/>
  <c r="AZ189" i="1" s="1"/>
  <c r="AY208" i="1"/>
  <c r="AY186" i="1"/>
  <c r="AY166" i="1"/>
  <c r="AY165" i="1"/>
  <c r="AY164" i="1"/>
  <c r="AY163" i="1"/>
  <c r="AY162" i="1"/>
  <c r="AY161" i="1"/>
  <c r="AY160" i="1"/>
  <c r="AY159" i="1"/>
  <c r="AY158" i="1"/>
  <c r="AY157" i="1"/>
  <c r="AY156" i="1"/>
  <c r="AY155" i="1"/>
  <c r="AY154" i="1"/>
  <c r="AY153" i="1"/>
  <c r="AY152" i="1"/>
  <c r="AY151" i="1"/>
  <c r="AY150" i="1"/>
  <c r="AY149" i="1"/>
  <c r="AY148" i="1"/>
  <c r="AY147" i="1"/>
  <c r="AY146" i="1"/>
  <c r="AY145" i="1"/>
  <c r="AY144" i="1"/>
  <c r="AY143" i="1"/>
  <c r="AY142" i="1"/>
  <c r="AY141" i="1"/>
  <c r="AY140" i="1"/>
  <c r="AY139" i="1"/>
  <c r="AY138" i="1"/>
  <c r="AY137" i="1"/>
  <c r="AY136" i="1"/>
  <c r="AY135" i="1"/>
  <c r="AY134" i="1"/>
  <c r="AY133" i="1"/>
  <c r="AY132" i="1"/>
  <c r="AY131" i="1"/>
  <c r="AY130" i="1"/>
  <c r="AY129" i="1"/>
  <c r="AY128" i="1"/>
  <c r="AY127" i="1"/>
  <c r="AY126" i="1"/>
  <c r="AY125" i="1"/>
  <c r="AY124" i="1"/>
  <c r="AY123" i="1"/>
  <c r="AY122" i="1"/>
  <c r="AY121" i="1"/>
  <c r="AY120" i="1"/>
  <c r="AY119" i="1"/>
  <c r="AY118" i="1"/>
  <c r="AY117" i="1"/>
  <c r="AY116" i="1"/>
  <c r="AY115" i="1"/>
  <c r="AY114" i="1"/>
  <c r="AY113" i="1"/>
  <c r="AY112" i="1"/>
  <c r="AY111" i="1"/>
  <c r="AY110" i="1"/>
  <c r="AY109" i="1"/>
  <c r="AY108" i="1"/>
  <c r="AY107" i="1"/>
  <c r="AY106" i="1"/>
  <c r="AY105" i="1"/>
  <c r="AY104" i="1"/>
  <c r="AY103" i="1"/>
  <c r="AY102" i="1"/>
  <c r="AY101" i="1"/>
  <c r="AY100" i="1"/>
  <c r="AY99" i="1"/>
  <c r="AY98" i="1"/>
  <c r="AY97" i="1"/>
  <c r="AY96" i="1"/>
  <c r="AY95" i="1"/>
  <c r="AY94" i="1"/>
  <c r="AY93" i="1"/>
  <c r="AY92" i="1"/>
  <c r="AY91" i="1"/>
  <c r="AY90" i="1"/>
  <c r="AY89" i="1"/>
  <c r="AY88" i="1"/>
  <c r="AY87" i="1"/>
  <c r="AY86" i="1"/>
  <c r="AY85" i="1"/>
  <c r="AY84" i="1"/>
  <c r="AY83" i="1"/>
  <c r="AY82" i="1"/>
  <c r="AY81" i="1"/>
  <c r="AY80" i="1"/>
  <c r="AY79" i="1"/>
  <c r="AY78" i="1"/>
  <c r="AY77" i="1"/>
  <c r="AY76" i="1"/>
  <c r="AY75" i="1"/>
  <c r="AY74" i="1"/>
  <c r="AY73" i="1"/>
  <c r="AY72" i="1"/>
  <c r="AY71" i="1"/>
  <c r="AY70" i="1"/>
  <c r="AY69" i="1"/>
  <c r="AY68" i="1"/>
  <c r="AY67" i="1"/>
  <c r="AY66" i="1"/>
  <c r="AY65" i="1"/>
  <c r="AY64" i="1"/>
  <c r="AY63" i="1"/>
  <c r="AY62" i="1"/>
  <c r="AY61" i="1"/>
  <c r="AY60" i="1"/>
  <c r="AY59" i="1"/>
  <c r="AY58" i="1"/>
  <c r="AY57" i="1"/>
  <c r="AY56" i="1"/>
  <c r="AY55" i="1"/>
  <c r="AY10" i="1"/>
  <c r="AY9" i="1"/>
  <c r="AK199" i="1"/>
  <c r="AJ199" i="1"/>
  <c r="AR39" i="1"/>
  <c r="AR40" i="1"/>
  <c r="AJ40" i="1"/>
  <c r="AL34" i="1"/>
  <c r="AO8" i="1"/>
  <c r="AI66" i="8"/>
  <c r="AH66" i="8"/>
  <c r="AI65" i="8"/>
  <c r="AH65" i="8"/>
  <c r="AI64" i="8"/>
  <c r="AH64" i="8"/>
  <c r="AJ39" i="1"/>
  <c r="AR36" i="1"/>
  <c r="AM36" i="1"/>
  <c r="AN36" i="1"/>
  <c r="AO40" i="1"/>
  <c r="AY167" i="1" l="1"/>
  <c r="AY189" i="1" s="1"/>
  <c r="AY211" i="1" s="1"/>
  <c r="AZ211" i="1"/>
  <c r="AZ212" i="1"/>
  <c r="AY168" i="1"/>
  <c r="AY187" i="1"/>
  <c r="AY209" i="1"/>
  <c r="AP34" i="1"/>
  <c r="AL8" i="1"/>
  <c r="AR42" i="1"/>
  <c r="AQ42" i="1"/>
  <c r="AM42" i="1"/>
  <c r="AL42" i="1"/>
  <c r="AK42" i="1"/>
  <c r="AR41" i="1"/>
  <c r="AQ41" i="1"/>
  <c r="AM41" i="1"/>
  <c r="AL41" i="1"/>
  <c r="AK41" i="1"/>
  <c r="AQ40" i="1"/>
  <c r="AP40" i="1"/>
  <c r="AN40" i="1"/>
  <c r="AM40" i="1"/>
  <c r="AL40" i="1"/>
  <c r="AK40" i="1"/>
  <c r="AQ39" i="1"/>
  <c r="AP39" i="1"/>
  <c r="AN39" i="1"/>
  <c r="AM39" i="1"/>
  <c r="AL39" i="1"/>
  <c r="AK39" i="1"/>
  <c r="AI42" i="1"/>
  <c r="AI41" i="1"/>
  <c r="AI40" i="1"/>
  <c r="AI39" i="1"/>
  <c r="AQ11" i="1"/>
  <c r="AR38" i="1"/>
  <c r="AJ38" i="1"/>
  <c r="AJ36" i="1"/>
  <c r="AQ12" i="1"/>
  <c r="AR12" i="1"/>
  <c r="AP12" i="1"/>
  <c r="AO12" i="1"/>
  <c r="AN12" i="1"/>
  <c r="AM12" i="1"/>
  <c r="AL12" i="1"/>
  <c r="AK12" i="1"/>
  <c r="AR11" i="1"/>
  <c r="AP11" i="1"/>
  <c r="AO11" i="1"/>
  <c r="AN11" i="1"/>
  <c r="AM11" i="1"/>
  <c r="AL11" i="1"/>
  <c r="AK11" i="1"/>
  <c r="AJ12" i="1"/>
  <c r="AI12" i="1"/>
  <c r="AJ11" i="1"/>
  <c r="AI11" i="1"/>
  <c r="AO32" i="1"/>
  <c r="AJ32" i="1"/>
  <c r="AY190" i="1" l="1"/>
  <c r="AY212" i="1" s="1"/>
  <c r="AQ199" i="1" l="1"/>
  <c r="AP199" i="1"/>
  <c r="AO199" i="1"/>
  <c r="AN199" i="1"/>
  <c r="AM199" i="1"/>
  <c r="AR203" i="1"/>
  <c r="AQ203" i="1"/>
  <c r="AP203" i="1"/>
  <c r="AO203" i="1"/>
  <c r="AN203" i="1"/>
  <c r="AM203" i="1"/>
  <c r="AL203" i="1"/>
  <c r="AK203" i="1"/>
  <c r="AJ203" i="1"/>
  <c r="AI203" i="1"/>
  <c r="AR202" i="1"/>
  <c r="AQ202" i="1"/>
  <c r="AP202" i="1"/>
  <c r="AO202" i="1"/>
  <c r="AN202" i="1"/>
  <c r="AM202" i="1"/>
  <c r="AL202" i="1"/>
  <c r="AK202" i="1"/>
  <c r="AJ202" i="1"/>
  <c r="AI202" i="1"/>
  <c r="AM185" i="1"/>
  <c r="AO36" i="1"/>
  <c r="AR207" i="1"/>
  <c r="AQ207" i="1"/>
  <c r="AO207" i="1"/>
  <c r="AM207" i="1"/>
  <c r="AL207" i="1"/>
  <c r="AK207" i="1"/>
  <c r="AJ207" i="1"/>
  <c r="AI207" i="1"/>
  <c r="AR206" i="1"/>
  <c r="AQ206" i="1"/>
  <c r="AP206" i="1"/>
  <c r="AO206" i="1"/>
  <c r="AN206" i="1"/>
  <c r="AM206" i="1"/>
  <c r="AL206" i="1"/>
  <c r="AK206" i="1"/>
  <c r="AJ206" i="1"/>
  <c r="AI206" i="1"/>
  <c r="AR205" i="1"/>
  <c r="AQ205" i="1"/>
  <c r="AP205" i="1"/>
  <c r="AO205" i="1"/>
  <c r="AN205" i="1"/>
  <c r="AM205" i="1"/>
  <c r="AL205" i="1"/>
  <c r="AK205" i="1"/>
  <c r="AJ205" i="1"/>
  <c r="AI205" i="1"/>
  <c r="AR204" i="1"/>
  <c r="AQ204" i="1"/>
  <c r="AP204" i="1"/>
  <c r="AO204" i="1"/>
  <c r="AN204" i="1"/>
  <c r="AM204" i="1"/>
  <c r="AL204" i="1"/>
  <c r="AK204" i="1"/>
  <c r="AJ204" i="1"/>
  <c r="AI204" i="1"/>
  <c r="AQ198" i="1"/>
  <c r="AP198" i="1"/>
  <c r="AO198" i="1"/>
  <c r="AN198" i="1"/>
  <c r="AM198" i="1"/>
  <c r="AR185" i="1"/>
  <c r="AQ185" i="1"/>
  <c r="AP185" i="1"/>
  <c r="AO185" i="1"/>
  <c r="AN185" i="1"/>
  <c r="AL185" i="1"/>
  <c r="AK185" i="1"/>
  <c r="AJ185" i="1"/>
  <c r="AI185" i="1"/>
  <c r="AR184" i="1"/>
  <c r="AQ184" i="1"/>
  <c r="AP184" i="1"/>
  <c r="AO184" i="1"/>
  <c r="AN184" i="1"/>
  <c r="AM184" i="1"/>
  <c r="AL184" i="1"/>
  <c r="AK184" i="1"/>
  <c r="AJ184" i="1"/>
  <c r="AI184" i="1"/>
  <c r="AR183" i="1"/>
  <c r="AQ183" i="1"/>
  <c r="AP183" i="1"/>
  <c r="AO183" i="1"/>
  <c r="AN183" i="1"/>
  <c r="AM183" i="1"/>
  <c r="AL183" i="1"/>
  <c r="AK183" i="1"/>
  <c r="AJ183" i="1"/>
  <c r="AR182" i="1"/>
  <c r="AQ182" i="1"/>
  <c r="AP182" i="1"/>
  <c r="AO182" i="1"/>
  <c r="AN182" i="1"/>
  <c r="AM182" i="1"/>
  <c r="AL182" i="1"/>
  <c r="AK182" i="1"/>
  <c r="AJ182" i="1"/>
  <c r="AR181" i="1"/>
  <c r="AQ181" i="1"/>
  <c r="AP181" i="1"/>
  <c r="AO181" i="1"/>
  <c r="AN181" i="1"/>
  <c r="AM181" i="1"/>
  <c r="AL181" i="1"/>
  <c r="AK181" i="1"/>
  <c r="AJ181" i="1"/>
  <c r="AI181" i="1"/>
  <c r="AR180" i="1"/>
  <c r="AQ180" i="1"/>
  <c r="AP180" i="1"/>
  <c r="AO180" i="1"/>
  <c r="AN180" i="1"/>
  <c r="AM180" i="1"/>
  <c r="AL180" i="1"/>
  <c r="AK180" i="1"/>
  <c r="AJ180" i="1"/>
  <c r="AI180" i="1"/>
  <c r="AR176" i="1"/>
  <c r="AQ176" i="1"/>
  <c r="AP176" i="1"/>
  <c r="AO176" i="1"/>
  <c r="AN176" i="1"/>
  <c r="AM176" i="1"/>
  <c r="AL176" i="1"/>
  <c r="AK176" i="1"/>
  <c r="AJ176" i="1"/>
  <c r="AI176" i="1"/>
  <c r="AR178" i="1"/>
  <c r="AQ178" i="1"/>
  <c r="AP178" i="1"/>
  <c r="AO178" i="1"/>
  <c r="AN178" i="1"/>
  <c r="AM178" i="1"/>
  <c r="AL178" i="1"/>
  <c r="AK178" i="1"/>
  <c r="AJ178" i="1"/>
  <c r="AI178" i="1"/>
  <c r="AR174" i="1"/>
  <c r="AQ174" i="1"/>
  <c r="AP174" i="1"/>
  <c r="AO174" i="1"/>
  <c r="AN174" i="1"/>
  <c r="AM174" i="1"/>
  <c r="AL174" i="1"/>
  <c r="AK174" i="1"/>
  <c r="AJ174" i="1"/>
  <c r="AI174" i="1"/>
  <c r="AH174" i="1"/>
  <c r="AQ38" i="1"/>
  <c r="AP38" i="1"/>
  <c r="AO38" i="1"/>
  <c r="AN38" i="1"/>
  <c r="AL38" i="1"/>
  <c r="AK38" i="1"/>
  <c r="AI38" i="1"/>
  <c r="AQ37" i="1"/>
  <c r="AP37" i="1"/>
  <c r="AO37" i="1"/>
  <c r="AL37" i="1"/>
  <c r="AK37" i="1"/>
  <c r="AI37" i="1"/>
  <c r="AQ36" i="1"/>
  <c r="AP36" i="1"/>
  <c r="AK36" i="1"/>
  <c r="AI36" i="1"/>
  <c r="AQ35" i="1"/>
  <c r="AP35" i="1"/>
  <c r="AM35" i="1"/>
  <c r="AK35" i="1"/>
  <c r="AI35" i="1"/>
  <c r="AN34" i="1"/>
  <c r="AI34" i="1"/>
  <c r="AN33" i="1"/>
  <c r="AI33" i="1"/>
  <c r="AR32" i="1"/>
  <c r="AQ32" i="1"/>
  <c r="AP32" i="1"/>
  <c r="AN32" i="1"/>
  <c r="AM32" i="1"/>
  <c r="AL32" i="1"/>
  <c r="AK32" i="1"/>
  <c r="AI32" i="1"/>
  <c r="AR31" i="1"/>
  <c r="AQ31" i="1"/>
  <c r="AP31" i="1"/>
  <c r="AN31" i="1"/>
  <c r="AM31" i="1"/>
  <c r="AL31" i="1"/>
  <c r="AK31" i="1"/>
  <c r="AI31" i="1"/>
  <c r="AR30" i="1"/>
  <c r="AQ30" i="1"/>
  <c r="AP30" i="1"/>
  <c r="AO30" i="1"/>
  <c r="AN30" i="1"/>
  <c r="AM30" i="1"/>
  <c r="AL30" i="1"/>
  <c r="AK30" i="1"/>
  <c r="AJ30" i="1"/>
  <c r="AI30" i="1"/>
  <c r="AR29" i="1"/>
  <c r="AQ29" i="1"/>
  <c r="AP29" i="1"/>
  <c r="AO29" i="1"/>
  <c r="AN29" i="1"/>
  <c r="AM29" i="1"/>
  <c r="AL29" i="1"/>
  <c r="AK29" i="1"/>
  <c r="AJ29" i="1"/>
  <c r="AI29" i="1"/>
  <c r="AR28" i="1"/>
  <c r="AQ28" i="1"/>
  <c r="AP28" i="1"/>
  <c r="AO28" i="1"/>
  <c r="AN28" i="1"/>
  <c r="AM28" i="1"/>
  <c r="AL28" i="1"/>
  <c r="AK28" i="1"/>
  <c r="AJ28" i="1"/>
  <c r="AI28" i="1"/>
  <c r="AR27" i="1"/>
  <c r="AQ27" i="1"/>
  <c r="AP27" i="1"/>
  <c r="AO27" i="1"/>
  <c r="AN27" i="1"/>
  <c r="AM27" i="1"/>
  <c r="AL27" i="1"/>
  <c r="AK27" i="1"/>
  <c r="AJ27" i="1"/>
  <c r="AI27" i="1"/>
  <c r="AR26" i="1"/>
  <c r="AQ26" i="1"/>
  <c r="AP26" i="1"/>
  <c r="AO26" i="1"/>
  <c r="AN26" i="1"/>
  <c r="AM26" i="1"/>
  <c r="AL26" i="1"/>
  <c r="AK26" i="1"/>
  <c r="AJ26" i="1"/>
  <c r="AI26" i="1"/>
  <c r="AR25" i="1"/>
  <c r="AQ25" i="1"/>
  <c r="AP25" i="1"/>
  <c r="AO25" i="1"/>
  <c r="AN25" i="1"/>
  <c r="AM25" i="1"/>
  <c r="AL25" i="1"/>
  <c r="AK25" i="1"/>
  <c r="AJ25" i="1"/>
  <c r="AI25" i="1"/>
  <c r="AR24" i="1"/>
  <c r="AQ24" i="1"/>
  <c r="AP24" i="1"/>
  <c r="AO24" i="1"/>
  <c r="AN24" i="1"/>
  <c r="AM24" i="1"/>
  <c r="AL24" i="1"/>
  <c r="AK24" i="1"/>
  <c r="AJ24" i="1"/>
  <c r="AI24" i="1"/>
  <c r="AR23" i="1"/>
  <c r="AQ23" i="1"/>
  <c r="AP23" i="1"/>
  <c r="AO23" i="1"/>
  <c r="AN23" i="1"/>
  <c r="AM23" i="1"/>
  <c r="AL23" i="1"/>
  <c r="AK23" i="1"/>
  <c r="AJ23" i="1"/>
  <c r="AI23" i="1"/>
  <c r="AR22" i="1"/>
  <c r="AQ22" i="1"/>
  <c r="AP22" i="1"/>
  <c r="AO22" i="1"/>
  <c r="AN22" i="1"/>
  <c r="AM22" i="1"/>
  <c r="AL22" i="1"/>
  <c r="AK22" i="1"/>
  <c r="AJ22" i="1"/>
  <c r="AI22" i="1"/>
  <c r="AR21" i="1"/>
  <c r="AQ21" i="1"/>
  <c r="AP21" i="1"/>
  <c r="AO21" i="1"/>
  <c r="AN21" i="1"/>
  <c r="AM21" i="1"/>
  <c r="AL21" i="1"/>
  <c r="AK21" i="1"/>
  <c r="AJ21" i="1"/>
  <c r="AI21" i="1"/>
  <c r="AR20" i="1"/>
  <c r="AQ20" i="1"/>
  <c r="AP20" i="1"/>
  <c r="AO20" i="1"/>
  <c r="AN20" i="1"/>
  <c r="AM20" i="1"/>
  <c r="AL20" i="1"/>
  <c r="AK20" i="1"/>
  <c r="AJ20" i="1"/>
  <c r="AI20" i="1"/>
  <c r="AR19" i="1"/>
  <c r="AQ19" i="1"/>
  <c r="AP19" i="1"/>
  <c r="AO19" i="1"/>
  <c r="AN19" i="1"/>
  <c r="AM19" i="1"/>
  <c r="AL19" i="1"/>
  <c r="AK19" i="1"/>
  <c r="AJ19" i="1"/>
  <c r="AI19" i="1"/>
  <c r="AR18" i="1"/>
  <c r="AQ18" i="1"/>
  <c r="AP18" i="1"/>
  <c r="AO18" i="1"/>
  <c r="AN18" i="1"/>
  <c r="AM18" i="1"/>
  <c r="AL18" i="1"/>
  <c r="AK18" i="1"/>
  <c r="AJ18" i="1"/>
  <c r="AI18" i="1"/>
  <c r="AR17" i="1"/>
  <c r="AQ17" i="1"/>
  <c r="AP17" i="1"/>
  <c r="AO17" i="1"/>
  <c r="AN17" i="1"/>
  <c r="AM17" i="1"/>
  <c r="AL17" i="1"/>
  <c r="AK17" i="1"/>
  <c r="AJ17" i="1"/>
  <c r="AI17" i="1"/>
  <c r="AR16" i="1"/>
  <c r="AQ16" i="1"/>
  <c r="AP16" i="1"/>
  <c r="AO16" i="1"/>
  <c r="AN16" i="1"/>
  <c r="AM16" i="1"/>
  <c r="AL16" i="1"/>
  <c r="AK16" i="1"/>
  <c r="AJ16" i="1"/>
  <c r="AI16" i="1"/>
  <c r="AR15" i="1"/>
  <c r="AQ15" i="1"/>
  <c r="AP15" i="1"/>
  <c r="AO15" i="1"/>
  <c r="AN15" i="1"/>
  <c r="AM15" i="1"/>
  <c r="AL15" i="1"/>
  <c r="AK15" i="1"/>
  <c r="AJ15" i="1"/>
  <c r="AI15" i="1"/>
  <c r="AR14" i="1"/>
  <c r="AQ14" i="1"/>
  <c r="AP14" i="1"/>
  <c r="AO14" i="1"/>
  <c r="AN14" i="1"/>
  <c r="AM14" i="1"/>
  <c r="AL14" i="1"/>
  <c r="AK14" i="1"/>
  <c r="AJ14" i="1"/>
  <c r="AI14" i="1"/>
  <c r="AR13" i="1"/>
  <c r="AQ13" i="1"/>
  <c r="AP13" i="1"/>
  <c r="AO13" i="1"/>
  <c r="AN13" i="1"/>
  <c r="AM13" i="1"/>
  <c r="AL13" i="1"/>
  <c r="AK13" i="1"/>
  <c r="AJ13" i="1"/>
  <c r="AI13" i="1"/>
  <c r="AR8" i="1"/>
  <c r="AN8" i="1"/>
  <c r="AK8" i="1"/>
  <c r="AJ8" i="1"/>
  <c r="AI8" i="1"/>
  <c r="AR7" i="1"/>
  <c r="AN7" i="1"/>
  <c r="AK7" i="1"/>
  <c r="AJ7" i="1"/>
  <c r="AI7" i="1"/>
  <c r="AF206" i="1"/>
  <c r="AE206" i="1"/>
  <c r="AC206" i="1"/>
  <c r="AB206" i="1"/>
  <c r="Z206" i="1"/>
  <c r="Z198" i="1"/>
  <c r="AG198" i="1"/>
  <c r="AF198" i="1"/>
  <c r="AC198" i="1"/>
  <c r="AB198" i="1"/>
  <c r="AA198" i="1"/>
  <c r="Y198" i="1"/>
  <c r="Y200" i="1"/>
  <c r="AC200" i="1"/>
  <c r="AH200" i="1"/>
  <c r="AE200" i="1"/>
  <c r="AD200" i="1"/>
  <c r="AG200" i="1"/>
  <c r="AF200" i="1"/>
  <c r="AB200" i="1"/>
  <c r="AA200" i="1"/>
  <c r="Z200" i="1"/>
  <c r="Y201" i="1"/>
  <c r="Y182" i="1"/>
  <c r="Z37" i="1"/>
  <c r="AH37" i="1"/>
  <c r="AC37" i="1"/>
  <c r="AH35" i="1"/>
  <c r="Z35" i="1"/>
  <c r="AD35" i="1"/>
  <c r="AG33" i="1"/>
  <c r="AB33" i="1"/>
  <c r="AF33" i="1"/>
  <c r="AG25" i="1"/>
  <c r="AB25" i="1"/>
  <c r="Z25" i="1"/>
  <c r="AC23" i="1"/>
  <c r="Z23" i="1"/>
  <c r="Z21" i="1"/>
  <c r="AH21" i="1"/>
  <c r="AF21" i="1"/>
  <c r="AD21" i="1"/>
  <c r="AB21" i="1"/>
  <c r="AE11" i="1"/>
  <c r="AG11" i="1"/>
  <c r="AF11" i="1"/>
  <c r="AD11" i="1"/>
  <c r="AC11" i="1"/>
  <c r="AA11" i="1"/>
  <c r="Z11" i="1"/>
  <c r="Y11" i="1"/>
  <c r="AC31" i="1"/>
  <c r="Y31" i="1"/>
  <c r="AE31" i="1"/>
  <c r="AF31" i="1"/>
  <c r="AG7" i="1"/>
  <c r="AA7" i="1"/>
  <c r="AC207" i="1"/>
  <c r="AH201" i="1"/>
  <c r="AG201" i="1"/>
  <c r="AE201" i="1"/>
  <c r="AC201" i="1"/>
  <c r="AA201" i="1"/>
  <c r="AF199" i="1"/>
  <c r="AA199" i="1"/>
  <c r="Y183" i="1"/>
  <c r="AH177" i="1"/>
  <c r="AG177" i="1"/>
  <c r="AF177" i="1"/>
  <c r="AE177" i="1"/>
  <c r="AD177" i="1"/>
  <c r="AC177" i="1"/>
  <c r="Y177" i="1"/>
  <c r="AH179" i="1"/>
  <c r="AG179" i="1"/>
  <c r="AF179" i="1"/>
  <c r="AE179" i="1"/>
  <c r="AD179" i="1"/>
  <c r="AC179" i="1"/>
  <c r="AB179" i="1"/>
  <c r="AA179" i="1"/>
  <c r="Z179" i="1"/>
  <c r="Y179" i="1"/>
  <c r="AH175" i="1"/>
  <c r="AG175" i="1"/>
  <c r="AF175" i="1"/>
  <c r="AE175" i="1"/>
  <c r="AD175" i="1"/>
  <c r="AC175" i="1"/>
  <c r="AB175" i="1"/>
  <c r="AA175" i="1"/>
  <c r="Z175" i="1"/>
  <c r="Y175" i="1"/>
  <c r="AH36" i="1"/>
  <c r="AE36" i="1"/>
  <c r="AD36" i="1"/>
  <c r="AB36" i="1"/>
  <c r="Z36" i="1"/>
  <c r="AH38" i="1"/>
  <c r="AC38" i="1"/>
  <c r="AG34" i="1"/>
  <c r="AF34" i="1"/>
  <c r="AC34" i="1"/>
  <c r="Z34" i="1"/>
  <c r="AG12" i="1"/>
  <c r="Y12" i="1"/>
  <c r="AG8" i="1"/>
  <c r="AE8" i="1"/>
  <c r="AA8" i="1"/>
  <c r="AO166" i="1"/>
  <c r="AN166" i="1"/>
  <c r="AO165" i="1"/>
  <c r="AN165" i="1"/>
  <c r="AO164" i="1"/>
  <c r="AN164" i="1"/>
  <c r="AO163" i="1"/>
  <c r="AN163" i="1"/>
  <c r="AO162" i="1"/>
  <c r="AN162" i="1"/>
  <c r="AO161" i="1"/>
  <c r="AN161" i="1"/>
  <c r="AO160" i="1"/>
  <c r="AN160" i="1"/>
  <c r="AO159" i="1"/>
  <c r="AN159" i="1"/>
  <c r="AO158" i="1"/>
  <c r="AN158" i="1"/>
  <c r="AO157" i="1"/>
  <c r="AN157" i="1"/>
  <c r="AO156" i="1"/>
  <c r="AN156" i="1"/>
  <c r="AO155" i="1"/>
  <c r="AN155" i="1"/>
  <c r="AO154" i="1"/>
  <c r="AN154" i="1"/>
  <c r="AO153" i="1"/>
  <c r="AN153" i="1"/>
  <c r="AO152" i="1"/>
  <c r="AN152" i="1"/>
  <c r="AO151" i="1"/>
  <c r="AN151" i="1"/>
  <c r="AO150" i="1"/>
  <c r="AN150" i="1"/>
  <c r="AO149" i="1"/>
  <c r="AN149" i="1"/>
  <c r="AO148" i="1"/>
  <c r="AN148" i="1"/>
  <c r="AO147" i="1"/>
  <c r="AN147" i="1"/>
  <c r="AO146" i="1"/>
  <c r="AN146" i="1"/>
  <c r="AO145" i="1"/>
  <c r="AN145" i="1"/>
  <c r="AO144" i="1"/>
  <c r="AN144" i="1"/>
  <c r="AO143" i="1"/>
  <c r="AN143" i="1"/>
  <c r="AO142" i="1"/>
  <c r="AN142" i="1"/>
  <c r="AO141" i="1"/>
  <c r="AN141" i="1"/>
  <c r="AO140" i="1"/>
  <c r="AN140" i="1"/>
  <c r="AO139" i="1"/>
  <c r="AN139" i="1"/>
  <c r="AO138" i="1"/>
  <c r="AN138" i="1"/>
  <c r="AO137" i="1"/>
  <c r="AN137" i="1"/>
  <c r="AO136" i="1"/>
  <c r="AN136" i="1"/>
  <c r="AO135" i="1"/>
  <c r="AN135" i="1"/>
  <c r="AO134" i="1"/>
  <c r="AN134" i="1"/>
  <c r="AO133" i="1"/>
  <c r="AN133" i="1"/>
  <c r="AO132" i="1"/>
  <c r="AN132" i="1"/>
  <c r="AO131" i="1"/>
  <c r="AN131" i="1"/>
  <c r="AO130" i="1"/>
  <c r="AN130" i="1"/>
  <c r="AO129" i="1"/>
  <c r="AN129" i="1"/>
  <c r="AO128" i="1"/>
  <c r="AN128" i="1"/>
  <c r="AO127" i="1"/>
  <c r="AN127" i="1"/>
  <c r="AO126" i="1"/>
  <c r="AN126" i="1"/>
  <c r="AO125" i="1"/>
  <c r="AN125" i="1"/>
  <c r="AO124" i="1"/>
  <c r="AN124" i="1"/>
  <c r="AO123" i="1"/>
  <c r="AN123" i="1"/>
  <c r="AO122" i="1"/>
  <c r="AN122" i="1"/>
  <c r="AO121" i="1"/>
  <c r="AN121" i="1"/>
  <c r="AO120" i="1"/>
  <c r="AN120" i="1"/>
  <c r="AO119" i="1"/>
  <c r="AN119" i="1"/>
  <c r="AO118" i="1"/>
  <c r="AN118" i="1"/>
  <c r="AO117" i="1"/>
  <c r="AN117" i="1"/>
  <c r="AO116" i="1"/>
  <c r="AN116" i="1"/>
  <c r="AO115" i="1"/>
  <c r="AN115" i="1"/>
  <c r="AO114" i="1"/>
  <c r="AN114" i="1"/>
  <c r="AO113" i="1"/>
  <c r="AN113" i="1"/>
  <c r="AO112" i="1"/>
  <c r="AN112" i="1"/>
  <c r="AO111" i="1"/>
  <c r="AN111" i="1"/>
  <c r="AO110" i="1"/>
  <c r="AN110" i="1"/>
  <c r="AO109" i="1"/>
  <c r="AN109" i="1"/>
  <c r="AO108" i="1"/>
  <c r="AN108" i="1"/>
  <c r="AO107" i="1"/>
  <c r="AN107" i="1"/>
  <c r="AO106" i="1"/>
  <c r="AN106" i="1"/>
  <c r="AO105" i="1"/>
  <c r="AN105" i="1"/>
  <c r="AO104" i="1"/>
  <c r="AN104" i="1"/>
  <c r="AO103" i="1"/>
  <c r="AN103" i="1"/>
  <c r="AO102" i="1"/>
  <c r="AN102" i="1"/>
  <c r="AO101" i="1"/>
  <c r="AN101" i="1"/>
  <c r="AO100" i="1"/>
  <c r="AN100" i="1"/>
  <c r="AO99" i="1"/>
  <c r="AN99" i="1"/>
  <c r="AO98" i="1"/>
  <c r="AN98" i="1"/>
  <c r="AO97" i="1"/>
  <c r="AN97" i="1"/>
  <c r="AO96" i="1"/>
  <c r="AN96" i="1"/>
  <c r="AO95" i="1"/>
  <c r="AN95" i="1"/>
  <c r="AO94" i="1"/>
  <c r="AN94" i="1"/>
  <c r="AO93" i="1"/>
  <c r="AN93" i="1"/>
  <c r="AO92" i="1"/>
  <c r="AN92" i="1"/>
  <c r="AO91" i="1"/>
  <c r="AN91" i="1"/>
  <c r="AO90" i="1"/>
  <c r="AN90" i="1"/>
  <c r="AO89" i="1"/>
  <c r="AN89" i="1"/>
  <c r="AO88" i="1"/>
  <c r="AN88" i="1"/>
  <c r="AO87" i="1"/>
  <c r="AN87" i="1"/>
  <c r="AO86" i="1"/>
  <c r="AN86" i="1"/>
  <c r="AO85" i="1"/>
  <c r="AN85" i="1"/>
  <c r="AO84" i="1"/>
  <c r="AN84" i="1"/>
  <c r="AO83" i="1"/>
  <c r="AN83" i="1"/>
  <c r="AO82" i="1"/>
  <c r="AN82" i="1"/>
  <c r="AO81" i="1"/>
  <c r="AN81" i="1"/>
  <c r="AO80" i="1"/>
  <c r="AN80" i="1"/>
  <c r="AO79" i="1"/>
  <c r="AN79" i="1"/>
  <c r="AO78" i="1"/>
  <c r="AN78" i="1"/>
  <c r="AO77" i="1"/>
  <c r="AN77" i="1"/>
  <c r="AO76" i="1"/>
  <c r="AN76" i="1"/>
  <c r="AO75" i="1"/>
  <c r="AN75" i="1"/>
  <c r="AO74" i="1"/>
  <c r="AN74" i="1"/>
  <c r="AO73" i="1"/>
  <c r="AN73" i="1"/>
  <c r="AO72" i="1"/>
  <c r="AN72" i="1"/>
  <c r="AO71" i="1"/>
  <c r="AN71" i="1"/>
  <c r="AO70" i="1"/>
  <c r="AN70" i="1"/>
  <c r="AO69" i="1"/>
  <c r="AN69" i="1"/>
  <c r="AO68" i="1"/>
  <c r="AN68" i="1"/>
  <c r="AO67" i="1"/>
  <c r="AN67" i="1"/>
  <c r="AO66" i="1"/>
  <c r="AN66" i="1"/>
  <c r="AO65" i="1"/>
  <c r="AN65" i="1"/>
  <c r="AO64" i="1"/>
  <c r="AN64" i="1"/>
  <c r="AO63" i="1"/>
  <c r="AN63" i="1"/>
  <c r="AO62" i="1"/>
  <c r="AN62" i="1"/>
  <c r="AO61" i="1"/>
  <c r="AN61" i="1"/>
  <c r="AO60" i="1"/>
  <c r="AN60" i="1"/>
  <c r="AO59" i="1"/>
  <c r="AN59" i="1"/>
  <c r="AO58" i="1"/>
  <c r="AN58" i="1"/>
  <c r="AO57" i="1"/>
  <c r="AN57" i="1"/>
  <c r="AO56" i="1"/>
  <c r="AN56" i="1"/>
  <c r="AO55" i="1"/>
  <c r="AN55" i="1"/>
  <c r="AO54" i="1"/>
  <c r="AN54" i="1"/>
  <c r="AO53" i="1"/>
  <c r="AN53" i="1"/>
  <c r="AO52" i="1"/>
  <c r="AN52" i="1"/>
  <c r="AO51" i="1"/>
  <c r="AN51" i="1"/>
  <c r="AO50" i="1"/>
  <c r="AN50" i="1"/>
  <c r="AO49" i="1"/>
  <c r="AN49" i="1"/>
  <c r="AO48" i="1"/>
  <c r="AN48" i="1"/>
  <c r="AO47" i="1"/>
  <c r="AN47" i="1"/>
  <c r="AO46" i="1"/>
  <c r="AN46" i="1"/>
  <c r="AO45" i="1"/>
  <c r="AN45" i="1"/>
  <c r="AO44" i="1"/>
  <c r="AN44" i="1"/>
  <c r="AO43" i="1"/>
  <c r="AN43" i="1"/>
  <c r="AO10" i="1"/>
  <c r="AN10" i="1"/>
  <c r="AO9" i="1"/>
  <c r="AN9" i="1"/>
  <c r="AN208" i="1" l="1"/>
  <c r="AN209" i="1"/>
  <c r="AN167" i="1"/>
  <c r="AO168" i="1"/>
  <c r="AN168" i="1"/>
  <c r="AO167" i="1"/>
  <c r="AN186" i="1"/>
  <c r="AN187" i="1"/>
  <c r="AO209" i="1"/>
  <c r="AO187" i="1"/>
  <c r="AO186" i="1"/>
  <c r="AO208" i="1"/>
  <c r="AI45" i="8"/>
  <c r="AI42" i="8" s="1"/>
  <c r="AI54" i="8"/>
  <c r="AH54" i="8"/>
  <c r="AI53" i="8"/>
  <c r="AH53" i="8"/>
  <c r="AI52" i="8"/>
  <c r="AH52" i="8"/>
  <c r="AI51" i="8"/>
  <c r="AH51" i="8"/>
  <c r="AI50" i="8"/>
  <c r="AH50" i="8"/>
  <c r="AI49" i="8"/>
  <c r="AH49" i="8"/>
  <c r="AI48" i="8"/>
  <c r="AH48" i="8"/>
  <c r="AI47" i="8"/>
  <c r="AH47" i="8"/>
  <c r="AI46" i="8"/>
  <c r="AH46" i="8"/>
  <c r="AH45" i="8"/>
  <c r="AF22" i="1"/>
  <c r="Y32" i="1"/>
  <c r="AF32" i="1"/>
  <c r="AA32" i="1"/>
  <c r="AD201" i="1"/>
  <c r="AB199" i="1"/>
  <c r="Z199" i="1"/>
  <c r="AB177" i="1"/>
  <c r="AA177" i="1"/>
  <c r="Z177" i="1"/>
  <c r="AC27" i="1"/>
  <c r="Z38" i="1"/>
  <c r="AB35" i="1"/>
  <c r="Z33" i="1"/>
  <c r="AB34" i="1"/>
  <c r="AE12" i="1"/>
  <c r="AD12" i="1"/>
  <c r="AC12" i="1"/>
  <c r="AA12" i="1"/>
  <c r="Z12" i="1"/>
  <c r="AC28" i="1"/>
  <c r="AH28" i="1"/>
  <c r="AG28" i="1"/>
  <c r="AF28" i="1"/>
  <c r="AE28" i="1"/>
  <c r="AD28" i="1"/>
  <c r="AB28" i="1"/>
  <c r="AA28" i="1"/>
  <c r="Z28" i="1"/>
  <c r="Y28" i="1"/>
  <c r="AH27" i="1"/>
  <c r="AG27" i="1"/>
  <c r="AF27" i="1"/>
  <c r="AE27" i="1"/>
  <c r="AD27" i="1"/>
  <c r="AB27" i="1"/>
  <c r="AA27" i="1"/>
  <c r="Z27" i="1"/>
  <c r="Y27" i="1"/>
  <c r="AG26" i="1"/>
  <c r="AB26" i="1"/>
  <c r="Y38" i="1"/>
  <c r="Y37" i="1"/>
  <c r="Y36" i="1"/>
  <c r="Y35" i="1"/>
  <c r="AG38" i="1"/>
  <c r="AF38" i="1"/>
  <c r="AE38" i="1"/>
  <c r="AD38" i="1"/>
  <c r="AB38" i="1"/>
  <c r="AA38" i="1"/>
  <c r="AG37" i="1"/>
  <c r="AF37" i="1"/>
  <c r="AE37" i="1"/>
  <c r="AD37" i="1"/>
  <c r="AB37" i="1"/>
  <c r="AA37" i="1"/>
  <c r="AG36" i="1"/>
  <c r="AF36" i="1"/>
  <c r="AC36" i="1"/>
  <c r="AA36" i="1"/>
  <c r="AG35" i="1"/>
  <c r="AF35" i="1"/>
  <c r="AE35" i="1"/>
  <c r="AC35" i="1"/>
  <c r="AA35" i="1"/>
  <c r="AH22" i="1"/>
  <c r="AB22" i="1"/>
  <c r="Z22" i="1"/>
  <c r="Y22" i="1"/>
  <c r="AF201" i="1"/>
  <c r="AB201" i="1"/>
  <c r="Z201" i="1"/>
  <c r="AF207" i="1"/>
  <c r="AE207" i="1"/>
  <c r="Z207" i="1"/>
  <c r="Y199" i="1"/>
  <c r="AF185" i="1"/>
  <c r="AC185" i="1"/>
  <c r="Y34" i="1"/>
  <c r="Y33" i="1"/>
  <c r="AH34" i="1"/>
  <c r="AE34" i="1"/>
  <c r="AD34" i="1"/>
  <c r="AA34" i="1"/>
  <c r="AH33" i="1"/>
  <c r="AE33" i="1"/>
  <c r="AD33" i="1"/>
  <c r="AC33" i="1"/>
  <c r="AA33" i="1"/>
  <c r="AE32" i="1"/>
  <c r="AD32" i="1"/>
  <c r="Z32" i="1"/>
  <c r="AG24" i="1"/>
  <c r="AC24" i="1"/>
  <c r="Z24" i="1"/>
  <c r="AD22" i="1"/>
  <c r="AF12" i="1"/>
  <c r="AF8" i="1"/>
  <c r="AC8" i="1"/>
  <c r="AN189" i="1" l="1"/>
  <c r="AN211" i="1" s="1"/>
  <c r="AN190" i="1"/>
  <c r="AN212" i="1" s="1"/>
  <c r="AO190" i="1"/>
  <c r="AO212" i="1" s="1"/>
  <c r="AO189" i="1"/>
  <c r="AO211" i="1" s="1"/>
  <c r="Z31" i="1"/>
  <c r="AF7" i="1"/>
  <c r="AE7" i="1"/>
  <c r="AC7" i="1"/>
  <c r="AB7" i="1"/>
  <c r="AG23" i="1"/>
  <c r="Y24" i="1"/>
  <c r="Y23" i="1"/>
  <c r="AH24" i="1"/>
  <c r="AF24" i="1"/>
  <c r="AE24" i="1"/>
  <c r="AD24" i="1"/>
  <c r="AB24" i="1"/>
  <c r="AA24" i="1"/>
  <c r="AH23" i="1"/>
  <c r="AF23" i="1"/>
  <c r="AE23" i="1"/>
  <c r="AD23" i="1"/>
  <c r="AB23" i="1"/>
  <c r="AA23" i="1"/>
  <c r="AC32" i="1"/>
  <c r="Z26" i="1"/>
  <c r="AH176" i="1"/>
  <c r="AG176" i="1"/>
  <c r="AF176" i="1"/>
  <c r="AE176" i="1"/>
  <c r="AD176" i="1"/>
  <c r="AC176" i="1"/>
  <c r="AB176" i="1"/>
  <c r="AA176" i="1"/>
  <c r="Z176" i="1"/>
  <c r="Y176" i="1"/>
  <c r="AH178" i="1"/>
  <c r="AG178" i="1"/>
  <c r="AF178" i="1"/>
  <c r="AE178" i="1"/>
  <c r="AD178" i="1"/>
  <c r="AC178" i="1"/>
  <c r="AB178" i="1"/>
  <c r="AA178" i="1"/>
  <c r="Z178" i="1"/>
  <c r="Y178" i="1"/>
  <c r="AG174" i="1"/>
  <c r="AF174" i="1"/>
  <c r="AE174" i="1"/>
  <c r="AD174" i="1"/>
  <c r="AC174" i="1"/>
  <c r="AB174" i="1"/>
  <c r="AA174" i="1"/>
  <c r="Z174" i="1"/>
  <c r="Y174" i="1"/>
  <c r="AB207" i="1"/>
  <c r="AG199" i="1"/>
  <c r="AC199" i="1"/>
  <c r="AF183" i="1"/>
  <c r="AC183" i="1"/>
  <c r="AH32" i="1"/>
  <c r="AG32" i="1"/>
  <c r="AB32" i="1"/>
  <c r="AH31" i="1"/>
  <c r="AG31" i="1"/>
  <c r="AD31" i="1"/>
  <c r="AB31" i="1"/>
  <c r="AA31" i="1"/>
  <c r="AB8" i="1" l="1"/>
  <c r="AH207" i="1"/>
  <c r="AG207" i="1"/>
  <c r="AD207" i="1"/>
  <c r="AA207" i="1"/>
  <c r="Y207" i="1"/>
  <c r="AH206" i="1"/>
  <c r="AG206" i="1"/>
  <c r="AD206" i="1"/>
  <c r="AA206" i="1"/>
  <c r="Y206" i="1"/>
  <c r="AH205" i="1"/>
  <c r="AG205" i="1"/>
  <c r="AF205" i="1"/>
  <c r="AE205" i="1"/>
  <c r="AD205" i="1"/>
  <c r="AC205" i="1"/>
  <c r="AB205" i="1"/>
  <c r="AA205" i="1"/>
  <c r="Z205" i="1"/>
  <c r="Y205" i="1"/>
  <c r="AH204" i="1"/>
  <c r="AG204" i="1"/>
  <c r="AF204" i="1"/>
  <c r="AE204" i="1"/>
  <c r="AD204" i="1"/>
  <c r="AC204" i="1"/>
  <c r="AB204" i="1"/>
  <c r="AA204" i="1"/>
  <c r="Z204" i="1"/>
  <c r="Y204" i="1"/>
  <c r="AH203" i="1"/>
  <c r="AG203" i="1"/>
  <c r="AF203" i="1"/>
  <c r="AE203" i="1"/>
  <c r="AD203" i="1"/>
  <c r="AC203" i="1"/>
  <c r="AB203" i="1"/>
  <c r="AA203" i="1"/>
  <c r="Z203" i="1"/>
  <c r="Y203" i="1"/>
  <c r="AH202" i="1"/>
  <c r="AG202" i="1"/>
  <c r="AF202" i="1"/>
  <c r="AE202" i="1"/>
  <c r="AD202" i="1"/>
  <c r="AC202" i="1"/>
  <c r="AB202" i="1"/>
  <c r="AA202" i="1"/>
  <c r="Z202" i="1"/>
  <c r="Y202" i="1"/>
  <c r="AH199" i="1"/>
  <c r="AE199" i="1"/>
  <c r="AD199" i="1"/>
  <c r="AH198" i="1"/>
  <c r="AE198" i="1"/>
  <c r="AD198" i="1"/>
  <c r="AH185" i="1"/>
  <c r="AG185" i="1"/>
  <c r="AE185" i="1"/>
  <c r="AD185" i="1"/>
  <c r="AB185" i="1"/>
  <c r="AA185" i="1"/>
  <c r="Z185" i="1"/>
  <c r="Y185" i="1"/>
  <c r="AH184" i="1"/>
  <c r="AG184" i="1"/>
  <c r="AF184" i="1"/>
  <c r="AE184" i="1"/>
  <c r="AD184" i="1"/>
  <c r="AC184" i="1"/>
  <c r="AB184" i="1"/>
  <c r="AA184" i="1"/>
  <c r="Z184" i="1"/>
  <c r="Y184" i="1"/>
  <c r="AH183" i="1"/>
  <c r="AG183" i="1"/>
  <c r="AE183" i="1"/>
  <c r="AD183" i="1"/>
  <c r="AB183" i="1"/>
  <c r="AA183" i="1"/>
  <c r="Z183" i="1"/>
  <c r="AH182" i="1"/>
  <c r="AG182" i="1"/>
  <c r="AF182" i="1"/>
  <c r="AE182" i="1"/>
  <c r="AD182" i="1"/>
  <c r="AC182" i="1"/>
  <c r="AB182" i="1"/>
  <c r="AA182" i="1"/>
  <c r="Z182" i="1"/>
  <c r="AH181" i="1"/>
  <c r="AG181" i="1"/>
  <c r="AF181" i="1"/>
  <c r="AE181" i="1"/>
  <c r="AD181" i="1"/>
  <c r="AC181" i="1"/>
  <c r="AB181" i="1"/>
  <c r="AA181" i="1"/>
  <c r="Z181" i="1"/>
  <c r="Y181" i="1"/>
  <c r="AH180" i="1"/>
  <c r="AG180" i="1"/>
  <c r="AF180" i="1"/>
  <c r="AE180" i="1"/>
  <c r="AD180" i="1"/>
  <c r="AC180" i="1"/>
  <c r="AB180" i="1"/>
  <c r="AA180" i="1"/>
  <c r="Z180" i="1"/>
  <c r="Y180" i="1"/>
  <c r="AH26" i="1"/>
  <c r="AF26" i="1"/>
  <c r="AE26" i="1"/>
  <c r="AD26" i="1"/>
  <c r="AC26" i="1"/>
  <c r="AA26" i="1"/>
  <c r="Y26" i="1"/>
  <c r="AH25" i="1"/>
  <c r="AF25" i="1"/>
  <c r="AE25" i="1"/>
  <c r="AD25" i="1"/>
  <c r="AC25" i="1"/>
  <c r="AA25" i="1"/>
  <c r="Y25" i="1"/>
  <c r="AG22" i="1"/>
  <c r="AE22" i="1"/>
  <c r="AC22" i="1"/>
  <c r="AA22" i="1"/>
  <c r="AG21" i="1"/>
  <c r="AE21" i="1"/>
  <c r="AC21" i="1"/>
  <c r="AA21" i="1"/>
  <c r="Y21" i="1"/>
  <c r="AH20" i="1"/>
  <c r="AG20" i="1"/>
  <c r="AF20" i="1"/>
  <c r="AE20" i="1"/>
  <c r="AD20" i="1"/>
  <c r="AC20" i="1"/>
  <c r="AB20" i="1"/>
  <c r="AA20" i="1"/>
  <c r="Z20" i="1"/>
  <c r="Y20" i="1"/>
  <c r="AH19" i="1"/>
  <c r="AG19" i="1"/>
  <c r="AF19" i="1"/>
  <c r="AE19" i="1"/>
  <c r="AD19" i="1"/>
  <c r="AC19" i="1"/>
  <c r="AB19" i="1"/>
  <c r="AA19" i="1"/>
  <c r="Z19" i="1"/>
  <c r="Y19" i="1"/>
  <c r="AH18" i="1"/>
  <c r="AG18" i="1"/>
  <c r="AF18" i="1"/>
  <c r="AE18" i="1"/>
  <c r="AD18" i="1"/>
  <c r="AC18" i="1"/>
  <c r="AB18" i="1"/>
  <c r="AA18" i="1"/>
  <c r="Z18" i="1"/>
  <c r="Y18" i="1"/>
  <c r="AH17" i="1"/>
  <c r="AG17" i="1"/>
  <c r="AF17" i="1"/>
  <c r="AE17" i="1"/>
  <c r="AD17" i="1"/>
  <c r="AC17" i="1"/>
  <c r="AB17" i="1"/>
  <c r="AA17" i="1"/>
  <c r="Z17" i="1"/>
  <c r="Y17" i="1"/>
  <c r="AH16" i="1"/>
  <c r="AG16" i="1"/>
  <c r="AF16" i="1"/>
  <c r="AE16" i="1"/>
  <c r="AD16" i="1"/>
  <c r="AC16" i="1"/>
  <c r="AB16" i="1"/>
  <c r="AA16" i="1"/>
  <c r="Z16" i="1"/>
  <c r="Y16" i="1"/>
  <c r="AH15" i="1"/>
  <c r="AG15" i="1"/>
  <c r="AF15" i="1"/>
  <c r="AE15" i="1"/>
  <c r="AD15" i="1"/>
  <c r="AC15" i="1"/>
  <c r="AB15" i="1"/>
  <c r="AA15" i="1"/>
  <c r="Z15" i="1"/>
  <c r="Y15" i="1"/>
  <c r="AH14" i="1"/>
  <c r="AG14" i="1"/>
  <c r="AF14" i="1"/>
  <c r="AE14" i="1"/>
  <c r="AD14" i="1"/>
  <c r="AC14" i="1"/>
  <c r="AB14" i="1"/>
  <c r="AA14" i="1"/>
  <c r="Z14" i="1"/>
  <c r="Y14" i="1"/>
  <c r="AH13" i="1"/>
  <c r="AG13" i="1"/>
  <c r="AF13" i="1"/>
  <c r="AE13" i="1"/>
  <c r="AD13" i="1"/>
  <c r="AC13" i="1"/>
  <c r="AB13" i="1"/>
  <c r="AA13" i="1"/>
  <c r="Z13" i="1"/>
  <c r="Y13" i="1"/>
  <c r="AH12" i="1"/>
  <c r="AB12" i="1"/>
  <c r="AH11" i="1"/>
  <c r="AB11" i="1"/>
  <c r="AH10" i="1"/>
  <c r="AG10" i="1"/>
  <c r="AF10" i="1"/>
  <c r="AE10" i="1"/>
  <c r="AD10" i="1"/>
  <c r="AC10" i="1"/>
  <c r="AB10" i="1"/>
  <c r="AA10" i="1"/>
  <c r="Z10" i="1"/>
  <c r="Y10" i="1"/>
  <c r="P9" i="10" s="1"/>
  <c r="AH9" i="1"/>
  <c r="AG9" i="1"/>
  <c r="AF9" i="1"/>
  <c r="AE9" i="1"/>
  <c r="AD9" i="1"/>
  <c r="AC9" i="1"/>
  <c r="AB9" i="1"/>
  <c r="AA9" i="1"/>
  <c r="Z9" i="1"/>
  <c r="Y9" i="1"/>
  <c r="AH8" i="1"/>
  <c r="AD8" i="1"/>
  <c r="Z8" i="1"/>
  <c r="Y8" i="1"/>
  <c r="AH7" i="1"/>
  <c r="AD7" i="1"/>
  <c r="Z7" i="1"/>
  <c r="Y7" i="1"/>
  <c r="X199" i="1"/>
  <c r="P8" i="10" l="1"/>
  <c r="H9" i="1"/>
  <c r="H167" i="1" s="1"/>
  <c r="I9" i="1"/>
  <c r="I167" i="1" s="1"/>
  <c r="AH209" i="1"/>
  <c r="AG209" i="1"/>
  <c r="AF209" i="1"/>
  <c r="AE209" i="1"/>
  <c r="AD209" i="1"/>
  <c r="AC209" i="1"/>
  <c r="AB209" i="1"/>
  <c r="AA209" i="1"/>
  <c r="Z209" i="1"/>
  <c r="Y209" i="1"/>
  <c r="AH208" i="1"/>
  <c r="AG208" i="1"/>
  <c r="AF208" i="1"/>
  <c r="AE208" i="1"/>
  <c r="AD208" i="1"/>
  <c r="AC208" i="1"/>
  <c r="AB208" i="1"/>
  <c r="AA208" i="1"/>
  <c r="Z208" i="1"/>
  <c r="Y208" i="1"/>
  <c r="X198" i="1"/>
  <c r="AH187" i="1"/>
  <c r="AG187" i="1"/>
  <c r="AF187" i="1"/>
  <c r="AE187" i="1"/>
  <c r="AD187" i="1"/>
  <c r="AC187" i="1"/>
  <c r="AB187" i="1"/>
  <c r="AA187" i="1"/>
  <c r="Z187" i="1"/>
  <c r="Y187" i="1"/>
  <c r="AH186" i="1"/>
  <c r="AG186" i="1"/>
  <c r="AF186" i="1"/>
  <c r="AE186" i="1"/>
  <c r="AD186" i="1"/>
  <c r="AC186" i="1"/>
  <c r="AB186" i="1"/>
  <c r="AA186" i="1"/>
  <c r="Z186" i="1"/>
  <c r="Y186" i="1"/>
  <c r="AF168" i="1"/>
  <c r="AF167" i="1"/>
  <c r="AF189" i="1" s="1"/>
  <c r="AF211" i="1" l="1"/>
  <c r="AF190" i="1"/>
  <c r="AF212" i="1" s="1"/>
  <c r="AI41" i="8"/>
  <c r="AH41" i="8"/>
  <c r="AI40" i="8"/>
  <c r="AH40" i="8"/>
  <c r="AI39" i="8"/>
  <c r="AH39" i="8"/>
  <c r="AI38" i="8"/>
  <c r="AH38" i="8"/>
  <c r="AI37" i="8"/>
  <c r="AH37" i="8"/>
  <c r="AI36" i="8"/>
  <c r="AH36" i="8"/>
  <c r="AI35" i="8"/>
  <c r="AH35" i="8"/>
  <c r="AI34" i="8"/>
  <c r="AH34" i="8"/>
  <c r="AI33" i="8"/>
  <c r="AH33" i="8"/>
  <c r="AI32" i="8"/>
  <c r="AI29" i="8" s="1"/>
  <c r="AH32" i="8"/>
  <c r="X19" i="1"/>
  <c r="W19" i="1"/>
  <c r="V19" i="1"/>
  <c r="U19" i="1"/>
  <c r="T19" i="1"/>
  <c r="Q19" i="1"/>
  <c r="P19" i="1"/>
  <c r="W17" i="1"/>
  <c r="P17" i="1"/>
  <c r="V17" i="1"/>
  <c r="T17" i="1"/>
  <c r="X17" i="1"/>
  <c r="U17" i="1"/>
  <c r="S17" i="1"/>
  <c r="P184" i="1"/>
  <c r="V198" i="1"/>
  <c r="S198" i="1"/>
  <c r="Q198" i="1"/>
  <c r="P198" i="1"/>
  <c r="O182" i="1"/>
  <c r="W176" i="1"/>
  <c r="V176" i="1"/>
  <c r="U176" i="1"/>
  <c r="T176" i="1"/>
  <c r="S176" i="1"/>
  <c r="R176" i="1"/>
  <c r="Q176" i="1"/>
  <c r="P176" i="1"/>
  <c r="O176" i="1"/>
  <c r="W178" i="1"/>
  <c r="V178" i="1"/>
  <c r="U178" i="1"/>
  <c r="T178" i="1"/>
  <c r="S178" i="1"/>
  <c r="R178" i="1"/>
  <c r="Q178" i="1"/>
  <c r="P178" i="1"/>
  <c r="O178" i="1"/>
  <c r="W174" i="1"/>
  <c r="V174" i="1"/>
  <c r="U174" i="1"/>
  <c r="T174" i="1"/>
  <c r="S174" i="1"/>
  <c r="R174" i="1"/>
  <c r="Q174" i="1"/>
  <c r="P174" i="1"/>
  <c r="O174" i="1"/>
  <c r="V29" i="1"/>
  <c r="P29" i="1"/>
  <c r="S27" i="1"/>
  <c r="P27" i="1"/>
  <c r="P25" i="1"/>
  <c r="R25" i="1"/>
  <c r="W25" i="1"/>
  <c r="W23" i="1"/>
  <c r="V23" i="1"/>
  <c r="S23" i="1"/>
  <c r="P23" i="1"/>
  <c r="V21" i="1"/>
  <c r="U21" i="1"/>
  <c r="T21" i="1"/>
  <c r="R21" i="1"/>
  <c r="Q21" i="1"/>
  <c r="P21" i="1"/>
  <c r="T15" i="1"/>
  <c r="S15" i="1"/>
  <c r="P15" i="1"/>
  <c r="P13" i="1"/>
  <c r="R13" i="1"/>
  <c r="W11" i="1"/>
  <c r="U11" i="1"/>
  <c r="R11" i="1"/>
  <c r="Q11" i="1"/>
  <c r="W7" i="1"/>
  <c r="V7" i="1"/>
  <c r="S7" i="1"/>
  <c r="R7" i="1"/>
  <c r="U177" i="1"/>
  <c r="V207" i="1"/>
  <c r="U207" i="1"/>
  <c r="P207" i="1"/>
  <c r="V199" i="1"/>
  <c r="S199" i="1"/>
  <c r="P199" i="1"/>
  <c r="V185" i="1"/>
  <c r="S185" i="1"/>
  <c r="P185" i="1"/>
  <c r="O183" i="1"/>
  <c r="X177" i="1"/>
  <c r="W177" i="1"/>
  <c r="T177" i="1"/>
  <c r="S177" i="1"/>
  <c r="R177" i="1"/>
  <c r="Q177" i="1"/>
  <c r="P177" i="1"/>
  <c r="O177" i="1"/>
  <c r="X179" i="1"/>
  <c r="W179" i="1"/>
  <c r="V179" i="1"/>
  <c r="U179" i="1"/>
  <c r="T179" i="1"/>
  <c r="S179" i="1"/>
  <c r="R179" i="1"/>
  <c r="Q179" i="1"/>
  <c r="P179" i="1"/>
  <c r="O179" i="1"/>
  <c r="X175" i="1"/>
  <c r="W175" i="1"/>
  <c r="V175" i="1"/>
  <c r="U175" i="1"/>
  <c r="T175" i="1"/>
  <c r="S175" i="1"/>
  <c r="R175" i="1"/>
  <c r="Q175" i="1"/>
  <c r="P175" i="1"/>
  <c r="O175" i="1"/>
  <c r="V30" i="1"/>
  <c r="P30" i="1"/>
  <c r="O30" i="1"/>
  <c r="O29" i="1"/>
  <c r="X30" i="1"/>
  <c r="W30" i="1"/>
  <c r="U30" i="1"/>
  <c r="T30" i="1"/>
  <c r="S30" i="1"/>
  <c r="R30" i="1"/>
  <c r="Q30" i="1"/>
  <c r="X29" i="1"/>
  <c r="W29" i="1"/>
  <c r="U29" i="1"/>
  <c r="T29" i="1"/>
  <c r="S29" i="1"/>
  <c r="R29" i="1"/>
  <c r="Q29" i="1"/>
  <c r="X28" i="1"/>
  <c r="S28" i="1"/>
  <c r="P28" i="1"/>
  <c r="R26" i="1"/>
  <c r="P26" i="1"/>
  <c r="T18" i="1"/>
  <c r="P18" i="1"/>
  <c r="W24" i="1"/>
  <c r="S24" i="1"/>
  <c r="P24" i="1"/>
  <c r="X22" i="1"/>
  <c r="V22" i="1"/>
  <c r="T22" i="1"/>
  <c r="R22" i="1"/>
  <c r="Q22" i="1"/>
  <c r="P22" i="1"/>
  <c r="W12" i="1"/>
  <c r="U12" i="1"/>
  <c r="Q12" i="1"/>
  <c r="W8" i="1"/>
  <c r="V8" i="1"/>
  <c r="S8" i="1"/>
  <c r="R8" i="1"/>
  <c r="W26" i="1"/>
  <c r="V24" i="1"/>
  <c r="O28" i="1"/>
  <c r="O27" i="1"/>
  <c r="O26" i="1"/>
  <c r="O25" i="1"/>
  <c r="W28" i="1"/>
  <c r="V28" i="1"/>
  <c r="U28" i="1"/>
  <c r="T28" i="1"/>
  <c r="R28" i="1"/>
  <c r="Q28" i="1"/>
  <c r="X27" i="1"/>
  <c r="W27" i="1"/>
  <c r="V27" i="1"/>
  <c r="U27" i="1"/>
  <c r="T27" i="1"/>
  <c r="R27" i="1"/>
  <c r="Q27" i="1"/>
  <c r="X26" i="1"/>
  <c r="V26" i="1"/>
  <c r="U26" i="1"/>
  <c r="T26" i="1"/>
  <c r="S26" i="1"/>
  <c r="Q26" i="1"/>
  <c r="X25" i="1"/>
  <c r="V25" i="1"/>
  <c r="U25" i="1"/>
  <c r="T25" i="1"/>
  <c r="S25" i="1"/>
  <c r="Q25" i="1"/>
  <c r="V18" i="1"/>
  <c r="V177" i="1"/>
  <c r="T16" i="1"/>
  <c r="P16" i="1"/>
  <c r="Q199" i="1" l="1"/>
  <c r="P183" i="1"/>
  <c r="U22" i="1"/>
  <c r="O24" i="1" l="1"/>
  <c r="O23" i="1"/>
  <c r="O22" i="1"/>
  <c r="O21" i="1"/>
  <c r="X24" i="1"/>
  <c r="U24" i="1"/>
  <c r="T24" i="1"/>
  <c r="R24" i="1"/>
  <c r="Q24" i="1"/>
  <c r="X23" i="1"/>
  <c r="U23" i="1"/>
  <c r="T23" i="1"/>
  <c r="R23" i="1"/>
  <c r="Q23" i="1"/>
  <c r="W22" i="1"/>
  <c r="S22" i="1"/>
  <c r="X21" i="1"/>
  <c r="W21" i="1"/>
  <c r="S21" i="1"/>
  <c r="R12" i="1"/>
  <c r="T8" i="1"/>
  <c r="X18" i="1"/>
  <c r="W18" i="1"/>
  <c r="U18" i="1"/>
  <c r="S18" i="1"/>
  <c r="S16" i="1"/>
  <c r="R14" i="1"/>
  <c r="P14" i="1"/>
  <c r="X207" i="1"/>
  <c r="W207" i="1"/>
  <c r="T207" i="1"/>
  <c r="S207" i="1"/>
  <c r="R207" i="1"/>
  <c r="Q207" i="1"/>
  <c r="O207" i="1"/>
  <c r="X206" i="1"/>
  <c r="W206" i="1"/>
  <c r="V206" i="1"/>
  <c r="U206" i="1"/>
  <c r="T206" i="1"/>
  <c r="S206" i="1"/>
  <c r="R206" i="1"/>
  <c r="Q206" i="1"/>
  <c r="P206" i="1"/>
  <c r="O206" i="1"/>
  <c r="X205" i="1"/>
  <c r="W205" i="1"/>
  <c r="V205" i="1"/>
  <c r="U205" i="1"/>
  <c r="T205" i="1"/>
  <c r="S205" i="1"/>
  <c r="R205" i="1"/>
  <c r="Q205" i="1"/>
  <c r="P205" i="1"/>
  <c r="O205" i="1"/>
  <c r="X204" i="1"/>
  <c r="W204" i="1"/>
  <c r="V204" i="1"/>
  <c r="U204" i="1"/>
  <c r="T204" i="1"/>
  <c r="S204" i="1"/>
  <c r="R204" i="1"/>
  <c r="Q204" i="1"/>
  <c r="P204" i="1"/>
  <c r="O204" i="1"/>
  <c r="X203" i="1"/>
  <c r="W203" i="1"/>
  <c r="V203" i="1"/>
  <c r="U203" i="1"/>
  <c r="T203" i="1"/>
  <c r="S203" i="1"/>
  <c r="R203" i="1"/>
  <c r="Q203" i="1"/>
  <c r="P203" i="1"/>
  <c r="O203" i="1"/>
  <c r="X202" i="1"/>
  <c r="W202" i="1"/>
  <c r="V202" i="1"/>
  <c r="U202" i="1"/>
  <c r="T202" i="1"/>
  <c r="S202" i="1"/>
  <c r="R202" i="1"/>
  <c r="Q202" i="1"/>
  <c r="P202" i="1"/>
  <c r="O202" i="1"/>
  <c r="X201" i="1"/>
  <c r="W201" i="1"/>
  <c r="V201" i="1"/>
  <c r="V209" i="1" s="1"/>
  <c r="U201" i="1"/>
  <c r="T201" i="1"/>
  <c r="S201" i="1"/>
  <c r="R201" i="1"/>
  <c r="Q201" i="1"/>
  <c r="P201" i="1"/>
  <c r="O201" i="1"/>
  <c r="X200" i="1"/>
  <c r="W200" i="1"/>
  <c r="V200" i="1"/>
  <c r="U200" i="1"/>
  <c r="T200" i="1"/>
  <c r="S200" i="1"/>
  <c r="R200" i="1"/>
  <c r="Q200" i="1"/>
  <c r="P200" i="1"/>
  <c r="O200" i="1"/>
  <c r="W199" i="1"/>
  <c r="U199" i="1"/>
  <c r="T199" i="1"/>
  <c r="R199" i="1"/>
  <c r="O199" i="1"/>
  <c r="W198" i="1"/>
  <c r="U198" i="1"/>
  <c r="T198" i="1"/>
  <c r="R198" i="1"/>
  <c r="O198" i="1"/>
  <c r="X20" i="1"/>
  <c r="W20" i="1"/>
  <c r="V20" i="1"/>
  <c r="U20" i="1"/>
  <c r="T20" i="1"/>
  <c r="Q20" i="1"/>
  <c r="P20" i="1"/>
  <c r="R18" i="1"/>
  <c r="Q18" i="1"/>
  <c r="O18" i="1"/>
  <c r="R17" i="1"/>
  <c r="Q17" i="1"/>
  <c r="O17" i="1"/>
  <c r="X16" i="1"/>
  <c r="W16" i="1"/>
  <c r="V16" i="1"/>
  <c r="U16" i="1"/>
  <c r="R16" i="1"/>
  <c r="Q16" i="1"/>
  <c r="O16" i="1"/>
  <c r="X15" i="1"/>
  <c r="W15" i="1"/>
  <c r="V15" i="1"/>
  <c r="U15" i="1"/>
  <c r="R15" i="1"/>
  <c r="Q15" i="1"/>
  <c r="O15" i="1"/>
  <c r="X14" i="1"/>
  <c r="W14" i="1"/>
  <c r="V14" i="1"/>
  <c r="U14" i="1"/>
  <c r="T14" i="1"/>
  <c r="S14" i="1"/>
  <c r="Q14" i="1"/>
  <c r="O14" i="1"/>
  <c r="X13" i="1"/>
  <c r="W13" i="1"/>
  <c r="V13" i="1"/>
  <c r="U13" i="1"/>
  <c r="T13" i="1"/>
  <c r="S13" i="1"/>
  <c r="Q13" i="1"/>
  <c r="O13" i="1"/>
  <c r="X12" i="1"/>
  <c r="V12" i="1"/>
  <c r="T12" i="1"/>
  <c r="S12" i="1"/>
  <c r="P12" i="1"/>
  <c r="O12" i="1"/>
  <c r="X11" i="1"/>
  <c r="V11" i="1"/>
  <c r="T11" i="1"/>
  <c r="S11" i="1"/>
  <c r="P11" i="1"/>
  <c r="O11" i="1"/>
  <c r="X10" i="1"/>
  <c r="W10" i="1"/>
  <c r="V10" i="1"/>
  <c r="U10" i="1"/>
  <c r="T10" i="1"/>
  <c r="S10" i="1"/>
  <c r="R10" i="1"/>
  <c r="Q10" i="1"/>
  <c r="P10" i="1"/>
  <c r="O10" i="1"/>
  <c r="X9" i="1"/>
  <c r="W9" i="1"/>
  <c r="V9" i="1"/>
  <c r="U9" i="1"/>
  <c r="T9" i="1"/>
  <c r="S9" i="1"/>
  <c r="R9" i="1"/>
  <c r="Q9" i="1"/>
  <c r="P9" i="1"/>
  <c r="O9" i="1"/>
  <c r="X8" i="1"/>
  <c r="U8" i="1"/>
  <c r="Q8" i="1"/>
  <c r="P8" i="1"/>
  <c r="O8" i="1"/>
  <c r="X7" i="1"/>
  <c r="U7" i="1"/>
  <c r="T7" i="1"/>
  <c r="Q7" i="1"/>
  <c r="P7" i="1"/>
  <c r="O7" i="1"/>
  <c r="S20" i="1"/>
  <c r="R20" i="1"/>
  <c r="O20" i="1"/>
  <c r="S19" i="1"/>
  <c r="R19" i="1"/>
  <c r="O19" i="1"/>
  <c r="V208" i="1"/>
  <c r="V184" i="1"/>
  <c r="V183" i="1"/>
  <c r="V182" i="1"/>
  <c r="V181" i="1"/>
  <c r="V187" i="1" s="1"/>
  <c r="V180"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X185" i="1"/>
  <c r="W185" i="1"/>
  <c r="U185" i="1"/>
  <c r="T185" i="1"/>
  <c r="R185" i="1"/>
  <c r="Q185" i="1"/>
  <c r="O185" i="1"/>
  <c r="X184" i="1"/>
  <c r="W184" i="1"/>
  <c r="U184" i="1"/>
  <c r="T184" i="1"/>
  <c r="S184" i="1"/>
  <c r="R184" i="1"/>
  <c r="Q184" i="1"/>
  <c r="O184" i="1"/>
  <c r="X183" i="1"/>
  <c r="W183" i="1"/>
  <c r="U183" i="1"/>
  <c r="T183" i="1"/>
  <c r="S183" i="1"/>
  <c r="R183" i="1"/>
  <c r="Q183" i="1"/>
  <c r="X182" i="1"/>
  <c r="W182" i="1"/>
  <c r="U182" i="1"/>
  <c r="T182" i="1"/>
  <c r="S182" i="1"/>
  <c r="R182" i="1"/>
  <c r="Q182" i="1"/>
  <c r="P182" i="1"/>
  <c r="X181" i="1"/>
  <c r="W181" i="1"/>
  <c r="U181" i="1"/>
  <c r="T181" i="1"/>
  <c r="S181" i="1"/>
  <c r="R181" i="1"/>
  <c r="Q181" i="1"/>
  <c r="P181" i="1"/>
  <c r="O181" i="1"/>
  <c r="X180" i="1"/>
  <c r="W180" i="1"/>
  <c r="U180" i="1"/>
  <c r="T180" i="1"/>
  <c r="S180" i="1"/>
  <c r="R180" i="1"/>
  <c r="Q180" i="1"/>
  <c r="P180" i="1"/>
  <c r="O180" i="1"/>
  <c r="X178" i="1"/>
  <c r="X176" i="1"/>
  <c r="X174" i="1"/>
  <c r="AI27" i="8"/>
  <c r="AH27" i="8"/>
  <c r="AI26" i="8"/>
  <c r="AH26" i="8"/>
  <c r="AI25" i="8"/>
  <c r="AH25" i="8"/>
  <c r="AI24" i="8"/>
  <c r="AH24" i="8"/>
  <c r="AI23" i="8"/>
  <c r="AH23" i="8"/>
  <c r="AI22" i="8"/>
  <c r="AH22" i="8"/>
  <c r="AI21" i="8"/>
  <c r="AH21" i="8"/>
  <c r="AI20" i="8"/>
  <c r="AH20" i="8"/>
  <c r="AI19" i="8"/>
  <c r="AH19" i="8"/>
  <c r="AI18" i="8"/>
  <c r="AI15" i="8" s="1"/>
  <c r="AH18" i="8"/>
  <c r="O9" i="10" l="1"/>
  <c r="O8" i="10"/>
  <c r="V186" i="1"/>
  <c r="V168" i="1"/>
  <c r="V190" i="1" s="1"/>
  <c r="V212" i="1" s="1"/>
  <c r="V167" i="1"/>
  <c r="DP166" i="1"/>
  <c r="DO166" i="1"/>
  <c r="DN166" i="1"/>
  <c r="DM166" i="1"/>
  <c r="DL166" i="1"/>
  <c r="DI166" i="1"/>
  <c r="DH166" i="1"/>
  <c r="DG166" i="1"/>
  <c r="DF166" i="1"/>
  <c r="DE166" i="1"/>
  <c r="DB166" i="1"/>
  <c r="DA166" i="1"/>
  <c r="CZ166" i="1"/>
  <c r="CY166" i="1"/>
  <c r="CX166" i="1"/>
  <c r="CU166" i="1"/>
  <c r="CT166" i="1"/>
  <c r="CS166" i="1"/>
  <c r="CR166" i="1"/>
  <c r="CQ166" i="1"/>
  <c r="CK166" i="1"/>
  <c r="CJ166" i="1"/>
  <c r="CI166" i="1"/>
  <c r="CH166" i="1"/>
  <c r="CG166" i="1"/>
  <c r="CA166" i="1"/>
  <c r="BZ166" i="1"/>
  <c r="BY166" i="1"/>
  <c r="BX166" i="1"/>
  <c r="BW166" i="1"/>
  <c r="BL166" i="1"/>
  <c r="BK166" i="1"/>
  <c r="BJ166" i="1"/>
  <c r="BI166" i="1"/>
  <c r="BH166" i="1"/>
  <c r="BE166" i="1"/>
  <c r="BD166" i="1"/>
  <c r="BC166" i="1"/>
  <c r="BB166" i="1"/>
  <c r="BA166" i="1"/>
  <c r="AX166" i="1"/>
  <c r="AR166" i="1"/>
  <c r="AQ166" i="1"/>
  <c r="AP166" i="1"/>
  <c r="AM166" i="1"/>
  <c r="AL166" i="1"/>
  <c r="AK166" i="1"/>
  <c r="AJ166" i="1"/>
  <c r="AI166" i="1"/>
  <c r="AH166" i="1"/>
  <c r="AG166" i="1"/>
  <c r="AE166" i="1"/>
  <c r="AD166" i="1"/>
  <c r="AC166" i="1"/>
  <c r="AB166" i="1"/>
  <c r="AA166" i="1"/>
  <c r="Z166" i="1"/>
  <c r="Y166" i="1"/>
  <c r="X166" i="1"/>
  <c r="W166" i="1"/>
  <c r="U166" i="1"/>
  <c r="T166" i="1"/>
  <c r="S166" i="1"/>
  <c r="R166" i="1"/>
  <c r="Q166" i="1"/>
  <c r="P166" i="1"/>
  <c r="O166" i="1"/>
  <c r="DP165" i="1"/>
  <c r="DO165" i="1"/>
  <c r="DN165" i="1"/>
  <c r="DM165" i="1"/>
  <c r="DL165" i="1"/>
  <c r="DI165" i="1"/>
  <c r="DH165" i="1"/>
  <c r="DG165" i="1"/>
  <c r="DF165" i="1"/>
  <c r="DE165" i="1"/>
  <c r="DB165" i="1"/>
  <c r="DA165" i="1"/>
  <c r="CZ165" i="1"/>
  <c r="CY165" i="1"/>
  <c r="CX165" i="1"/>
  <c r="CU165" i="1"/>
  <c r="CT165" i="1"/>
  <c r="CS165" i="1"/>
  <c r="CR165" i="1"/>
  <c r="CQ165" i="1"/>
  <c r="CK165" i="1"/>
  <c r="CJ165" i="1"/>
  <c r="CI165" i="1"/>
  <c r="CH165" i="1"/>
  <c r="CG165" i="1"/>
  <c r="CA165" i="1"/>
  <c r="BZ165" i="1"/>
  <c r="BY165" i="1"/>
  <c r="BX165" i="1"/>
  <c r="BW165" i="1"/>
  <c r="BL165" i="1"/>
  <c r="BK165" i="1"/>
  <c r="BJ165" i="1"/>
  <c r="BI165" i="1"/>
  <c r="BH165" i="1"/>
  <c r="BE165" i="1"/>
  <c r="BD165" i="1"/>
  <c r="BC165" i="1"/>
  <c r="BB165" i="1"/>
  <c r="BA165" i="1"/>
  <c r="AX165" i="1"/>
  <c r="AR165" i="1"/>
  <c r="AQ165" i="1"/>
  <c r="AP165" i="1"/>
  <c r="AM165" i="1"/>
  <c r="AL165" i="1"/>
  <c r="AK165" i="1"/>
  <c r="AJ165" i="1"/>
  <c r="AI165" i="1"/>
  <c r="AH165" i="1"/>
  <c r="AG165" i="1"/>
  <c r="AE165" i="1"/>
  <c r="AD165" i="1"/>
  <c r="AC165" i="1"/>
  <c r="AB165" i="1"/>
  <c r="AA165" i="1"/>
  <c r="Z165" i="1"/>
  <c r="Y165" i="1"/>
  <c r="X165" i="1"/>
  <c r="W165" i="1"/>
  <c r="U165" i="1"/>
  <c r="T165" i="1"/>
  <c r="S165" i="1"/>
  <c r="R165" i="1"/>
  <c r="Q165" i="1"/>
  <c r="P165" i="1"/>
  <c r="O165" i="1"/>
  <c r="DP164" i="1"/>
  <c r="DO164" i="1"/>
  <c r="DN164" i="1"/>
  <c r="DM164" i="1"/>
  <c r="DL164" i="1"/>
  <c r="DI164" i="1"/>
  <c r="DH164" i="1"/>
  <c r="DG164" i="1"/>
  <c r="DF164" i="1"/>
  <c r="DE164" i="1"/>
  <c r="DB164" i="1"/>
  <c r="DA164" i="1"/>
  <c r="CZ164" i="1"/>
  <c r="CY164" i="1"/>
  <c r="CX164" i="1"/>
  <c r="CU164" i="1"/>
  <c r="CT164" i="1"/>
  <c r="CS164" i="1"/>
  <c r="CR164" i="1"/>
  <c r="CQ164" i="1"/>
  <c r="CK164" i="1"/>
  <c r="CJ164" i="1"/>
  <c r="CI164" i="1"/>
  <c r="CH164" i="1"/>
  <c r="CG164" i="1"/>
  <c r="CA164" i="1"/>
  <c r="BZ164" i="1"/>
  <c r="BY164" i="1"/>
  <c r="BX164" i="1"/>
  <c r="BW164" i="1"/>
  <c r="BL164" i="1"/>
  <c r="BK164" i="1"/>
  <c r="BJ164" i="1"/>
  <c r="BI164" i="1"/>
  <c r="BH164" i="1"/>
  <c r="BE164" i="1"/>
  <c r="BD164" i="1"/>
  <c r="BC164" i="1"/>
  <c r="BB164" i="1"/>
  <c r="BA164" i="1"/>
  <c r="AX164" i="1"/>
  <c r="AR164" i="1"/>
  <c r="AQ164" i="1"/>
  <c r="AP164" i="1"/>
  <c r="AM164" i="1"/>
  <c r="AL164" i="1"/>
  <c r="AK164" i="1"/>
  <c r="AJ164" i="1"/>
  <c r="AI164" i="1"/>
  <c r="AH164" i="1"/>
  <c r="AG164" i="1"/>
  <c r="AE164" i="1"/>
  <c r="AD164" i="1"/>
  <c r="AC164" i="1"/>
  <c r="AB164" i="1"/>
  <c r="AA164" i="1"/>
  <c r="Z164" i="1"/>
  <c r="Y164" i="1"/>
  <c r="X164" i="1"/>
  <c r="W164" i="1"/>
  <c r="U164" i="1"/>
  <c r="T164" i="1"/>
  <c r="S164" i="1"/>
  <c r="R164" i="1"/>
  <c r="Q164" i="1"/>
  <c r="P164" i="1"/>
  <c r="O164" i="1"/>
  <c r="DP163" i="1"/>
  <c r="DO163" i="1"/>
  <c r="DN163" i="1"/>
  <c r="DM163" i="1"/>
  <c r="DL163" i="1"/>
  <c r="DI163" i="1"/>
  <c r="DH163" i="1"/>
  <c r="DG163" i="1"/>
  <c r="DF163" i="1"/>
  <c r="DE163" i="1"/>
  <c r="DB163" i="1"/>
  <c r="DA163" i="1"/>
  <c r="CZ163" i="1"/>
  <c r="CY163" i="1"/>
  <c r="CX163" i="1"/>
  <c r="CU163" i="1"/>
  <c r="CT163" i="1"/>
  <c r="CS163" i="1"/>
  <c r="CR163" i="1"/>
  <c r="CQ163" i="1"/>
  <c r="CK163" i="1"/>
  <c r="CJ163" i="1"/>
  <c r="CI163" i="1"/>
  <c r="CH163" i="1"/>
  <c r="CG163" i="1"/>
  <c r="CA163" i="1"/>
  <c r="BZ163" i="1"/>
  <c r="BY163" i="1"/>
  <c r="BX163" i="1"/>
  <c r="BW163" i="1"/>
  <c r="BL163" i="1"/>
  <c r="BK163" i="1"/>
  <c r="BJ163" i="1"/>
  <c r="BI163" i="1"/>
  <c r="BH163" i="1"/>
  <c r="BE163" i="1"/>
  <c r="BD163" i="1"/>
  <c r="BC163" i="1"/>
  <c r="BB163" i="1"/>
  <c r="BA163" i="1"/>
  <c r="AX163" i="1"/>
  <c r="AR163" i="1"/>
  <c r="AQ163" i="1"/>
  <c r="AP163" i="1"/>
  <c r="AM163" i="1"/>
  <c r="AL163" i="1"/>
  <c r="AK163" i="1"/>
  <c r="AJ163" i="1"/>
  <c r="AI163" i="1"/>
  <c r="AH163" i="1"/>
  <c r="AG163" i="1"/>
  <c r="AE163" i="1"/>
  <c r="AD163" i="1"/>
  <c r="AC163" i="1"/>
  <c r="AB163" i="1"/>
  <c r="AA163" i="1"/>
  <c r="Z163" i="1"/>
  <c r="Y163" i="1"/>
  <c r="X163" i="1"/>
  <c r="W163" i="1"/>
  <c r="U163" i="1"/>
  <c r="T163" i="1"/>
  <c r="S163" i="1"/>
  <c r="R163" i="1"/>
  <c r="Q163" i="1"/>
  <c r="P163" i="1"/>
  <c r="O163" i="1"/>
  <c r="DP162" i="1"/>
  <c r="DO162" i="1"/>
  <c r="DN162" i="1"/>
  <c r="DM162" i="1"/>
  <c r="DL162" i="1"/>
  <c r="DI162" i="1"/>
  <c r="DH162" i="1"/>
  <c r="DG162" i="1"/>
  <c r="DF162" i="1"/>
  <c r="DE162" i="1"/>
  <c r="DB162" i="1"/>
  <c r="DA162" i="1"/>
  <c r="CZ162" i="1"/>
  <c r="CY162" i="1"/>
  <c r="CX162" i="1"/>
  <c r="CU162" i="1"/>
  <c r="CT162" i="1"/>
  <c r="CS162" i="1"/>
  <c r="CR162" i="1"/>
  <c r="CQ162" i="1"/>
  <c r="CK162" i="1"/>
  <c r="CJ162" i="1"/>
  <c r="CI162" i="1"/>
  <c r="CH162" i="1"/>
  <c r="CG162" i="1"/>
  <c r="CA162" i="1"/>
  <c r="BZ162" i="1"/>
  <c r="BY162" i="1"/>
  <c r="BX162" i="1"/>
  <c r="BW162" i="1"/>
  <c r="BL162" i="1"/>
  <c r="BK162" i="1"/>
  <c r="BJ162" i="1"/>
  <c r="BI162" i="1"/>
  <c r="BH162" i="1"/>
  <c r="BE162" i="1"/>
  <c r="BD162" i="1"/>
  <c r="BC162" i="1"/>
  <c r="BB162" i="1"/>
  <c r="BA162" i="1"/>
  <c r="AX162" i="1"/>
  <c r="AR162" i="1"/>
  <c r="AQ162" i="1"/>
  <c r="AP162" i="1"/>
  <c r="AM162" i="1"/>
  <c r="AL162" i="1"/>
  <c r="AK162" i="1"/>
  <c r="AJ162" i="1"/>
  <c r="AI162" i="1"/>
  <c r="AH162" i="1"/>
  <c r="AG162" i="1"/>
  <c r="AE162" i="1"/>
  <c r="AD162" i="1"/>
  <c r="AC162" i="1"/>
  <c r="AB162" i="1"/>
  <c r="AA162" i="1"/>
  <c r="Z162" i="1"/>
  <c r="Y162" i="1"/>
  <c r="X162" i="1"/>
  <c r="W162" i="1"/>
  <c r="U162" i="1"/>
  <c r="T162" i="1"/>
  <c r="S162" i="1"/>
  <c r="R162" i="1"/>
  <c r="Q162" i="1"/>
  <c r="P162" i="1"/>
  <c r="O162" i="1"/>
  <c r="DP161" i="1"/>
  <c r="DO161" i="1"/>
  <c r="DN161" i="1"/>
  <c r="DM161" i="1"/>
  <c r="DL161" i="1"/>
  <c r="DI161" i="1"/>
  <c r="DH161" i="1"/>
  <c r="DG161" i="1"/>
  <c r="DF161" i="1"/>
  <c r="DE161" i="1"/>
  <c r="DB161" i="1"/>
  <c r="DA161" i="1"/>
  <c r="CZ161" i="1"/>
  <c r="CY161" i="1"/>
  <c r="CX161" i="1"/>
  <c r="CU161" i="1"/>
  <c r="CT161" i="1"/>
  <c r="CS161" i="1"/>
  <c r="CR161" i="1"/>
  <c r="CQ161" i="1"/>
  <c r="CK161" i="1"/>
  <c r="CJ161" i="1"/>
  <c r="CI161" i="1"/>
  <c r="CH161" i="1"/>
  <c r="CG161" i="1"/>
  <c r="CA161" i="1"/>
  <c r="BZ161" i="1"/>
  <c r="BY161" i="1"/>
  <c r="BX161" i="1"/>
  <c r="BW161" i="1"/>
  <c r="BL161" i="1"/>
  <c r="BK161" i="1"/>
  <c r="BJ161" i="1"/>
  <c r="BI161" i="1"/>
  <c r="BH161" i="1"/>
  <c r="BE161" i="1"/>
  <c r="BD161" i="1"/>
  <c r="BC161" i="1"/>
  <c r="BB161" i="1"/>
  <c r="BA161" i="1"/>
  <c r="AX161" i="1"/>
  <c r="AR161" i="1"/>
  <c r="AQ161" i="1"/>
  <c r="AP161" i="1"/>
  <c r="AM161" i="1"/>
  <c r="AL161" i="1"/>
  <c r="AK161" i="1"/>
  <c r="AJ161" i="1"/>
  <c r="AI161" i="1"/>
  <c r="AH161" i="1"/>
  <c r="AG161" i="1"/>
  <c r="AE161" i="1"/>
  <c r="AD161" i="1"/>
  <c r="AC161" i="1"/>
  <c r="AB161" i="1"/>
  <c r="AA161" i="1"/>
  <c r="Z161" i="1"/>
  <c r="Y161" i="1"/>
  <c r="X161" i="1"/>
  <c r="W161" i="1"/>
  <c r="U161" i="1"/>
  <c r="T161" i="1"/>
  <c r="S161" i="1"/>
  <c r="R161" i="1"/>
  <c r="Q161" i="1"/>
  <c r="P161" i="1"/>
  <c r="O161" i="1"/>
  <c r="DP160" i="1"/>
  <c r="DO160" i="1"/>
  <c r="DN160" i="1"/>
  <c r="DM160" i="1"/>
  <c r="DL160" i="1"/>
  <c r="DI160" i="1"/>
  <c r="DH160" i="1"/>
  <c r="DG160" i="1"/>
  <c r="DF160" i="1"/>
  <c r="DE160" i="1"/>
  <c r="DB160" i="1"/>
  <c r="DA160" i="1"/>
  <c r="CZ160" i="1"/>
  <c r="CY160" i="1"/>
  <c r="CX160" i="1"/>
  <c r="CU160" i="1"/>
  <c r="CT160" i="1"/>
  <c r="CS160" i="1"/>
  <c r="CR160" i="1"/>
  <c r="CQ160" i="1"/>
  <c r="CK160" i="1"/>
  <c r="CJ160" i="1"/>
  <c r="CI160" i="1"/>
  <c r="CH160" i="1"/>
  <c r="CG160" i="1"/>
  <c r="CA160" i="1"/>
  <c r="BZ160" i="1"/>
  <c r="BY160" i="1"/>
  <c r="BX160" i="1"/>
  <c r="BW160" i="1"/>
  <c r="BL160" i="1"/>
  <c r="BK160" i="1"/>
  <c r="BJ160" i="1"/>
  <c r="BI160" i="1"/>
  <c r="BH160" i="1"/>
  <c r="BE160" i="1"/>
  <c r="BD160" i="1"/>
  <c r="BC160" i="1"/>
  <c r="BB160" i="1"/>
  <c r="BA160" i="1"/>
  <c r="AX160" i="1"/>
  <c r="AR160" i="1"/>
  <c r="AQ160" i="1"/>
  <c r="AP160" i="1"/>
  <c r="AM160" i="1"/>
  <c r="AL160" i="1"/>
  <c r="AK160" i="1"/>
  <c r="AJ160" i="1"/>
  <c r="AI160" i="1"/>
  <c r="AH160" i="1"/>
  <c r="AG160" i="1"/>
  <c r="AE160" i="1"/>
  <c r="AD160" i="1"/>
  <c r="AC160" i="1"/>
  <c r="AB160" i="1"/>
  <c r="AA160" i="1"/>
  <c r="Z160" i="1"/>
  <c r="Y160" i="1"/>
  <c r="X160" i="1"/>
  <c r="W160" i="1"/>
  <c r="U160" i="1"/>
  <c r="T160" i="1"/>
  <c r="S160" i="1"/>
  <c r="R160" i="1"/>
  <c r="Q160" i="1"/>
  <c r="P160" i="1"/>
  <c r="O160" i="1"/>
  <c r="DP159" i="1"/>
  <c r="DO159" i="1"/>
  <c r="DN159" i="1"/>
  <c r="DM159" i="1"/>
  <c r="DL159" i="1"/>
  <c r="DI159" i="1"/>
  <c r="DH159" i="1"/>
  <c r="DG159" i="1"/>
  <c r="DF159" i="1"/>
  <c r="DE159" i="1"/>
  <c r="DB159" i="1"/>
  <c r="DA159" i="1"/>
  <c r="CZ159" i="1"/>
  <c r="CY159" i="1"/>
  <c r="CX159" i="1"/>
  <c r="CU159" i="1"/>
  <c r="CT159" i="1"/>
  <c r="CS159" i="1"/>
  <c r="CR159" i="1"/>
  <c r="CQ159" i="1"/>
  <c r="CK159" i="1"/>
  <c r="CJ159" i="1"/>
  <c r="CI159" i="1"/>
  <c r="CH159" i="1"/>
  <c r="CG159" i="1"/>
  <c r="CA159" i="1"/>
  <c r="BZ159" i="1"/>
  <c r="BY159" i="1"/>
  <c r="BX159" i="1"/>
  <c r="BW159" i="1"/>
  <c r="BL159" i="1"/>
  <c r="BK159" i="1"/>
  <c r="BJ159" i="1"/>
  <c r="BI159" i="1"/>
  <c r="BH159" i="1"/>
  <c r="BE159" i="1"/>
  <c r="BD159" i="1"/>
  <c r="BC159" i="1"/>
  <c r="BB159" i="1"/>
  <c r="BA159" i="1"/>
  <c r="AX159" i="1"/>
  <c r="AR159" i="1"/>
  <c r="AQ159" i="1"/>
  <c r="AP159" i="1"/>
  <c r="AM159" i="1"/>
  <c r="AL159" i="1"/>
  <c r="AK159" i="1"/>
  <c r="AJ159" i="1"/>
  <c r="AI159" i="1"/>
  <c r="AH159" i="1"/>
  <c r="AG159" i="1"/>
  <c r="AE159" i="1"/>
  <c r="AD159" i="1"/>
  <c r="AC159" i="1"/>
  <c r="AB159" i="1"/>
  <c r="AA159" i="1"/>
  <c r="Z159" i="1"/>
  <c r="Y159" i="1"/>
  <c r="X159" i="1"/>
  <c r="W159" i="1"/>
  <c r="U159" i="1"/>
  <c r="T159" i="1"/>
  <c r="S159" i="1"/>
  <c r="R159" i="1"/>
  <c r="Q159" i="1"/>
  <c r="P159" i="1"/>
  <c r="O159" i="1"/>
  <c r="DP158" i="1"/>
  <c r="DO158" i="1"/>
  <c r="DN158" i="1"/>
  <c r="DM158" i="1"/>
  <c r="DL158" i="1"/>
  <c r="DI158" i="1"/>
  <c r="DH158" i="1"/>
  <c r="DG158" i="1"/>
  <c r="DF158" i="1"/>
  <c r="DE158" i="1"/>
  <c r="DB158" i="1"/>
  <c r="DA158" i="1"/>
  <c r="CZ158" i="1"/>
  <c r="CY158" i="1"/>
  <c r="CX158" i="1"/>
  <c r="CU158" i="1"/>
  <c r="CT158" i="1"/>
  <c r="CS158" i="1"/>
  <c r="CR158" i="1"/>
  <c r="CQ158" i="1"/>
  <c r="CK158" i="1"/>
  <c r="CJ158" i="1"/>
  <c r="CI158" i="1"/>
  <c r="CH158" i="1"/>
  <c r="CG158" i="1"/>
  <c r="CA158" i="1"/>
  <c r="BZ158" i="1"/>
  <c r="BY158" i="1"/>
  <c r="BX158" i="1"/>
  <c r="BW158" i="1"/>
  <c r="BL158" i="1"/>
  <c r="BK158" i="1"/>
  <c r="BJ158" i="1"/>
  <c r="BI158" i="1"/>
  <c r="BH158" i="1"/>
  <c r="BE158" i="1"/>
  <c r="BD158" i="1"/>
  <c r="BC158" i="1"/>
  <c r="BB158" i="1"/>
  <c r="BA158" i="1"/>
  <c r="AX158" i="1"/>
  <c r="AR158" i="1"/>
  <c r="AQ158" i="1"/>
  <c r="AP158" i="1"/>
  <c r="AM158" i="1"/>
  <c r="AL158" i="1"/>
  <c r="AK158" i="1"/>
  <c r="AJ158" i="1"/>
  <c r="AI158" i="1"/>
  <c r="AH158" i="1"/>
  <c r="AG158" i="1"/>
  <c r="AE158" i="1"/>
  <c r="AD158" i="1"/>
  <c r="AC158" i="1"/>
  <c r="AB158" i="1"/>
  <c r="AA158" i="1"/>
  <c r="Z158" i="1"/>
  <c r="Y158" i="1"/>
  <c r="X158" i="1"/>
  <c r="W158" i="1"/>
  <c r="U158" i="1"/>
  <c r="T158" i="1"/>
  <c r="S158" i="1"/>
  <c r="R158" i="1"/>
  <c r="Q158" i="1"/>
  <c r="P158" i="1"/>
  <c r="O158" i="1"/>
  <c r="DP157" i="1"/>
  <c r="DO157" i="1"/>
  <c r="DN157" i="1"/>
  <c r="DM157" i="1"/>
  <c r="DL157" i="1"/>
  <c r="DI157" i="1"/>
  <c r="DH157" i="1"/>
  <c r="DG157" i="1"/>
  <c r="DF157" i="1"/>
  <c r="DE157" i="1"/>
  <c r="DB157" i="1"/>
  <c r="DA157" i="1"/>
  <c r="CZ157" i="1"/>
  <c r="CY157" i="1"/>
  <c r="CX157" i="1"/>
  <c r="CU157" i="1"/>
  <c r="CT157" i="1"/>
  <c r="CS157" i="1"/>
  <c r="CR157" i="1"/>
  <c r="CQ157" i="1"/>
  <c r="CK157" i="1"/>
  <c r="CJ157" i="1"/>
  <c r="CI157" i="1"/>
  <c r="CH157" i="1"/>
  <c r="CG157" i="1"/>
  <c r="CA157" i="1"/>
  <c r="BZ157" i="1"/>
  <c r="BY157" i="1"/>
  <c r="BX157" i="1"/>
  <c r="BW157" i="1"/>
  <c r="BL157" i="1"/>
  <c r="BK157" i="1"/>
  <c r="BJ157" i="1"/>
  <c r="BI157" i="1"/>
  <c r="BH157" i="1"/>
  <c r="BE157" i="1"/>
  <c r="BD157" i="1"/>
  <c r="BC157" i="1"/>
  <c r="BB157" i="1"/>
  <c r="BA157" i="1"/>
  <c r="AX157" i="1"/>
  <c r="AR157" i="1"/>
  <c r="AQ157" i="1"/>
  <c r="AP157" i="1"/>
  <c r="AM157" i="1"/>
  <c r="AL157" i="1"/>
  <c r="AK157" i="1"/>
  <c r="AJ157" i="1"/>
  <c r="AI157" i="1"/>
  <c r="AH157" i="1"/>
  <c r="AG157" i="1"/>
  <c r="AE157" i="1"/>
  <c r="AD157" i="1"/>
  <c r="AC157" i="1"/>
  <c r="AB157" i="1"/>
  <c r="AA157" i="1"/>
  <c r="Z157" i="1"/>
  <c r="Y157" i="1"/>
  <c r="X157" i="1"/>
  <c r="W157" i="1"/>
  <c r="U157" i="1"/>
  <c r="T157" i="1"/>
  <c r="S157" i="1"/>
  <c r="R157" i="1"/>
  <c r="Q157" i="1"/>
  <c r="P157" i="1"/>
  <c r="O157" i="1"/>
  <c r="DP156" i="1"/>
  <c r="DO156" i="1"/>
  <c r="DN156" i="1"/>
  <c r="DM156" i="1"/>
  <c r="DL156" i="1"/>
  <c r="DI156" i="1"/>
  <c r="DH156" i="1"/>
  <c r="DG156" i="1"/>
  <c r="DF156" i="1"/>
  <c r="DE156" i="1"/>
  <c r="DB156" i="1"/>
  <c r="DA156" i="1"/>
  <c r="CZ156" i="1"/>
  <c r="CY156" i="1"/>
  <c r="CX156" i="1"/>
  <c r="CU156" i="1"/>
  <c r="CT156" i="1"/>
  <c r="CS156" i="1"/>
  <c r="CR156" i="1"/>
  <c r="CQ156" i="1"/>
  <c r="CK156" i="1"/>
  <c r="CJ156" i="1"/>
  <c r="CI156" i="1"/>
  <c r="CH156" i="1"/>
  <c r="CG156" i="1"/>
  <c r="CA156" i="1"/>
  <c r="BZ156" i="1"/>
  <c r="BY156" i="1"/>
  <c r="BX156" i="1"/>
  <c r="BW156" i="1"/>
  <c r="BL156" i="1"/>
  <c r="BK156" i="1"/>
  <c r="BJ156" i="1"/>
  <c r="BI156" i="1"/>
  <c r="BH156" i="1"/>
  <c r="BE156" i="1"/>
  <c r="BD156" i="1"/>
  <c r="BC156" i="1"/>
  <c r="BB156" i="1"/>
  <c r="BA156" i="1"/>
  <c r="AX156" i="1"/>
  <c r="AR156" i="1"/>
  <c r="AQ156" i="1"/>
  <c r="AP156" i="1"/>
  <c r="AM156" i="1"/>
  <c r="AL156" i="1"/>
  <c r="AK156" i="1"/>
  <c r="AJ156" i="1"/>
  <c r="AI156" i="1"/>
  <c r="AH156" i="1"/>
  <c r="AG156" i="1"/>
  <c r="AE156" i="1"/>
  <c r="AD156" i="1"/>
  <c r="AC156" i="1"/>
  <c r="AB156" i="1"/>
  <c r="AA156" i="1"/>
  <c r="Z156" i="1"/>
  <c r="Y156" i="1"/>
  <c r="X156" i="1"/>
  <c r="W156" i="1"/>
  <c r="U156" i="1"/>
  <c r="T156" i="1"/>
  <c r="S156" i="1"/>
  <c r="R156" i="1"/>
  <c r="Q156" i="1"/>
  <c r="P156" i="1"/>
  <c r="O156" i="1"/>
  <c r="DP155" i="1"/>
  <c r="DO155" i="1"/>
  <c r="DN155" i="1"/>
  <c r="DM155" i="1"/>
  <c r="DL155" i="1"/>
  <c r="DI155" i="1"/>
  <c r="DH155" i="1"/>
  <c r="DG155" i="1"/>
  <c r="DF155" i="1"/>
  <c r="DE155" i="1"/>
  <c r="DB155" i="1"/>
  <c r="DA155" i="1"/>
  <c r="CZ155" i="1"/>
  <c r="CY155" i="1"/>
  <c r="CX155" i="1"/>
  <c r="CU155" i="1"/>
  <c r="CT155" i="1"/>
  <c r="CS155" i="1"/>
  <c r="CR155" i="1"/>
  <c r="CQ155" i="1"/>
  <c r="CK155" i="1"/>
  <c r="CJ155" i="1"/>
  <c r="CI155" i="1"/>
  <c r="CH155" i="1"/>
  <c r="CG155" i="1"/>
  <c r="CA155" i="1"/>
  <c r="BZ155" i="1"/>
  <c r="BY155" i="1"/>
  <c r="BX155" i="1"/>
  <c r="BW155" i="1"/>
  <c r="BL155" i="1"/>
  <c r="BK155" i="1"/>
  <c r="BJ155" i="1"/>
  <c r="BI155" i="1"/>
  <c r="BH155" i="1"/>
  <c r="BE155" i="1"/>
  <c r="BD155" i="1"/>
  <c r="BC155" i="1"/>
  <c r="BB155" i="1"/>
  <c r="BA155" i="1"/>
  <c r="AX155" i="1"/>
  <c r="AR155" i="1"/>
  <c r="AQ155" i="1"/>
  <c r="AP155" i="1"/>
  <c r="AM155" i="1"/>
  <c r="AL155" i="1"/>
  <c r="AK155" i="1"/>
  <c r="AJ155" i="1"/>
  <c r="AI155" i="1"/>
  <c r="AH155" i="1"/>
  <c r="AG155" i="1"/>
  <c r="AE155" i="1"/>
  <c r="AD155" i="1"/>
  <c r="AC155" i="1"/>
  <c r="AB155" i="1"/>
  <c r="AA155" i="1"/>
  <c r="Z155" i="1"/>
  <c r="Y155" i="1"/>
  <c r="X155" i="1"/>
  <c r="W155" i="1"/>
  <c r="U155" i="1"/>
  <c r="T155" i="1"/>
  <c r="S155" i="1"/>
  <c r="R155" i="1"/>
  <c r="Q155" i="1"/>
  <c r="P155" i="1"/>
  <c r="O155" i="1"/>
  <c r="DP154" i="1"/>
  <c r="DO154" i="1"/>
  <c r="DN154" i="1"/>
  <c r="DM154" i="1"/>
  <c r="DL154" i="1"/>
  <c r="DI154" i="1"/>
  <c r="DH154" i="1"/>
  <c r="DG154" i="1"/>
  <c r="DF154" i="1"/>
  <c r="DE154" i="1"/>
  <c r="DB154" i="1"/>
  <c r="DA154" i="1"/>
  <c r="CZ154" i="1"/>
  <c r="CY154" i="1"/>
  <c r="CX154" i="1"/>
  <c r="CU154" i="1"/>
  <c r="CT154" i="1"/>
  <c r="CS154" i="1"/>
  <c r="CR154" i="1"/>
  <c r="CQ154" i="1"/>
  <c r="CK154" i="1"/>
  <c r="CJ154" i="1"/>
  <c r="CI154" i="1"/>
  <c r="CH154" i="1"/>
  <c r="CG154" i="1"/>
  <c r="CA154" i="1"/>
  <c r="BZ154" i="1"/>
  <c r="BY154" i="1"/>
  <c r="BX154" i="1"/>
  <c r="BW154" i="1"/>
  <c r="BL154" i="1"/>
  <c r="BK154" i="1"/>
  <c r="BJ154" i="1"/>
  <c r="BI154" i="1"/>
  <c r="BH154" i="1"/>
  <c r="BE154" i="1"/>
  <c r="BD154" i="1"/>
  <c r="BC154" i="1"/>
  <c r="BB154" i="1"/>
  <c r="BA154" i="1"/>
  <c r="AX154" i="1"/>
  <c r="AR154" i="1"/>
  <c r="AQ154" i="1"/>
  <c r="AP154" i="1"/>
  <c r="AM154" i="1"/>
  <c r="AL154" i="1"/>
  <c r="AK154" i="1"/>
  <c r="AJ154" i="1"/>
  <c r="AI154" i="1"/>
  <c r="AH154" i="1"/>
  <c r="AG154" i="1"/>
  <c r="AE154" i="1"/>
  <c r="AD154" i="1"/>
  <c r="AC154" i="1"/>
  <c r="AB154" i="1"/>
  <c r="AA154" i="1"/>
  <c r="Z154" i="1"/>
  <c r="Y154" i="1"/>
  <c r="X154" i="1"/>
  <c r="W154" i="1"/>
  <c r="U154" i="1"/>
  <c r="T154" i="1"/>
  <c r="S154" i="1"/>
  <c r="R154" i="1"/>
  <c r="Q154" i="1"/>
  <c r="P154" i="1"/>
  <c r="O154" i="1"/>
  <c r="DP153" i="1"/>
  <c r="DO153" i="1"/>
  <c r="DN153" i="1"/>
  <c r="DM153" i="1"/>
  <c r="DL153" i="1"/>
  <c r="DI153" i="1"/>
  <c r="DH153" i="1"/>
  <c r="DG153" i="1"/>
  <c r="DF153" i="1"/>
  <c r="DE153" i="1"/>
  <c r="DB153" i="1"/>
  <c r="DA153" i="1"/>
  <c r="CZ153" i="1"/>
  <c r="CY153" i="1"/>
  <c r="CX153" i="1"/>
  <c r="CU153" i="1"/>
  <c r="CT153" i="1"/>
  <c r="CS153" i="1"/>
  <c r="CR153" i="1"/>
  <c r="CQ153" i="1"/>
  <c r="CK153" i="1"/>
  <c r="CJ153" i="1"/>
  <c r="CI153" i="1"/>
  <c r="CH153" i="1"/>
  <c r="CG153" i="1"/>
  <c r="CA153" i="1"/>
  <c r="BZ153" i="1"/>
  <c r="BY153" i="1"/>
  <c r="BX153" i="1"/>
  <c r="BW153" i="1"/>
  <c r="BL153" i="1"/>
  <c r="BK153" i="1"/>
  <c r="BJ153" i="1"/>
  <c r="BI153" i="1"/>
  <c r="BH153" i="1"/>
  <c r="BE153" i="1"/>
  <c r="BD153" i="1"/>
  <c r="BC153" i="1"/>
  <c r="BB153" i="1"/>
  <c r="BA153" i="1"/>
  <c r="AX153" i="1"/>
  <c r="AR153" i="1"/>
  <c r="AQ153" i="1"/>
  <c r="AP153" i="1"/>
  <c r="AM153" i="1"/>
  <c r="AL153" i="1"/>
  <c r="AK153" i="1"/>
  <c r="AJ153" i="1"/>
  <c r="AI153" i="1"/>
  <c r="AH153" i="1"/>
  <c r="AG153" i="1"/>
  <c r="AE153" i="1"/>
  <c r="AD153" i="1"/>
  <c r="AC153" i="1"/>
  <c r="AB153" i="1"/>
  <c r="AA153" i="1"/>
  <c r="Z153" i="1"/>
  <c r="Y153" i="1"/>
  <c r="X153" i="1"/>
  <c r="W153" i="1"/>
  <c r="U153" i="1"/>
  <c r="T153" i="1"/>
  <c r="S153" i="1"/>
  <c r="R153" i="1"/>
  <c r="Q153" i="1"/>
  <c r="P153" i="1"/>
  <c r="O153" i="1"/>
  <c r="DP152" i="1"/>
  <c r="DO152" i="1"/>
  <c r="DN152" i="1"/>
  <c r="DM152" i="1"/>
  <c r="DL152" i="1"/>
  <c r="DI152" i="1"/>
  <c r="DH152" i="1"/>
  <c r="DG152" i="1"/>
  <c r="DF152" i="1"/>
  <c r="DE152" i="1"/>
  <c r="DB152" i="1"/>
  <c r="DA152" i="1"/>
  <c r="CZ152" i="1"/>
  <c r="CY152" i="1"/>
  <c r="CX152" i="1"/>
  <c r="CU152" i="1"/>
  <c r="CT152" i="1"/>
  <c r="CS152" i="1"/>
  <c r="CR152" i="1"/>
  <c r="CQ152" i="1"/>
  <c r="CK152" i="1"/>
  <c r="CJ152" i="1"/>
  <c r="CI152" i="1"/>
  <c r="CH152" i="1"/>
  <c r="CG152" i="1"/>
  <c r="CA152" i="1"/>
  <c r="BZ152" i="1"/>
  <c r="BY152" i="1"/>
  <c r="BX152" i="1"/>
  <c r="BW152" i="1"/>
  <c r="BL152" i="1"/>
  <c r="BK152" i="1"/>
  <c r="BJ152" i="1"/>
  <c r="BI152" i="1"/>
  <c r="BH152" i="1"/>
  <c r="BE152" i="1"/>
  <c r="BD152" i="1"/>
  <c r="BC152" i="1"/>
  <c r="BB152" i="1"/>
  <c r="BA152" i="1"/>
  <c r="AX152" i="1"/>
  <c r="AR152" i="1"/>
  <c r="AQ152" i="1"/>
  <c r="AP152" i="1"/>
  <c r="AM152" i="1"/>
  <c r="AL152" i="1"/>
  <c r="AK152" i="1"/>
  <c r="AJ152" i="1"/>
  <c r="AI152" i="1"/>
  <c r="AH152" i="1"/>
  <c r="AG152" i="1"/>
  <c r="AE152" i="1"/>
  <c r="AD152" i="1"/>
  <c r="AC152" i="1"/>
  <c r="AB152" i="1"/>
  <c r="AA152" i="1"/>
  <c r="Z152" i="1"/>
  <c r="Y152" i="1"/>
  <c r="X152" i="1"/>
  <c r="W152" i="1"/>
  <c r="U152" i="1"/>
  <c r="T152" i="1"/>
  <c r="S152" i="1"/>
  <c r="R152" i="1"/>
  <c r="Q152" i="1"/>
  <c r="P152" i="1"/>
  <c r="O152" i="1"/>
  <c r="DP151" i="1"/>
  <c r="DO151" i="1"/>
  <c r="DN151" i="1"/>
  <c r="DM151" i="1"/>
  <c r="DL151" i="1"/>
  <c r="DI151" i="1"/>
  <c r="DH151" i="1"/>
  <c r="DG151" i="1"/>
  <c r="DF151" i="1"/>
  <c r="DE151" i="1"/>
  <c r="DB151" i="1"/>
  <c r="DA151" i="1"/>
  <c r="CZ151" i="1"/>
  <c r="CY151" i="1"/>
  <c r="CX151" i="1"/>
  <c r="CU151" i="1"/>
  <c r="CT151" i="1"/>
  <c r="CS151" i="1"/>
  <c r="CR151" i="1"/>
  <c r="CQ151" i="1"/>
  <c r="CK151" i="1"/>
  <c r="CJ151" i="1"/>
  <c r="CI151" i="1"/>
  <c r="CH151" i="1"/>
  <c r="CG151" i="1"/>
  <c r="CA151" i="1"/>
  <c r="BZ151" i="1"/>
  <c r="BY151" i="1"/>
  <c r="BX151" i="1"/>
  <c r="BW151" i="1"/>
  <c r="BL151" i="1"/>
  <c r="BK151" i="1"/>
  <c r="BJ151" i="1"/>
  <c r="BI151" i="1"/>
  <c r="BH151" i="1"/>
  <c r="BE151" i="1"/>
  <c r="BD151" i="1"/>
  <c r="BC151" i="1"/>
  <c r="BB151" i="1"/>
  <c r="BA151" i="1"/>
  <c r="AX151" i="1"/>
  <c r="AR151" i="1"/>
  <c r="AQ151" i="1"/>
  <c r="AP151" i="1"/>
  <c r="AM151" i="1"/>
  <c r="AL151" i="1"/>
  <c r="AK151" i="1"/>
  <c r="AJ151" i="1"/>
  <c r="AI151" i="1"/>
  <c r="AH151" i="1"/>
  <c r="AG151" i="1"/>
  <c r="AE151" i="1"/>
  <c r="AD151" i="1"/>
  <c r="AC151" i="1"/>
  <c r="AB151" i="1"/>
  <c r="AA151" i="1"/>
  <c r="Z151" i="1"/>
  <c r="Y151" i="1"/>
  <c r="X151" i="1"/>
  <c r="W151" i="1"/>
  <c r="U151" i="1"/>
  <c r="T151" i="1"/>
  <c r="S151" i="1"/>
  <c r="R151" i="1"/>
  <c r="Q151" i="1"/>
  <c r="P151" i="1"/>
  <c r="O151" i="1"/>
  <c r="DP150" i="1"/>
  <c r="DO150" i="1"/>
  <c r="DN150" i="1"/>
  <c r="DM150" i="1"/>
  <c r="DL150" i="1"/>
  <c r="DI150" i="1"/>
  <c r="DH150" i="1"/>
  <c r="DG150" i="1"/>
  <c r="DF150" i="1"/>
  <c r="DE150" i="1"/>
  <c r="DB150" i="1"/>
  <c r="DA150" i="1"/>
  <c r="CZ150" i="1"/>
  <c r="CY150" i="1"/>
  <c r="CX150" i="1"/>
  <c r="CU150" i="1"/>
  <c r="CT150" i="1"/>
  <c r="CS150" i="1"/>
  <c r="CR150" i="1"/>
  <c r="CQ150" i="1"/>
  <c r="CK150" i="1"/>
  <c r="CJ150" i="1"/>
  <c r="CI150" i="1"/>
  <c r="CH150" i="1"/>
  <c r="CG150" i="1"/>
  <c r="CA150" i="1"/>
  <c r="BZ150" i="1"/>
  <c r="BY150" i="1"/>
  <c r="BX150" i="1"/>
  <c r="BW150" i="1"/>
  <c r="BL150" i="1"/>
  <c r="BK150" i="1"/>
  <c r="BJ150" i="1"/>
  <c r="BI150" i="1"/>
  <c r="BH150" i="1"/>
  <c r="BE150" i="1"/>
  <c r="BD150" i="1"/>
  <c r="BC150" i="1"/>
  <c r="BB150" i="1"/>
  <c r="BA150" i="1"/>
  <c r="AX150" i="1"/>
  <c r="AR150" i="1"/>
  <c r="AQ150" i="1"/>
  <c r="AP150" i="1"/>
  <c r="AM150" i="1"/>
  <c r="AL150" i="1"/>
  <c r="AK150" i="1"/>
  <c r="AJ150" i="1"/>
  <c r="AI150" i="1"/>
  <c r="AH150" i="1"/>
  <c r="AG150" i="1"/>
  <c r="AE150" i="1"/>
  <c r="AD150" i="1"/>
  <c r="AC150" i="1"/>
  <c r="AB150" i="1"/>
  <c r="AA150" i="1"/>
  <c r="Z150" i="1"/>
  <c r="Y150" i="1"/>
  <c r="X150" i="1"/>
  <c r="W150" i="1"/>
  <c r="U150" i="1"/>
  <c r="T150" i="1"/>
  <c r="S150" i="1"/>
  <c r="R150" i="1"/>
  <c r="Q150" i="1"/>
  <c r="P150" i="1"/>
  <c r="O150" i="1"/>
  <c r="DP149" i="1"/>
  <c r="DO149" i="1"/>
  <c r="DN149" i="1"/>
  <c r="DM149" i="1"/>
  <c r="DL149" i="1"/>
  <c r="DI149" i="1"/>
  <c r="DH149" i="1"/>
  <c r="DG149" i="1"/>
  <c r="DF149" i="1"/>
  <c r="DE149" i="1"/>
  <c r="DB149" i="1"/>
  <c r="DA149" i="1"/>
  <c r="CZ149" i="1"/>
  <c r="CY149" i="1"/>
  <c r="CX149" i="1"/>
  <c r="CU149" i="1"/>
  <c r="CT149" i="1"/>
  <c r="CS149" i="1"/>
  <c r="CR149" i="1"/>
  <c r="CQ149" i="1"/>
  <c r="CK149" i="1"/>
  <c r="CJ149" i="1"/>
  <c r="CI149" i="1"/>
  <c r="CH149" i="1"/>
  <c r="CG149" i="1"/>
  <c r="CA149" i="1"/>
  <c r="BZ149" i="1"/>
  <c r="BY149" i="1"/>
  <c r="BX149" i="1"/>
  <c r="BW149" i="1"/>
  <c r="BL149" i="1"/>
  <c r="BK149" i="1"/>
  <c r="BJ149" i="1"/>
  <c r="BI149" i="1"/>
  <c r="BH149" i="1"/>
  <c r="BE149" i="1"/>
  <c r="BD149" i="1"/>
  <c r="BC149" i="1"/>
  <c r="BB149" i="1"/>
  <c r="BA149" i="1"/>
  <c r="AX149" i="1"/>
  <c r="AR149" i="1"/>
  <c r="AQ149" i="1"/>
  <c r="AP149" i="1"/>
  <c r="AM149" i="1"/>
  <c r="AL149" i="1"/>
  <c r="AK149" i="1"/>
  <c r="AJ149" i="1"/>
  <c r="AI149" i="1"/>
  <c r="AH149" i="1"/>
  <c r="AG149" i="1"/>
  <c r="AE149" i="1"/>
  <c r="AD149" i="1"/>
  <c r="AC149" i="1"/>
  <c r="AB149" i="1"/>
  <c r="AA149" i="1"/>
  <c r="Z149" i="1"/>
  <c r="Y149" i="1"/>
  <c r="X149" i="1"/>
  <c r="W149" i="1"/>
  <c r="U149" i="1"/>
  <c r="T149" i="1"/>
  <c r="S149" i="1"/>
  <c r="R149" i="1"/>
  <c r="Q149" i="1"/>
  <c r="P149" i="1"/>
  <c r="O149" i="1"/>
  <c r="DP148" i="1"/>
  <c r="DO148" i="1"/>
  <c r="DN148" i="1"/>
  <c r="DM148" i="1"/>
  <c r="DL148" i="1"/>
  <c r="DI148" i="1"/>
  <c r="DH148" i="1"/>
  <c r="DG148" i="1"/>
  <c r="DF148" i="1"/>
  <c r="DE148" i="1"/>
  <c r="DB148" i="1"/>
  <c r="DA148" i="1"/>
  <c r="CZ148" i="1"/>
  <c r="CY148" i="1"/>
  <c r="CX148" i="1"/>
  <c r="CU148" i="1"/>
  <c r="CT148" i="1"/>
  <c r="CS148" i="1"/>
  <c r="CR148" i="1"/>
  <c r="CQ148" i="1"/>
  <c r="CK148" i="1"/>
  <c r="CJ148" i="1"/>
  <c r="CI148" i="1"/>
  <c r="CH148" i="1"/>
  <c r="CG148" i="1"/>
  <c r="CA148" i="1"/>
  <c r="BZ148" i="1"/>
  <c r="BY148" i="1"/>
  <c r="BX148" i="1"/>
  <c r="BW148" i="1"/>
  <c r="BL148" i="1"/>
  <c r="BK148" i="1"/>
  <c r="BJ148" i="1"/>
  <c r="BI148" i="1"/>
  <c r="BH148" i="1"/>
  <c r="BE148" i="1"/>
  <c r="BD148" i="1"/>
  <c r="BC148" i="1"/>
  <c r="BB148" i="1"/>
  <c r="BA148" i="1"/>
  <c r="AX148" i="1"/>
  <c r="AR148" i="1"/>
  <c r="AQ148" i="1"/>
  <c r="AP148" i="1"/>
  <c r="AM148" i="1"/>
  <c r="AL148" i="1"/>
  <c r="AK148" i="1"/>
  <c r="AJ148" i="1"/>
  <c r="AI148" i="1"/>
  <c r="AH148" i="1"/>
  <c r="AG148" i="1"/>
  <c r="AE148" i="1"/>
  <c r="AD148" i="1"/>
  <c r="AC148" i="1"/>
  <c r="AB148" i="1"/>
  <c r="AA148" i="1"/>
  <c r="Z148" i="1"/>
  <c r="Y148" i="1"/>
  <c r="X148" i="1"/>
  <c r="W148" i="1"/>
  <c r="U148" i="1"/>
  <c r="T148" i="1"/>
  <c r="S148" i="1"/>
  <c r="R148" i="1"/>
  <c r="Q148" i="1"/>
  <c r="P148" i="1"/>
  <c r="O148" i="1"/>
  <c r="DP147" i="1"/>
  <c r="DO147" i="1"/>
  <c r="DN147" i="1"/>
  <c r="DM147" i="1"/>
  <c r="DL147" i="1"/>
  <c r="DI147" i="1"/>
  <c r="DH147" i="1"/>
  <c r="DG147" i="1"/>
  <c r="DF147" i="1"/>
  <c r="DE147" i="1"/>
  <c r="DB147" i="1"/>
  <c r="DA147" i="1"/>
  <c r="CZ147" i="1"/>
  <c r="CY147" i="1"/>
  <c r="CX147" i="1"/>
  <c r="CU147" i="1"/>
  <c r="CT147" i="1"/>
  <c r="CS147" i="1"/>
  <c r="CR147" i="1"/>
  <c r="CQ147" i="1"/>
  <c r="CK147" i="1"/>
  <c r="CJ147" i="1"/>
  <c r="CI147" i="1"/>
  <c r="CH147" i="1"/>
  <c r="CG147" i="1"/>
  <c r="CA147" i="1"/>
  <c r="BZ147" i="1"/>
  <c r="BY147" i="1"/>
  <c r="BX147" i="1"/>
  <c r="BW147" i="1"/>
  <c r="BL147" i="1"/>
  <c r="BK147" i="1"/>
  <c r="BJ147" i="1"/>
  <c r="BI147" i="1"/>
  <c r="BH147" i="1"/>
  <c r="BE147" i="1"/>
  <c r="BD147" i="1"/>
  <c r="BC147" i="1"/>
  <c r="BB147" i="1"/>
  <c r="BA147" i="1"/>
  <c r="AX147" i="1"/>
  <c r="AR147" i="1"/>
  <c r="AQ147" i="1"/>
  <c r="AP147" i="1"/>
  <c r="AM147" i="1"/>
  <c r="AL147" i="1"/>
  <c r="AK147" i="1"/>
  <c r="AJ147" i="1"/>
  <c r="AI147" i="1"/>
  <c r="AH147" i="1"/>
  <c r="AG147" i="1"/>
  <c r="AE147" i="1"/>
  <c r="AD147" i="1"/>
  <c r="AC147" i="1"/>
  <c r="AB147" i="1"/>
  <c r="AA147" i="1"/>
  <c r="Z147" i="1"/>
  <c r="Y147" i="1"/>
  <c r="X147" i="1"/>
  <c r="W147" i="1"/>
  <c r="U147" i="1"/>
  <c r="T147" i="1"/>
  <c r="S147" i="1"/>
  <c r="R147" i="1"/>
  <c r="Q147" i="1"/>
  <c r="P147" i="1"/>
  <c r="O147" i="1"/>
  <c r="DP146" i="1"/>
  <c r="DO146" i="1"/>
  <c r="DN146" i="1"/>
  <c r="DM146" i="1"/>
  <c r="DL146" i="1"/>
  <c r="DI146" i="1"/>
  <c r="DH146" i="1"/>
  <c r="DG146" i="1"/>
  <c r="DF146" i="1"/>
  <c r="DE146" i="1"/>
  <c r="DB146" i="1"/>
  <c r="DA146" i="1"/>
  <c r="CZ146" i="1"/>
  <c r="CY146" i="1"/>
  <c r="CX146" i="1"/>
  <c r="CU146" i="1"/>
  <c r="CT146" i="1"/>
  <c r="CS146" i="1"/>
  <c r="CR146" i="1"/>
  <c r="CQ146" i="1"/>
  <c r="CK146" i="1"/>
  <c r="CJ146" i="1"/>
  <c r="CI146" i="1"/>
  <c r="CH146" i="1"/>
  <c r="CG146" i="1"/>
  <c r="CA146" i="1"/>
  <c r="BZ146" i="1"/>
  <c r="BY146" i="1"/>
  <c r="BX146" i="1"/>
  <c r="BW146" i="1"/>
  <c r="BL146" i="1"/>
  <c r="BK146" i="1"/>
  <c r="BJ146" i="1"/>
  <c r="BI146" i="1"/>
  <c r="BH146" i="1"/>
  <c r="BE146" i="1"/>
  <c r="BD146" i="1"/>
  <c r="BC146" i="1"/>
  <c r="BB146" i="1"/>
  <c r="BA146" i="1"/>
  <c r="AX146" i="1"/>
  <c r="AR146" i="1"/>
  <c r="AQ146" i="1"/>
  <c r="AP146" i="1"/>
  <c r="AM146" i="1"/>
  <c r="AL146" i="1"/>
  <c r="AK146" i="1"/>
  <c r="AJ146" i="1"/>
  <c r="AI146" i="1"/>
  <c r="AH146" i="1"/>
  <c r="AG146" i="1"/>
  <c r="AE146" i="1"/>
  <c r="AD146" i="1"/>
  <c r="AC146" i="1"/>
  <c r="AB146" i="1"/>
  <c r="AA146" i="1"/>
  <c r="Z146" i="1"/>
  <c r="Y146" i="1"/>
  <c r="X146" i="1"/>
  <c r="W146" i="1"/>
  <c r="U146" i="1"/>
  <c r="T146" i="1"/>
  <c r="S146" i="1"/>
  <c r="R146" i="1"/>
  <c r="Q146" i="1"/>
  <c r="P146" i="1"/>
  <c r="O146" i="1"/>
  <c r="DP145" i="1"/>
  <c r="DO145" i="1"/>
  <c r="DN145" i="1"/>
  <c r="DM145" i="1"/>
  <c r="DL145" i="1"/>
  <c r="DI145" i="1"/>
  <c r="DH145" i="1"/>
  <c r="DG145" i="1"/>
  <c r="DF145" i="1"/>
  <c r="DE145" i="1"/>
  <c r="DB145" i="1"/>
  <c r="DA145" i="1"/>
  <c r="CZ145" i="1"/>
  <c r="CY145" i="1"/>
  <c r="CX145" i="1"/>
  <c r="CU145" i="1"/>
  <c r="CT145" i="1"/>
  <c r="CS145" i="1"/>
  <c r="CR145" i="1"/>
  <c r="CQ145" i="1"/>
  <c r="CK145" i="1"/>
  <c r="CJ145" i="1"/>
  <c r="CI145" i="1"/>
  <c r="CH145" i="1"/>
  <c r="CG145" i="1"/>
  <c r="CA145" i="1"/>
  <c r="BZ145" i="1"/>
  <c r="BY145" i="1"/>
  <c r="BX145" i="1"/>
  <c r="BW145" i="1"/>
  <c r="BL145" i="1"/>
  <c r="BK145" i="1"/>
  <c r="BJ145" i="1"/>
  <c r="BI145" i="1"/>
  <c r="BH145" i="1"/>
  <c r="BE145" i="1"/>
  <c r="BD145" i="1"/>
  <c r="BC145" i="1"/>
  <c r="BB145" i="1"/>
  <c r="BA145" i="1"/>
  <c r="AX145" i="1"/>
  <c r="AR145" i="1"/>
  <c r="AQ145" i="1"/>
  <c r="AP145" i="1"/>
  <c r="AM145" i="1"/>
  <c r="AL145" i="1"/>
  <c r="AK145" i="1"/>
  <c r="AJ145" i="1"/>
  <c r="AI145" i="1"/>
  <c r="AH145" i="1"/>
  <c r="AG145" i="1"/>
  <c r="AE145" i="1"/>
  <c r="AD145" i="1"/>
  <c r="AC145" i="1"/>
  <c r="AB145" i="1"/>
  <c r="AA145" i="1"/>
  <c r="Z145" i="1"/>
  <c r="Y145" i="1"/>
  <c r="X145" i="1"/>
  <c r="W145" i="1"/>
  <c r="U145" i="1"/>
  <c r="T145" i="1"/>
  <c r="S145" i="1"/>
  <c r="R145" i="1"/>
  <c r="Q145" i="1"/>
  <c r="P145" i="1"/>
  <c r="O145" i="1"/>
  <c r="DP144" i="1"/>
  <c r="DO144" i="1"/>
  <c r="DN144" i="1"/>
  <c r="DM144" i="1"/>
  <c r="DL144" i="1"/>
  <c r="DI144" i="1"/>
  <c r="DH144" i="1"/>
  <c r="DG144" i="1"/>
  <c r="DF144" i="1"/>
  <c r="DE144" i="1"/>
  <c r="DB144" i="1"/>
  <c r="DA144" i="1"/>
  <c r="CZ144" i="1"/>
  <c r="CY144" i="1"/>
  <c r="CX144" i="1"/>
  <c r="CU144" i="1"/>
  <c r="CT144" i="1"/>
  <c r="CS144" i="1"/>
  <c r="CR144" i="1"/>
  <c r="CQ144" i="1"/>
  <c r="CK144" i="1"/>
  <c r="CJ144" i="1"/>
  <c r="CI144" i="1"/>
  <c r="CH144" i="1"/>
  <c r="CG144" i="1"/>
  <c r="CA144" i="1"/>
  <c r="BZ144" i="1"/>
  <c r="BY144" i="1"/>
  <c r="BX144" i="1"/>
  <c r="BW144" i="1"/>
  <c r="BL144" i="1"/>
  <c r="BK144" i="1"/>
  <c r="BJ144" i="1"/>
  <c r="BI144" i="1"/>
  <c r="BH144" i="1"/>
  <c r="BE144" i="1"/>
  <c r="BD144" i="1"/>
  <c r="BC144" i="1"/>
  <c r="BB144" i="1"/>
  <c r="BA144" i="1"/>
  <c r="AX144" i="1"/>
  <c r="AR144" i="1"/>
  <c r="AQ144" i="1"/>
  <c r="AP144" i="1"/>
  <c r="AM144" i="1"/>
  <c r="AL144" i="1"/>
  <c r="AK144" i="1"/>
  <c r="AJ144" i="1"/>
  <c r="AI144" i="1"/>
  <c r="AH144" i="1"/>
  <c r="AG144" i="1"/>
  <c r="AE144" i="1"/>
  <c r="AD144" i="1"/>
  <c r="AC144" i="1"/>
  <c r="AB144" i="1"/>
  <c r="AA144" i="1"/>
  <c r="Z144" i="1"/>
  <c r="Y144" i="1"/>
  <c r="X144" i="1"/>
  <c r="W144" i="1"/>
  <c r="U144" i="1"/>
  <c r="T144" i="1"/>
  <c r="S144" i="1"/>
  <c r="R144" i="1"/>
  <c r="Q144" i="1"/>
  <c r="P144" i="1"/>
  <c r="O144" i="1"/>
  <c r="DP143" i="1"/>
  <c r="DO143" i="1"/>
  <c r="DN143" i="1"/>
  <c r="DM143" i="1"/>
  <c r="DL143" i="1"/>
  <c r="DI143" i="1"/>
  <c r="DH143" i="1"/>
  <c r="DG143" i="1"/>
  <c r="DF143" i="1"/>
  <c r="DE143" i="1"/>
  <c r="DB143" i="1"/>
  <c r="DA143" i="1"/>
  <c r="CZ143" i="1"/>
  <c r="CY143" i="1"/>
  <c r="CX143" i="1"/>
  <c r="CU143" i="1"/>
  <c r="CT143" i="1"/>
  <c r="CS143" i="1"/>
  <c r="CR143" i="1"/>
  <c r="CQ143" i="1"/>
  <c r="CK143" i="1"/>
  <c r="CJ143" i="1"/>
  <c r="CI143" i="1"/>
  <c r="CH143" i="1"/>
  <c r="CG143" i="1"/>
  <c r="CA143" i="1"/>
  <c r="BZ143" i="1"/>
  <c r="BY143" i="1"/>
  <c r="BX143" i="1"/>
  <c r="BW143" i="1"/>
  <c r="BL143" i="1"/>
  <c r="BK143" i="1"/>
  <c r="BJ143" i="1"/>
  <c r="BI143" i="1"/>
  <c r="BH143" i="1"/>
  <c r="BE143" i="1"/>
  <c r="BD143" i="1"/>
  <c r="BC143" i="1"/>
  <c r="BB143" i="1"/>
  <c r="BA143" i="1"/>
  <c r="AX143" i="1"/>
  <c r="AR143" i="1"/>
  <c r="AQ143" i="1"/>
  <c r="AP143" i="1"/>
  <c r="AM143" i="1"/>
  <c r="AL143" i="1"/>
  <c r="AK143" i="1"/>
  <c r="AJ143" i="1"/>
  <c r="AI143" i="1"/>
  <c r="AH143" i="1"/>
  <c r="AG143" i="1"/>
  <c r="AE143" i="1"/>
  <c r="AD143" i="1"/>
  <c r="AC143" i="1"/>
  <c r="AB143" i="1"/>
  <c r="AA143" i="1"/>
  <c r="Z143" i="1"/>
  <c r="Y143" i="1"/>
  <c r="X143" i="1"/>
  <c r="W143" i="1"/>
  <c r="U143" i="1"/>
  <c r="T143" i="1"/>
  <c r="S143" i="1"/>
  <c r="R143" i="1"/>
  <c r="Q143" i="1"/>
  <c r="P143" i="1"/>
  <c r="O143" i="1"/>
  <c r="DP142" i="1"/>
  <c r="DO142" i="1"/>
  <c r="DN142" i="1"/>
  <c r="DM142" i="1"/>
  <c r="DL142" i="1"/>
  <c r="DI142" i="1"/>
  <c r="DH142" i="1"/>
  <c r="DG142" i="1"/>
  <c r="DF142" i="1"/>
  <c r="DE142" i="1"/>
  <c r="DB142" i="1"/>
  <c r="DA142" i="1"/>
  <c r="CZ142" i="1"/>
  <c r="CY142" i="1"/>
  <c r="CX142" i="1"/>
  <c r="CU142" i="1"/>
  <c r="CT142" i="1"/>
  <c r="CS142" i="1"/>
  <c r="CR142" i="1"/>
  <c r="CQ142" i="1"/>
  <c r="CK142" i="1"/>
  <c r="CJ142" i="1"/>
  <c r="CI142" i="1"/>
  <c r="CH142" i="1"/>
  <c r="CG142" i="1"/>
  <c r="CA142" i="1"/>
  <c r="BZ142" i="1"/>
  <c r="BY142" i="1"/>
  <c r="BX142" i="1"/>
  <c r="BW142" i="1"/>
  <c r="BL142" i="1"/>
  <c r="BK142" i="1"/>
  <c r="BJ142" i="1"/>
  <c r="BI142" i="1"/>
  <c r="BH142" i="1"/>
  <c r="BE142" i="1"/>
  <c r="BD142" i="1"/>
  <c r="BC142" i="1"/>
  <c r="BB142" i="1"/>
  <c r="BA142" i="1"/>
  <c r="AX142" i="1"/>
  <c r="AR142" i="1"/>
  <c r="AQ142" i="1"/>
  <c r="AP142" i="1"/>
  <c r="AM142" i="1"/>
  <c r="AL142" i="1"/>
  <c r="AK142" i="1"/>
  <c r="AJ142" i="1"/>
  <c r="AI142" i="1"/>
  <c r="AH142" i="1"/>
  <c r="AG142" i="1"/>
  <c r="AE142" i="1"/>
  <c r="AD142" i="1"/>
  <c r="AC142" i="1"/>
  <c r="AB142" i="1"/>
  <c r="AA142" i="1"/>
  <c r="Z142" i="1"/>
  <c r="Y142" i="1"/>
  <c r="X142" i="1"/>
  <c r="W142" i="1"/>
  <c r="U142" i="1"/>
  <c r="T142" i="1"/>
  <c r="S142" i="1"/>
  <c r="R142" i="1"/>
  <c r="Q142" i="1"/>
  <c r="P142" i="1"/>
  <c r="O142" i="1"/>
  <c r="DP141" i="1"/>
  <c r="DO141" i="1"/>
  <c r="DN141" i="1"/>
  <c r="DM141" i="1"/>
  <c r="DL141" i="1"/>
  <c r="DI141" i="1"/>
  <c r="DH141" i="1"/>
  <c r="DG141" i="1"/>
  <c r="DF141" i="1"/>
  <c r="DE141" i="1"/>
  <c r="DB141" i="1"/>
  <c r="DA141" i="1"/>
  <c r="CZ141" i="1"/>
  <c r="CY141" i="1"/>
  <c r="CX141" i="1"/>
  <c r="CU141" i="1"/>
  <c r="CT141" i="1"/>
  <c r="CS141" i="1"/>
  <c r="CR141" i="1"/>
  <c r="CQ141" i="1"/>
  <c r="CK141" i="1"/>
  <c r="CJ141" i="1"/>
  <c r="CI141" i="1"/>
  <c r="CH141" i="1"/>
  <c r="CG141" i="1"/>
  <c r="CA141" i="1"/>
  <c r="BZ141" i="1"/>
  <c r="BY141" i="1"/>
  <c r="BX141" i="1"/>
  <c r="BW141" i="1"/>
  <c r="BL141" i="1"/>
  <c r="BK141" i="1"/>
  <c r="BJ141" i="1"/>
  <c r="BI141" i="1"/>
  <c r="BH141" i="1"/>
  <c r="BE141" i="1"/>
  <c r="BD141" i="1"/>
  <c r="BC141" i="1"/>
  <c r="BB141" i="1"/>
  <c r="BA141" i="1"/>
  <c r="AX141" i="1"/>
  <c r="AR141" i="1"/>
  <c r="AQ141" i="1"/>
  <c r="AP141" i="1"/>
  <c r="AM141" i="1"/>
  <c r="AL141" i="1"/>
  <c r="AK141" i="1"/>
  <c r="AJ141" i="1"/>
  <c r="AI141" i="1"/>
  <c r="AH141" i="1"/>
  <c r="AG141" i="1"/>
  <c r="AE141" i="1"/>
  <c r="AD141" i="1"/>
  <c r="AC141" i="1"/>
  <c r="AB141" i="1"/>
  <c r="AA141" i="1"/>
  <c r="Z141" i="1"/>
  <c r="Y141" i="1"/>
  <c r="X141" i="1"/>
  <c r="W141" i="1"/>
  <c r="U141" i="1"/>
  <c r="T141" i="1"/>
  <c r="S141" i="1"/>
  <c r="R141" i="1"/>
  <c r="Q141" i="1"/>
  <c r="P141" i="1"/>
  <c r="O141" i="1"/>
  <c r="DP140" i="1"/>
  <c r="DO140" i="1"/>
  <c r="DN140" i="1"/>
  <c r="DM140" i="1"/>
  <c r="DL140" i="1"/>
  <c r="DI140" i="1"/>
  <c r="DH140" i="1"/>
  <c r="DG140" i="1"/>
  <c r="DF140" i="1"/>
  <c r="DE140" i="1"/>
  <c r="DB140" i="1"/>
  <c r="DA140" i="1"/>
  <c r="CZ140" i="1"/>
  <c r="CY140" i="1"/>
  <c r="CX140" i="1"/>
  <c r="CU140" i="1"/>
  <c r="CT140" i="1"/>
  <c r="CS140" i="1"/>
  <c r="CR140" i="1"/>
  <c r="CQ140" i="1"/>
  <c r="CK140" i="1"/>
  <c r="CJ140" i="1"/>
  <c r="CI140" i="1"/>
  <c r="CH140" i="1"/>
  <c r="CG140" i="1"/>
  <c r="CA140" i="1"/>
  <c r="BZ140" i="1"/>
  <c r="BY140" i="1"/>
  <c r="BX140" i="1"/>
  <c r="BW140" i="1"/>
  <c r="BL140" i="1"/>
  <c r="BK140" i="1"/>
  <c r="BJ140" i="1"/>
  <c r="BI140" i="1"/>
  <c r="BH140" i="1"/>
  <c r="BE140" i="1"/>
  <c r="BD140" i="1"/>
  <c r="BC140" i="1"/>
  <c r="BB140" i="1"/>
  <c r="BA140" i="1"/>
  <c r="AX140" i="1"/>
  <c r="AR140" i="1"/>
  <c r="AQ140" i="1"/>
  <c r="AP140" i="1"/>
  <c r="AM140" i="1"/>
  <c r="AL140" i="1"/>
  <c r="AK140" i="1"/>
  <c r="AJ140" i="1"/>
  <c r="AI140" i="1"/>
  <c r="AH140" i="1"/>
  <c r="AG140" i="1"/>
  <c r="AE140" i="1"/>
  <c r="AD140" i="1"/>
  <c r="AC140" i="1"/>
  <c r="AB140" i="1"/>
  <c r="AA140" i="1"/>
  <c r="Z140" i="1"/>
  <c r="Y140" i="1"/>
  <c r="X140" i="1"/>
  <c r="W140" i="1"/>
  <c r="U140" i="1"/>
  <c r="T140" i="1"/>
  <c r="S140" i="1"/>
  <c r="R140" i="1"/>
  <c r="Q140" i="1"/>
  <c r="P140" i="1"/>
  <c r="O140" i="1"/>
  <c r="DP139" i="1"/>
  <c r="DO139" i="1"/>
  <c r="DN139" i="1"/>
  <c r="DM139" i="1"/>
  <c r="DL139" i="1"/>
  <c r="DI139" i="1"/>
  <c r="DH139" i="1"/>
  <c r="DG139" i="1"/>
  <c r="DF139" i="1"/>
  <c r="DE139" i="1"/>
  <c r="DB139" i="1"/>
  <c r="DA139" i="1"/>
  <c r="CZ139" i="1"/>
  <c r="CY139" i="1"/>
  <c r="CX139" i="1"/>
  <c r="CU139" i="1"/>
  <c r="CT139" i="1"/>
  <c r="CS139" i="1"/>
  <c r="CR139" i="1"/>
  <c r="CQ139" i="1"/>
  <c r="CK139" i="1"/>
  <c r="CJ139" i="1"/>
  <c r="CI139" i="1"/>
  <c r="CH139" i="1"/>
  <c r="CG139" i="1"/>
  <c r="CA139" i="1"/>
  <c r="BZ139" i="1"/>
  <c r="BY139" i="1"/>
  <c r="BX139" i="1"/>
  <c r="BW139" i="1"/>
  <c r="BL139" i="1"/>
  <c r="BK139" i="1"/>
  <c r="BJ139" i="1"/>
  <c r="BI139" i="1"/>
  <c r="BH139" i="1"/>
  <c r="BE139" i="1"/>
  <c r="BD139" i="1"/>
  <c r="BC139" i="1"/>
  <c r="BB139" i="1"/>
  <c r="BA139" i="1"/>
  <c r="AX139" i="1"/>
  <c r="AR139" i="1"/>
  <c r="AQ139" i="1"/>
  <c r="AP139" i="1"/>
  <c r="AM139" i="1"/>
  <c r="AL139" i="1"/>
  <c r="AK139" i="1"/>
  <c r="AJ139" i="1"/>
  <c r="AI139" i="1"/>
  <c r="AH139" i="1"/>
  <c r="AG139" i="1"/>
  <c r="AE139" i="1"/>
  <c r="AD139" i="1"/>
  <c r="AC139" i="1"/>
  <c r="AB139" i="1"/>
  <c r="AA139" i="1"/>
  <c r="Z139" i="1"/>
  <c r="Y139" i="1"/>
  <c r="X139" i="1"/>
  <c r="W139" i="1"/>
  <c r="U139" i="1"/>
  <c r="T139" i="1"/>
  <c r="S139" i="1"/>
  <c r="R139" i="1"/>
  <c r="Q139" i="1"/>
  <c r="P139" i="1"/>
  <c r="O139" i="1"/>
  <c r="DP138" i="1"/>
  <c r="DO138" i="1"/>
  <c r="DN138" i="1"/>
  <c r="DM138" i="1"/>
  <c r="DL138" i="1"/>
  <c r="DI138" i="1"/>
  <c r="DH138" i="1"/>
  <c r="DG138" i="1"/>
  <c r="DF138" i="1"/>
  <c r="DE138" i="1"/>
  <c r="DB138" i="1"/>
  <c r="DA138" i="1"/>
  <c r="CZ138" i="1"/>
  <c r="CY138" i="1"/>
  <c r="CX138" i="1"/>
  <c r="CU138" i="1"/>
  <c r="CT138" i="1"/>
  <c r="CS138" i="1"/>
  <c r="CR138" i="1"/>
  <c r="CQ138" i="1"/>
  <c r="CK138" i="1"/>
  <c r="CJ138" i="1"/>
  <c r="CI138" i="1"/>
  <c r="CH138" i="1"/>
  <c r="CG138" i="1"/>
  <c r="CA138" i="1"/>
  <c r="BZ138" i="1"/>
  <c r="BY138" i="1"/>
  <c r="BX138" i="1"/>
  <c r="BW138" i="1"/>
  <c r="BL138" i="1"/>
  <c r="BK138" i="1"/>
  <c r="BJ138" i="1"/>
  <c r="BI138" i="1"/>
  <c r="BH138" i="1"/>
  <c r="BE138" i="1"/>
  <c r="BD138" i="1"/>
  <c r="BC138" i="1"/>
  <c r="BB138" i="1"/>
  <c r="BA138" i="1"/>
  <c r="AX138" i="1"/>
  <c r="AR138" i="1"/>
  <c r="AQ138" i="1"/>
  <c r="AP138" i="1"/>
  <c r="AM138" i="1"/>
  <c r="AL138" i="1"/>
  <c r="AK138" i="1"/>
  <c r="AJ138" i="1"/>
  <c r="AI138" i="1"/>
  <c r="AH138" i="1"/>
  <c r="AG138" i="1"/>
  <c r="AE138" i="1"/>
  <c r="AD138" i="1"/>
  <c r="AC138" i="1"/>
  <c r="AB138" i="1"/>
  <c r="AA138" i="1"/>
  <c r="Z138" i="1"/>
  <c r="Y138" i="1"/>
  <c r="X138" i="1"/>
  <c r="W138" i="1"/>
  <c r="U138" i="1"/>
  <c r="T138" i="1"/>
  <c r="S138" i="1"/>
  <c r="R138" i="1"/>
  <c r="Q138" i="1"/>
  <c r="P138" i="1"/>
  <c r="O138" i="1"/>
  <c r="DP137" i="1"/>
  <c r="DO137" i="1"/>
  <c r="DN137" i="1"/>
  <c r="DM137" i="1"/>
  <c r="DL137" i="1"/>
  <c r="DI137" i="1"/>
  <c r="DH137" i="1"/>
  <c r="DG137" i="1"/>
  <c r="DF137" i="1"/>
  <c r="DE137" i="1"/>
  <c r="DB137" i="1"/>
  <c r="DA137" i="1"/>
  <c r="CZ137" i="1"/>
  <c r="CY137" i="1"/>
  <c r="CX137" i="1"/>
  <c r="CU137" i="1"/>
  <c r="CT137" i="1"/>
  <c r="CS137" i="1"/>
  <c r="CR137" i="1"/>
  <c r="CQ137" i="1"/>
  <c r="CK137" i="1"/>
  <c r="CJ137" i="1"/>
  <c r="CI137" i="1"/>
  <c r="CH137" i="1"/>
  <c r="CG137" i="1"/>
  <c r="CA137" i="1"/>
  <c r="BZ137" i="1"/>
  <c r="BY137" i="1"/>
  <c r="BX137" i="1"/>
  <c r="BW137" i="1"/>
  <c r="BL137" i="1"/>
  <c r="BK137" i="1"/>
  <c r="BJ137" i="1"/>
  <c r="BI137" i="1"/>
  <c r="BH137" i="1"/>
  <c r="BE137" i="1"/>
  <c r="BD137" i="1"/>
  <c r="BC137" i="1"/>
  <c r="BB137" i="1"/>
  <c r="BA137" i="1"/>
  <c r="AX137" i="1"/>
  <c r="AR137" i="1"/>
  <c r="AQ137" i="1"/>
  <c r="AP137" i="1"/>
  <c r="AM137" i="1"/>
  <c r="AL137" i="1"/>
  <c r="AK137" i="1"/>
  <c r="AJ137" i="1"/>
  <c r="AI137" i="1"/>
  <c r="AH137" i="1"/>
  <c r="AG137" i="1"/>
  <c r="AE137" i="1"/>
  <c r="AD137" i="1"/>
  <c r="AC137" i="1"/>
  <c r="AB137" i="1"/>
  <c r="AA137" i="1"/>
  <c r="Z137" i="1"/>
  <c r="Y137" i="1"/>
  <c r="X137" i="1"/>
  <c r="W137" i="1"/>
  <c r="U137" i="1"/>
  <c r="T137" i="1"/>
  <c r="S137" i="1"/>
  <c r="R137" i="1"/>
  <c r="Q137" i="1"/>
  <c r="P137" i="1"/>
  <c r="O137" i="1"/>
  <c r="DP136" i="1"/>
  <c r="DO136" i="1"/>
  <c r="DN136" i="1"/>
  <c r="DM136" i="1"/>
  <c r="DL136" i="1"/>
  <c r="DI136" i="1"/>
  <c r="DH136" i="1"/>
  <c r="DG136" i="1"/>
  <c r="DF136" i="1"/>
  <c r="DE136" i="1"/>
  <c r="DB136" i="1"/>
  <c r="DA136" i="1"/>
  <c r="CZ136" i="1"/>
  <c r="CY136" i="1"/>
  <c r="CX136" i="1"/>
  <c r="CU136" i="1"/>
  <c r="CT136" i="1"/>
  <c r="CS136" i="1"/>
  <c r="CR136" i="1"/>
  <c r="CQ136" i="1"/>
  <c r="CK136" i="1"/>
  <c r="CJ136" i="1"/>
  <c r="CI136" i="1"/>
  <c r="CH136" i="1"/>
  <c r="CG136" i="1"/>
  <c r="CA136" i="1"/>
  <c r="BZ136" i="1"/>
  <c r="BY136" i="1"/>
  <c r="BX136" i="1"/>
  <c r="BW136" i="1"/>
  <c r="BL136" i="1"/>
  <c r="BK136" i="1"/>
  <c r="BJ136" i="1"/>
  <c r="BI136" i="1"/>
  <c r="BH136" i="1"/>
  <c r="BE136" i="1"/>
  <c r="BD136" i="1"/>
  <c r="BC136" i="1"/>
  <c r="BB136" i="1"/>
  <c r="BA136" i="1"/>
  <c r="AX136" i="1"/>
  <c r="AR136" i="1"/>
  <c r="AQ136" i="1"/>
  <c r="AP136" i="1"/>
  <c r="AM136" i="1"/>
  <c r="AL136" i="1"/>
  <c r="AK136" i="1"/>
  <c r="AJ136" i="1"/>
  <c r="AI136" i="1"/>
  <c r="AH136" i="1"/>
  <c r="AG136" i="1"/>
  <c r="AE136" i="1"/>
  <c r="AD136" i="1"/>
  <c r="AC136" i="1"/>
  <c r="AB136" i="1"/>
  <c r="AA136" i="1"/>
  <c r="Z136" i="1"/>
  <c r="Y136" i="1"/>
  <c r="X136" i="1"/>
  <c r="W136" i="1"/>
  <c r="U136" i="1"/>
  <c r="T136" i="1"/>
  <c r="S136" i="1"/>
  <c r="R136" i="1"/>
  <c r="Q136" i="1"/>
  <c r="P136" i="1"/>
  <c r="O136" i="1"/>
  <c r="DP135" i="1"/>
  <c r="DO135" i="1"/>
  <c r="DN135" i="1"/>
  <c r="DM135" i="1"/>
  <c r="DL135" i="1"/>
  <c r="DI135" i="1"/>
  <c r="DH135" i="1"/>
  <c r="DG135" i="1"/>
  <c r="DF135" i="1"/>
  <c r="DE135" i="1"/>
  <c r="DB135" i="1"/>
  <c r="DA135" i="1"/>
  <c r="CZ135" i="1"/>
  <c r="CY135" i="1"/>
  <c r="CX135" i="1"/>
  <c r="CU135" i="1"/>
  <c r="CT135" i="1"/>
  <c r="CS135" i="1"/>
  <c r="CR135" i="1"/>
  <c r="CQ135" i="1"/>
  <c r="CK135" i="1"/>
  <c r="CJ135" i="1"/>
  <c r="CI135" i="1"/>
  <c r="CH135" i="1"/>
  <c r="CG135" i="1"/>
  <c r="CA135" i="1"/>
  <c r="BZ135" i="1"/>
  <c r="BY135" i="1"/>
  <c r="BX135" i="1"/>
  <c r="BW135" i="1"/>
  <c r="BL135" i="1"/>
  <c r="BK135" i="1"/>
  <c r="BJ135" i="1"/>
  <c r="BI135" i="1"/>
  <c r="BH135" i="1"/>
  <c r="BE135" i="1"/>
  <c r="BD135" i="1"/>
  <c r="BC135" i="1"/>
  <c r="BB135" i="1"/>
  <c r="BA135" i="1"/>
  <c r="AX135" i="1"/>
  <c r="AR135" i="1"/>
  <c r="AQ135" i="1"/>
  <c r="AP135" i="1"/>
  <c r="AM135" i="1"/>
  <c r="AL135" i="1"/>
  <c r="AK135" i="1"/>
  <c r="AJ135" i="1"/>
  <c r="AI135" i="1"/>
  <c r="AH135" i="1"/>
  <c r="AG135" i="1"/>
  <c r="AE135" i="1"/>
  <c r="AD135" i="1"/>
  <c r="AC135" i="1"/>
  <c r="AB135" i="1"/>
  <c r="AA135" i="1"/>
  <c r="Z135" i="1"/>
  <c r="Y135" i="1"/>
  <c r="X135" i="1"/>
  <c r="W135" i="1"/>
  <c r="U135" i="1"/>
  <c r="T135" i="1"/>
  <c r="S135" i="1"/>
  <c r="R135" i="1"/>
  <c r="Q135" i="1"/>
  <c r="P135" i="1"/>
  <c r="O135" i="1"/>
  <c r="DP134" i="1"/>
  <c r="DO134" i="1"/>
  <c r="DN134" i="1"/>
  <c r="DM134" i="1"/>
  <c r="DL134" i="1"/>
  <c r="DI134" i="1"/>
  <c r="DH134" i="1"/>
  <c r="DG134" i="1"/>
  <c r="DF134" i="1"/>
  <c r="DE134" i="1"/>
  <c r="DB134" i="1"/>
  <c r="DA134" i="1"/>
  <c r="CZ134" i="1"/>
  <c r="CY134" i="1"/>
  <c r="CX134" i="1"/>
  <c r="CU134" i="1"/>
  <c r="CT134" i="1"/>
  <c r="CS134" i="1"/>
  <c r="CR134" i="1"/>
  <c r="CQ134" i="1"/>
  <c r="CK134" i="1"/>
  <c r="CJ134" i="1"/>
  <c r="CI134" i="1"/>
  <c r="CH134" i="1"/>
  <c r="CG134" i="1"/>
  <c r="CA134" i="1"/>
  <c r="BZ134" i="1"/>
  <c r="BY134" i="1"/>
  <c r="BX134" i="1"/>
  <c r="BW134" i="1"/>
  <c r="BL134" i="1"/>
  <c r="BK134" i="1"/>
  <c r="BJ134" i="1"/>
  <c r="BI134" i="1"/>
  <c r="BH134" i="1"/>
  <c r="BE134" i="1"/>
  <c r="BD134" i="1"/>
  <c r="BC134" i="1"/>
  <c r="BB134" i="1"/>
  <c r="BA134" i="1"/>
  <c r="AX134" i="1"/>
  <c r="AR134" i="1"/>
  <c r="AQ134" i="1"/>
  <c r="AP134" i="1"/>
  <c r="AM134" i="1"/>
  <c r="AL134" i="1"/>
  <c r="AK134" i="1"/>
  <c r="AJ134" i="1"/>
  <c r="AI134" i="1"/>
  <c r="AH134" i="1"/>
  <c r="AG134" i="1"/>
  <c r="AE134" i="1"/>
  <c r="AD134" i="1"/>
  <c r="AC134" i="1"/>
  <c r="AB134" i="1"/>
  <c r="AA134" i="1"/>
  <c r="Z134" i="1"/>
  <c r="Y134" i="1"/>
  <c r="X134" i="1"/>
  <c r="W134" i="1"/>
  <c r="U134" i="1"/>
  <c r="T134" i="1"/>
  <c r="S134" i="1"/>
  <c r="R134" i="1"/>
  <c r="Q134" i="1"/>
  <c r="P134" i="1"/>
  <c r="O134" i="1"/>
  <c r="DP133" i="1"/>
  <c r="DO133" i="1"/>
  <c r="DN133" i="1"/>
  <c r="DM133" i="1"/>
  <c r="DL133" i="1"/>
  <c r="DI133" i="1"/>
  <c r="DH133" i="1"/>
  <c r="DG133" i="1"/>
  <c r="DF133" i="1"/>
  <c r="DE133" i="1"/>
  <c r="DB133" i="1"/>
  <c r="DA133" i="1"/>
  <c r="CZ133" i="1"/>
  <c r="CY133" i="1"/>
  <c r="CX133" i="1"/>
  <c r="CU133" i="1"/>
  <c r="CT133" i="1"/>
  <c r="CS133" i="1"/>
  <c r="CR133" i="1"/>
  <c r="CQ133" i="1"/>
  <c r="CK133" i="1"/>
  <c r="CJ133" i="1"/>
  <c r="CI133" i="1"/>
  <c r="CH133" i="1"/>
  <c r="CG133" i="1"/>
  <c r="CA133" i="1"/>
  <c r="BZ133" i="1"/>
  <c r="BY133" i="1"/>
  <c r="BX133" i="1"/>
  <c r="BW133" i="1"/>
  <c r="BL133" i="1"/>
  <c r="BK133" i="1"/>
  <c r="BJ133" i="1"/>
  <c r="BI133" i="1"/>
  <c r="BH133" i="1"/>
  <c r="BE133" i="1"/>
  <c r="BD133" i="1"/>
  <c r="BC133" i="1"/>
  <c r="BB133" i="1"/>
  <c r="BA133" i="1"/>
  <c r="AX133" i="1"/>
  <c r="AR133" i="1"/>
  <c r="AQ133" i="1"/>
  <c r="AP133" i="1"/>
  <c r="AM133" i="1"/>
  <c r="AL133" i="1"/>
  <c r="AK133" i="1"/>
  <c r="AJ133" i="1"/>
  <c r="AI133" i="1"/>
  <c r="AH133" i="1"/>
  <c r="AG133" i="1"/>
  <c r="AE133" i="1"/>
  <c r="AD133" i="1"/>
  <c r="AC133" i="1"/>
  <c r="AB133" i="1"/>
  <c r="AA133" i="1"/>
  <c r="Z133" i="1"/>
  <c r="Y133" i="1"/>
  <c r="X133" i="1"/>
  <c r="W133" i="1"/>
  <c r="U133" i="1"/>
  <c r="T133" i="1"/>
  <c r="S133" i="1"/>
  <c r="R133" i="1"/>
  <c r="Q133" i="1"/>
  <c r="P133" i="1"/>
  <c r="O133" i="1"/>
  <c r="DP132" i="1"/>
  <c r="DO132" i="1"/>
  <c r="DN132" i="1"/>
  <c r="DM132" i="1"/>
  <c r="DL132" i="1"/>
  <c r="DI132" i="1"/>
  <c r="DH132" i="1"/>
  <c r="DG132" i="1"/>
  <c r="DF132" i="1"/>
  <c r="DE132" i="1"/>
  <c r="DB132" i="1"/>
  <c r="DA132" i="1"/>
  <c r="CZ132" i="1"/>
  <c r="CY132" i="1"/>
  <c r="CX132" i="1"/>
  <c r="CU132" i="1"/>
  <c r="CT132" i="1"/>
  <c r="CS132" i="1"/>
  <c r="CR132" i="1"/>
  <c r="CQ132" i="1"/>
  <c r="CK132" i="1"/>
  <c r="CJ132" i="1"/>
  <c r="CI132" i="1"/>
  <c r="CH132" i="1"/>
  <c r="CG132" i="1"/>
  <c r="CA132" i="1"/>
  <c r="BZ132" i="1"/>
  <c r="BY132" i="1"/>
  <c r="BX132" i="1"/>
  <c r="BW132" i="1"/>
  <c r="BL132" i="1"/>
  <c r="BK132" i="1"/>
  <c r="BJ132" i="1"/>
  <c r="BI132" i="1"/>
  <c r="BH132" i="1"/>
  <c r="BE132" i="1"/>
  <c r="BD132" i="1"/>
  <c r="BC132" i="1"/>
  <c r="BB132" i="1"/>
  <c r="BA132" i="1"/>
  <c r="AX132" i="1"/>
  <c r="AR132" i="1"/>
  <c r="AQ132" i="1"/>
  <c r="AP132" i="1"/>
  <c r="AM132" i="1"/>
  <c r="AL132" i="1"/>
  <c r="AK132" i="1"/>
  <c r="AJ132" i="1"/>
  <c r="AI132" i="1"/>
  <c r="AH132" i="1"/>
  <c r="AG132" i="1"/>
  <c r="AE132" i="1"/>
  <c r="AD132" i="1"/>
  <c r="AC132" i="1"/>
  <c r="AB132" i="1"/>
  <c r="AA132" i="1"/>
  <c r="Z132" i="1"/>
  <c r="Y132" i="1"/>
  <c r="X132" i="1"/>
  <c r="W132" i="1"/>
  <c r="U132" i="1"/>
  <c r="T132" i="1"/>
  <c r="S132" i="1"/>
  <c r="R132" i="1"/>
  <c r="Q132" i="1"/>
  <c r="P132" i="1"/>
  <c r="O132" i="1"/>
  <c r="DP131" i="1"/>
  <c r="DO131" i="1"/>
  <c r="DN131" i="1"/>
  <c r="DM131" i="1"/>
  <c r="DL131" i="1"/>
  <c r="DI131" i="1"/>
  <c r="DH131" i="1"/>
  <c r="DG131" i="1"/>
  <c r="DF131" i="1"/>
  <c r="DE131" i="1"/>
  <c r="DB131" i="1"/>
  <c r="DA131" i="1"/>
  <c r="CZ131" i="1"/>
  <c r="CY131" i="1"/>
  <c r="CX131" i="1"/>
  <c r="CU131" i="1"/>
  <c r="CT131" i="1"/>
  <c r="CS131" i="1"/>
  <c r="CR131" i="1"/>
  <c r="CQ131" i="1"/>
  <c r="CK131" i="1"/>
  <c r="CJ131" i="1"/>
  <c r="CI131" i="1"/>
  <c r="CH131" i="1"/>
  <c r="CG131" i="1"/>
  <c r="CA131" i="1"/>
  <c r="BZ131" i="1"/>
  <c r="BY131" i="1"/>
  <c r="BX131" i="1"/>
  <c r="BW131" i="1"/>
  <c r="BL131" i="1"/>
  <c r="BK131" i="1"/>
  <c r="BJ131" i="1"/>
  <c r="BI131" i="1"/>
  <c r="BH131" i="1"/>
  <c r="BE131" i="1"/>
  <c r="BD131" i="1"/>
  <c r="BC131" i="1"/>
  <c r="BB131" i="1"/>
  <c r="BA131" i="1"/>
  <c r="AX131" i="1"/>
  <c r="AR131" i="1"/>
  <c r="AQ131" i="1"/>
  <c r="AP131" i="1"/>
  <c r="AM131" i="1"/>
  <c r="AL131" i="1"/>
  <c r="AK131" i="1"/>
  <c r="AJ131" i="1"/>
  <c r="AI131" i="1"/>
  <c r="AH131" i="1"/>
  <c r="AG131" i="1"/>
  <c r="AE131" i="1"/>
  <c r="AD131" i="1"/>
  <c r="AC131" i="1"/>
  <c r="AB131" i="1"/>
  <c r="AA131" i="1"/>
  <c r="Z131" i="1"/>
  <c r="Y131" i="1"/>
  <c r="X131" i="1"/>
  <c r="W131" i="1"/>
  <c r="U131" i="1"/>
  <c r="T131" i="1"/>
  <c r="S131" i="1"/>
  <c r="R131" i="1"/>
  <c r="Q131" i="1"/>
  <c r="P131" i="1"/>
  <c r="O131" i="1"/>
  <c r="DP130" i="1"/>
  <c r="DO130" i="1"/>
  <c r="DN130" i="1"/>
  <c r="DM130" i="1"/>
  <c r="DL130" i="1"/>
  <c r="DI130" i="1"/>
  <c r="DH130" i="1"/>
  <c r="DG130" i="1"/>
  <c r="DF130" i="1"/>
  <c r="DE130" i="1"/>
  <c r="DB130" i="1"/>
  <c r="DA130" i="1"/>
  <c r="CZ130" i="1"/>
  <c r="CY130" i="1"/>
  <c r="CX130" i="1"/>
  <c r="CU130" i="1"/>
  <c r="CT130" i="1"/>
  <c r="CS130" i="1"/>
  <c r="CR130" i="1"/>
  <c r="CQ130" i="1"/>
  <c r="CK130" i="1"/>
  <c r="CJ130" i="1"/>
  <c r="CI130" i="1"/>
  <c r="CH130" i="1"/>
  <c r="CG130" i="1"/>
  <c r="CA130" i="1"/>
  <c r="BZ130" i="1"/>
  <c r="BY130" i="1"/>
  <c r="BX130" i="1"/>
  <c r="BW130" i="1"/>
  <c r="BL130" i="1"/>
  <c r="BK130" i="1"/>
  <c r="BJ130" i="1"/>
  <c r="BI130" i="1"/>
  <c r="BH130" i="1"/>
  <c r="BE130" i="1"/>
  <c r="BD130" i="1"/>
  <c r="BC130" i="1"/>
  <c r="BB130" i="1"/>
  <c r="BA130" i="1"/>
  <c r="AX130" i="1"/>
  <c r="AR130" i="1"/>
  <c r="AQ130" i="1"/>
  <c r="AP130" i="1"/>
  <c r="AM130" i="1"/>
  <c r="AL130" i="1"/>
  <c r="AK130" i="1"/>
  <c r="AJ130" i="1"/>
  <c r="AI130" i="1"/>
  <c r="AH130" i="1"/>
  <c r="AG130" i="1"/>
  <c r="AE130" i="1"/>
  <c r="AD130" i="1"/>
  <c r="AC130" i="1"/>
  <c r="AB130" i="1"/>
  <c r="AA130" i="1"/>
  <c r="Z130" i="1"/>
  <c r="Y130" i="1"/>
  <c r="X130" i="1"/>
  <c r="W130" i="1"/>
  <c r="U130" i="1"/>
  <c r="T130" i="1"/>
  <c r="S130" i="1"/>
  <c r="R130" i="1"/>
  <c r="Q130" i="1"/>
  <c r="P130" i="1"/>
  <c r="O130" i="1"/>
  <c r="DP129" i="1"/>
  <c r="DO129" i="1"/>
  <c r="DN129" i="1"/>
  <c r="DM129" i="1"/>
  <c r="DL129" i="1"/>
  <c r="DI129" i="1"/>
  <c r="DH129" i="1"/>
  <c r="DG129" i="1"/>
  <c r="DF129" i="1"/>
  <c r="DE129" i="1"/>
  <c r="DB129" i="1"/>
  <c r="DA129" i="1"/>
  <c r="CZ129" i="1"/>
  <c r="CY129" i="1"/>
  <c r="CX129" i="1"/>
  <c r="CU129" i="1"/>
  <c r="CT129" i="1"/>
  <c r="CS129" i="1"/>
  <c r="CR129" i="1"/>
  <c r="CQ129" i="1"/>
  <c r="CK129" i="1"/>
  <c r="CJ129" i="1"/>
  <c r="CI129" i="1"/>
  <c r="CH129" i="1"/>
  <c r="CG129" i="1"/>
  <c r="CA129" i="1"/>
  <c r="BZ129" i="1"/>
  <c r="BY129" i="1"/>
  <c r="BX129" i="1"/>
  <c r="BW129" i="1"/>
  <c r="BL129" i="1"/>
  <c r="BK129" i="1"/>
  <c r="BJ129" i="1"/>
  <c r="BI129" i="1"/>
  <c r="BH129" i="1"/>
  <c r="BE129" i="1"/>
  <c r="BD129" i="1"/>
  <c r="BC129" i="1"/>
  <c r="BB129" i="1"/>
  <c r="BA129" i="1"/>
  <c r="AX129" i="1"/>
  <c r="AR129" i="1"/>
  <c r="AQ129" i="1"/>
  <c r="AP129" i="1"/>
  <c r="AM129" i="1"/>
  <c r="AL129" i="1"/>
  <c r="AK129" i="1"/>
  <c r="AJ129" i="1"/>
  <c r="AI129" i="1"/>
  <c r="AH129" i="1"/>
  <c r="AG129" i="1"/>
  <c r="AE129" i="1"/>
  <c r="AD129" i="1"/>
  <c r="AC129" i="1"/>
  <c r="AB129" i="1"/>
  <c r="AA129" i="1"/>
  <c r="Z129" i="1"/>
  <c r="Y129" i="1"/>
  <c r="X129" i="1"/>
  <c r="W129" i="1"/>
  <c r="U129" i="1"/>
  <c r="T129" i="1"/>
  <c r="S129" i="1"/>
  <c r="R129" i="1"/>
  <c r="Q129" i="1"/>
  <c r="P129" i="1"/>
  <c r="O129" i="1"/>
  <c r="DP128" i="1"/>
  <c r="DO128" i="1"/>
  <c r="DN128" i="1"/>
  <c r="DM128" i="1"/>
  <c r="DL128" i="1"/>
  <c r="DI128" i="1"/>
  <c r="DH128" i="1"/>
  <c r="DG128" i="1"/>
  <c r="DF128" i="1"/>
  <c r="DE128" i="1"/>
  <c r="DB128" i="1"/>
  <c r="DA128" i="1"/>
  <c r="CZ128" i="1"/>
  <c r="CY128" i="1"/>
  <c r="CX128" i="1"/>
  <c r="CU128" i="1"/>
  <c r="CT128" i="1"/>
  <c r="CS128" i="1"/>
  <c r="CR128" i="1"/>
  <c r="CQ128" i="1"/>
  <c r="CK128" i="1"/>
  <c r="CJ128" i="1"/>
  <c r="CI128" i="1"/>
  <c r="CH128" i="1"/>
  <c r="CG128" i="1"/>
  <c r="CA128" i="1"/>
  <c r="BZ128" i="1"/>
  <c r="BY128" i="1"/>
  <c r="BX128" i="1"/>
  <c r="BW128" i="1"/>
  <c r="BL128" i="1"/>
  <c r="BK128" i="1"/>
  <c r="BJ128" i="1"/>
  <c r="BI128" i="1"/>
  <c r="BH128" i="1"/>
  <c r="BE128" i="1"/>
  <c r="BD128" i="1"/>
  <c r="BC128" i="1"/>
  <c r="BB128" i="1"/>
  <c r="BA128" i="1"/>
  <c r="AX128" i="1"/>
  <c r="AR128" i="1"/>
  <c r="AQ128" i="1"/>
  <c r="AP128" i="1"/>
  <c r="AM128" i="1"/>
  <c r="AL128" i="1"/>
  <c r="AK128" i="1"/>
  <c r="AJ128" i="1"/>
  <c r="AI128" i="1"/>
  <c r="AH128" i="1"/>
  <c r="AG128" i="1"/>
  <c r="AE128" i="1"/>
  <c r="AD128" i="1"/>
  <c r="AC128" i="1"/>
  <c r="AB128" i="1"/>
  <c r="AA128" i="1"/>
  <c r="Z128" i="1"/>
  <c r="Y128" i="1"/>
  <c r="X128" i="1"/>
  <c r="W128" i="1"/>
  <c r="U128" i="1"/>
  <c r="T128" i="1"/>
  <c r="S128" i="1"/>
  <c r="R128" i="1"/>
  <c r="Q128" i="1"/>
  <c r="P128" i="1"/>
  <c r="O128" i="1"/>
  <c r="DP127" i="1"/>
  <c r="DO127" i="1"/>
  <c r="DN127" i="1"/>
  <c r="DM127" i="1"/>
  <c r="DL127" i="1"/>
  <c r="DI127" i="1"/>
  <c r="DH127" i="1"/>
  <c r="DG127" i="1"/>
  <c r="DF127" i="1"/>
  <c r="DE127" i="1"/>
  <c r="DB127" i="1"/>
  <c r="DA127" i="1"/>
  <c r="CZ127" i="1"/>
  <c r="CY127" i="1"/>
  <c r="CX127" i="1"/>
  <c r="CU127" i="1"/>
  <c r="CT127" i="1"/>
  <c r="CS127" i="1"/>
  <c r="CR127" i="1"/>
  <c r="CQ127" i="1"/>
  <c r="CK127" i="1"/>
  <c r="CJ127" i="1"/>
  <c r="CI127" i="1"/>
  <c r="CH127" i="1"/>
  <c r="CG127" i="1"/>
  <c r="CA127" i="1"/>
  <c r="BZ127" i="1"/>
  <c r="BY127" i="1"/>
  <c r="BX127" i="1"/>
  <c r="BW127" i="1"/>
  <c r="BL127" i="1"/>
  <c r="BK127" i="1"/>
  <c r="BJ127" i="1"/>
  <c r="BI127" i="1"/>
  <c r="BH127" i="1"/>
  <c r="BE127" i="1"/>
  <c r="BD127" i="1"/>
  <c r="BC127" i="1"/>
  <c r="BB127" i="1"/>
  <c r="BA127" i="1"/>
  <c r="AX127" i="1"/>
  <c r="AR127" i="1"/>
  <c r="AQ127" i="1"/>
  <c r="AP127" i="1"/>
  <c r="AM127" i="1"/>
  <c r="AL127" i="1"/>
  <c r="AK127" i="1"/>
  <c r="AJ127" i="1"/>
  <c r="AI127" i="1"/>
  <c r="AH127" i="1"/>
  <c r="AG127" i="1"/>
  <c r="AE127" i="1"/>
  <c r="AD127" i="1"/>
  <c r="AC127" i="1"/>
  <c r="AB127" i="1"/>
  <c r="AA127" i="1"/>
  <c r="Z127" i="1"/>
  <c r="Y127" i="1"/>
  <c r="X127" i="1"/>
  <c r="W127" i="1"/>
  <c r="U127" i="1"/>
  <c r="T127" i="1"/>
  <c r="S127" i="1"/>
  <c r="R127" i="1"/>
  <c r="Q127" i="1"/>
  <c r="P127" i="1"/>
  <c r="O127" i="1"/>
  <c r="DP126" i="1"/>
  <c r="DO126" i="1"/>
  <c r="DN126" i="1"/>
  <c r="DM126" i="1"/>
  <c r="DL126" i="1"/>
  <c r="DI126" i="1"/>
  <c r="DH126" i="1"/>
  <c r="DG126" i="1"/>
  <c r="DF126" i="1"/>
  <c r="DE126" i="1"/>
  <c r="DB126" i="1"/>
  <c r="DA126" i="1"/>
  <c r="CZ126" i="1"/>
  <c r="CY126" i="1"/>
  <c r="CX126" i="1"/>
  <c r="CU126" i="1"/>
  <c r="CT126" i="1"/>
  <c r="CS126" i="1"/>
  <c r="CR126" i="1"/>
  <c r="CQ126" i="1"/>
  <c r="CK126" i="1"/>
  <c r="CJ126" i="1"/>
  <c r="CI126" i="1"/>
  <c r="CH126" i="1"/>
  <c r="CG126" i="1"/>
  <c r="CA126" i="1"/>
  <c r="BZ126" i="1"/>
  <c r="BY126" i="1"/>
  <c r="BX126" i="1"/>
  <c r="BW126" i="1"/>
  <c r="BL126" i="1"/>
  <c r="BK126" i="1"/>
  <c r="BJ126" i="1"/>
  <c r="BI126" i="1"/>
  <c r="BH126" i="1"/>
  <c r="BE126" i="1"/>
  <c r="BD126" i="1"/>
  <c r="BC126" i="1"/>
  <c r="BB126" i="1"/>
  <c r="BA126" i="1"/>
  <c r="AX126" i="1"/>
  <c r="AR126" i="1"/>
  <c r="AQ126" i="1"/>
  <c r="AP126" i="1"/>
  <c r="AM126" i="1"/>
  <c r="AL126" i="1"/>
  <c r="AK126" i="1"/>
  <c r="AJ126" i="1"/>
  <c r="AI126" i="1"/>
  <c r="AH126" i="1"/>
  <c r="AG126" i="1"/>
  <c r="AE126" i="1"/>
  <c r="AD126" i="1"/>
  <c r="AC126" i="1"/>
  <c r="AB126" i="1"/>
  <c r="AA126" i="1"/>
  <c r="Z126" i="1"/>
  <c r="Y126" i="1"/>
  <c r="X126" i="1"/>
  <c r="W126" i="1"/>
  <c r="U126" i="1"/>
  <c r="T126" i="1"/>
  <c r="S126" i="1"/>
  <c r="R126" i="1"/>
  <c r="Q126" i="1"/>
  <c r="P126" i="1"/>
  <c r="O126" i="1"/>
  <c r="DP125" i="1"/>
  <c r="DO125" i="1"/>
  <c r="DN125" i="1"/>
  <c r="DM125" i="1"/>
  <c r="DL125" i="1"/>
  <c r="DI125" i="1"/>
  <c r="DH125" i="1"/>
  <c r="DG125" i="1"/>
  <c r="DF125" i="1"/>
  <c r="DE125" i="1"/>
  <c r="DB125" i="1"/>
  <c r="DA125" i="1"/>
  <c r="CZ125" i="1"/>
  <c r="CY125" i="1"/>
  <c r="CX125" i="1"/>
  <c r="CU125" i="1"/>
  <c r="CT125" i="1"/>
  <c r="CS125" i="1"/>
  <c r="CR125" i="1"/>
  <c r="CQ125" i="1"/>
  <c r="CK125" i="1"/>
  <c r="CJ125" i="1"/>
  <c r="CI125" i="1"/>
  <c r="CH125" i="1"/>
  <c r="CG125" i="1"/>
  <c r="CA125" i="1"/>
  <c r="BZ125" i="1"/>
  <c r="BY125" i="1"/>
  <c r="BX125" i="1"/>
  <c r="BW125" i="1"/>
  <c r="BL125" i="1"/>
  <c r="BK125" i="1"/>
  <c r="BJ125" i="1"/>
  <c r="BI125" i="1"/>
  <c r="BH125" i="1"/>
  <c r="BE125" i="1"/>
  <c r="BD125" i="1"/>
  <c r="BC125" i="1"/>
  <c r="BB125" i="1"/>
  <c r="BA125" i="1"/>
  <c r="AX125" i="1"/>
  <c r="AR125" i="1"/>
  <c r="AQ125" i="1"/>
  <c r="AP125" i="1"/>
  <c r="AM125" i="1"/>
  <c r="AL125" i="1"/>
  <c r="AK125" i="1"/>
  <c r="AJ125" i="1"/>
  <c r="AI125" i="1"/>
  <c r="AH125" i="1"/>
  <c r="AG125" i="1"/>
  <c r="AE125" i="1"/>
  <c r="AD125" i="1"/>
  <c r="AC125" i="1"/>
  <c r="AB125" i="1"/>
  <c r="AA125" i="1"/>
  <c r="Z125" i="1"/>
  <c r="Y125" i="1"/>
  <c r="X125" i="1"/>
  <c r="W125" i="1"/>
  <c r="U125" i="1"/>
  <c r="T125" i="1"/>
  <c r="S125" i="1"/>
  <c r="R125" i="1"/>
  <c r="Q125" i="1"/>
  <c r="P125" i="1"/>
  <c r="O125" i="1"/>
  <c r="DP124" i="1"/>
  <c r="DO124" i="1"/>
  <c r="DN124" i="1"/>
  <c r="DM124" i="1"/>
  <c r="DL124" i="1"/>
  <c r="DI124" i="1"/>
  <c r="DH124" i="1"/>
  <c r="DG124" i="1"/>
  <c r="DF124" i="1"/>
  <c r="DE124" i="1"/>
  <c r="DB124" i="1"/>
  <c r="DA124" i="1"/>
  <c r="CZ124" i="1"/>
  <c r="CY124" i="1"/>
  <c r="CX124" i="1"/>
  <c r="CU124" i="1"/>
  <c r="CT124" i="1"/>
  <c r="CS124" i="1"/>
  <c r="CR124" i="1"/>
  <c r="CQ124" i="1"/>
  <c r="CK124" i="1"/>
  <c r="CJ124" i="1"/>
  <c r="CI124" i="1"/>
  <c r="CH124" i="1"/>
  <c r="CG124" i="1"/>
  <c r="CA124" i="1"/>
  <c r="BZ124" i="1"/>
  <c r="BY124" i="1"/>
  <c r="BX124" i="1"/>
  <c r="BW124" i="1"/>
  <c r="BL124" i="1"/>
  <c r="BK124" i="1"/>
  <c r="BJ124" i="1"/>
  <c r="BI124" i="1"/>
  <c r="BH124" i="1"/>
  <c r="BE124" i="1"/>
  <c r="BD124" i="1"/>
  <c r="BC124" i="1"/>
  <c r="BB124" i="1"/>
  <c r="BA124" i="1"/>
  <c r="AX124" i="1"/>
  <c r="AR124" i="1"/>
  <c r="AQ124" i="1"/>
  <c r="AP124" i="1"/>
  <c r="AM124" i="1"/>
  <c r="AL124" i="1"/>
  <c r="AK124" i="1"/>
  <c r="AJ124" i="1"/>
  <c r="AI124" i="1"/>
  <c r="AH124" i="1"/>
  <c r="AG124" i="1"/>
  <c r="AE124" i="1"/>
  <c r="AD124" i="1"/>
  <c r="AC124" i="1"/>
  <c r="AB124" i="1"/>
  <c r="AA124" i="1"/>
  <c r="Z124" i="1"/>
  <c r="Y124" i="1"/>
  <c r="X124" i="1"/>
  <c r="W124" i="1"/>
  <c r="U124" i="1"/>
  <c r="T124" i="1"/>
  <c r="S124" i="1"/>
  <c r="R124" i="1"/>
  <c r="Q124" i="1"/>
  <c r="P124" i="1"/>
  <c r="O124" i="1"/>
  <c r="DP123" i="1"/>
  <c r="DO123" i="1"/>
  <c r="DN123" i="1"/>
  <c r="DM123" i="1"/>
  <c r="DL123" i="1"/>
  <c r="DI123" i="1"/>
  <c r="DH123" i="1"/>
  <c r="DG123" i="1"/>
  <c r="DF123" i="1"/>
  <c r="DE123" i="1"/>
  <c r="DB123" i="1"/>
  <c r="DA123" i="1"/>
  <c r="CZ123" i="1"/>
  <c r="CY123" i="1"/>
  <c r="CX123" i="1"/>
  <c r="CU123" i="1"/>
  <c r="CT123" i="1"/>
  <c r="CS123" i="1"/>
  <c r="CR123" i="1"/>
  <c r="CQ123" i="1"/>
  <c r="CK123" i="1"/>
  <c r="CJ123" i="1"/>
  <c r="CI123" i="1"/>
  <c r="CH123" i="1"/>
  <c r="CG123" i="1"/>
  <c r="CA123" i="1"/>
  <c r="BZ123" i="1"/>
  <c r="BY123" i="1"/>
  <c r="BX123" i="1"/>
  <c r="BW123" i="1"/>
  <c r="BL123" i="1"/>
  <c r="BK123" i="1"/>
  <c r="BJ123" i="1"/>
  <c r="BI123" i="1"/>
  <c r="BH123" i="1"/>
  <c r="BE123" i="1"/>
  <c r="BD123" i="1"/>
  <c r="BC123" i="1"/>
  <c r="BB123" i="1"/>
  <c r="BA123" i="1"/>
  <c r="AX123" i="1"/>
  <c r="AR123" i="1"/>
  <c r="AQ123" i="1"/>
  <c r="AP123" i="1"/>
  <c r="AM123" i="1"/>
  <c r="AL123" i="1"/>
  <c r="AK123" i="1"/>
  <c r="AJ123" i="1"/>
  <c r="AI123" i="1"/>
  <c r="AH123" i="1"/>
  <c r="AG123" i="1"/>
  <c r="AE123" i="1"/>
  <c r="AD123" i="1"/>
  <c r="AC123" i="1"/>
  <c r="AB123" i="1"/>
  <c r="AA123" i="1"/>
  <c r="Z123" i="1"/>
  <c r="Y123" i="1"/>
  <c r="X123" i="1"/>
  <c r="W123" i="1"/>
  <c r="U123" i="1"/>
  <c r="T123" i="1"/>
  <c r="S123" i="1"/>
  <c r="R123" i="1"/>
  <c r="Q123" i="1"/>
  <c r="P123" i="1"/>
  <c r="O123" i="1"/>
  <c r="DP122" i="1"/>
  <c r="DO122" i="1"/>
  <c r="DN122" i="1"/>
  <c r="DM122" i="1"/>
  <c r="DL122" i="1"/>
  <c r="DI122" i="1"/>
  <c r="DH122" i="1"/>
  <c r="DG122" i="1"/>
  <c r="DF122" i="1"/>
  <c r="DE122" i="1"/>
  <c r="DB122" i="1"/>
  <c r="DA122" i="1"/>
  <c r="CZ122" i="1"/>
  <c r="CY122" i="1"/>
  <c r="CX122" i="1"/>
  <c r="CU122" i="1"/>
  <c r="CT122" i="1"/>
  <c r="CS122" i="1"/>
  <c r="CR122" i="1"/>
  <c r="CQ122" i="1"/>
  <c r="CK122" i="1"/>
  <c r="CJ122" i="1"/>
  <c r="CI122" i="1"/>
  <c r="CH122" i="1"/>
  <c r="CG122" i="1"/>
  <c r="CA122" i="1"/>
  <c r="BZ122" i="1"/>
  <c r="BY122" i="1"/>
  <c r="BX122" i="1"/>
  <c r="BW122" i="1"/>
  <c r="BL122" i="1"/>
  <c r="BK122" i="1"/>
  <c r="BJ122" i="1"/>
  <c r="BI122" i="1"/>
  <c r="BH122" i="1"/>
  <c r="BE122" i="1"/>
  <c r="BD122" i="1"/>
  <c r="BC122" i="1"/>
  <c r="BB122" i="1"/>
  <c r="BA122" i="1"/>
  <c r="AX122" i="1"/>
  <c r="AR122" i="1"/>
  <c r="AQ122" i="1"/>
  <c r="AP122" i="1"/>
  <c r="AM122" i="1"/>
  <c r="AL122" i="1"/>
  <c r="AK122" i="1"/>
  <c r="AJ122" i="1"/>
  <c r="AI122" i="1"/>
  <c r="AH122" i="1"/>
  <c r="AG122" i="1"/>
  <c r="AE122" i="1"/>
  <c r="AD122" i="1"/>
  <c r="AC122" i="1"/>
  <c r="AB122" i="1"/>
  <c r="AA122" i="1"/>
  <c r="Z122" i="1"/>
  <c r="Y122" i="1"/>
  <c r="X122" i="1"/>
  <c r="W122" i="1"/>
  <c r="U122" i="1"/>
  <c r="T122" i="1"/>
  <c r="S122" i="1"/>
  <c r="R122" i="1"/>
  <c r="Q122" i="1"/>
  <c r="P122" i="1"/>
  <c r="O122" i="1"/>
  <c r="DP121" i="1"/>
  <c r="DO121" i="1"/>
  <c r="DN121" i="1"/>
  <c r="DM121" i="1"/>
  <c r="DL121" i="1"/>
  <c r="DI121" i="1"/>
  <c r="DH121" i="1"/>
  <c r="DG121" i="1"/>
  <c r="DF121" i="1"/>
  <c r="DE121" i="1"/>
  <c r="DB121" i="1"/>
  <c r="DA121" i="1"/>
  <c r="CZ121" i="1"/>
  <c r="CY121" i="1"/>
  <c r="CX121" i="1"/>
  <c r="CU121" i="1"/>
  <c r="CT121" i="1"/>
  <c r="CS121" i="1"/>
  <c r="CR121" i="1"/>
  <c r="CQ121" i="1"/>
  <c r="CK121" i="1"/>
  <c r="CJ121" i="1"/>
  <c r="CI121" i="1"/>
  <c r="CH121" i="1"/>
  <c r="CG121" i="1"/>
  <c r="CA121" i="1"/>
  <c r="BZ121" i="1"/>
  <c r="BY121" i="1"/>
  <c r="BX121" i="1"/>
  <c r="BW121" i="1"/>
  <c r="BL121" i="1"/>
  <c r="BK121" i="1"/>
  <c r="BJ121" i="1"/>
  <c r="BI121" i="1"/>
  <c r="BH121" i="1"/>
  <c r="BE121" i="1"/>
  <c r="BD121" i="1"/>
  <c r="BC121" i="1"/>
  <c r="BB121" i="1"/>
  <c r="BA121" i="1"/>
  <c r="AX121" i="1"/>
  <c r="AR121" i="1"/>
  <c r="AQ121" i="1"/>
  <c r="AP121" i="1"/>
  <c r="AM121" i="1"/>
  <c r="AL121" i="1"/>
  <c r="AK121" i="1"/>
  <c r="AJ121" i="1"/>
  <c r="AI121" i="1"/>
  <c r="AH121" i="1"/>
  <c r="AG121" i="1"/>
  <c r="AE121" i="1"/>
  <c r="AD121" i="1"/>
  <c r="AC121" i="1"/>
  <c r="AB121" i="1"/>
  <c r="AA121" i="1"/>
  <c r="Z121" i="1"/>
  <c r="Y121" i="1"/>
  <c r="X121" i="1"/>
  <c r="W121" i="1"/>
  <c r="U121" i="1"/>
  <c r="T121" i="1"/>
  <c r="S121" i="1"/>
  <c r="R121" i="1"/>
  <c r="Q121" i="1"/>
  <c r="P121" i="1"/>
  <c r="O121" i="1"/>
  <c r="DP120" i="1"/>
  <c r="DO120" i="1"/>
  <c r="DN120" i="1"/>
  <c r="DM120" i="1"/>
  <c r="DL120" i="1"/>
  <c r="DI120" i="1"/>
  <c r="DH120" i="1"/>
  <c r="DG120" i="1"/>
  <c r="DF120" i="1"/>
  <c r="DE120" i="1"/>
  <c r="DB120" i="1"/>
  <c r="DA120" i="1"/>
  <c r="CZ120" i="1"/>
  <c r="CY120" i="1"/>
  <c r="CX120" i="1"/>
  <c r="CU120" i="1"/>
  <c r="CT120" i="1"/>
  <c r="CS120" i="1"/>
  <c r="CR120" i="1"/>
  <c r="CQ120" i="1"/>
  <c r="CK120" i="1"/>
  <c r="CJ120" i="1"/>
  <c r="CI120" i="1"/>
  <c r="CH120" i="1"/>
  <c r="CG120" i="1"/>
  <c r="CA120" i="1"/>
  <c r="BZ120" i="1"/>
  <c r="BY120" i="1"/>
  <c r="BX120" i="1"/>
  <c r="BW120" i="1"/>
  <c r="BL120" i="1"/>
  <c r="BK120" i="1"/>
  <c r="BJ120" i="1"/>
  <c r="BI120" i="1"/>
  <c r="BH120" i="1"/>
  <c r="BE120" i="1"/>
  <c r="BD120" i="1"/>
  <c r="BC120" i="1"/>
  <c r="BB120" i="1"/>
  <c r="BA120" i="1"/>
  <c r="AX120" i="1"/>
  <c r="AR120" i="1"/>
  <c r="AQ120" i="1"/>
  <c r="AP120" i="1"/>
  <c r="AM120" i="1"/>
  <c r="AL120" i="1"/>
  <c r="AK120" i="1"/>
  <c r="AJ120" i="1"/>
  <c r="AI120" i="1"/>
  <c r="AH120" i="1"/>
  <c r="AG120" i="1"/>
  <c r="AE120" i="1"/>
  <c r="AD120" i="1"/>
  <c r="AC120" i="1"/>
  <c r="AB120" i="1"/>
  <c r="AA120" i="1"/>
  <c r="Z120" i="1"/>
  <c r="Y120" i="1"/>
  <c r="X120" i="1"/>
  <c r="W120" i="1"/>
  <c r="U120" i="1"/>
  <c r="T120" i="1"/>
  <c r="S120" i="1"/>
  <c r="R120" i="1"/>
  <c r="Q120" i="1"/>
  <c r="P120" i="1"/>
  <c r="O120" i="1"/>
  <c r="DP119" i="1"/>
  <c r="DO119" i="1"/>
  <c r="DN119" i="1"/>
  <c r="DM119" i="1"/>
  <c r="DL119" i="1"/>
  <c r="DI119" i="1"/>
  <c r="DH119" i="1"/>
  <c r="DG119" i="1"/>
  <c r="DF119" i="1"/>
  <c r="DE119" i="1"/>
  <c r="DB119" i="1"/>
  <c r="DA119" i="1"/>
  <c r="CZ119" i="1"/>
  <c r="CY119" i="1"/>
  <c r="CX119" i="1"/>
  <c r="CU119" i="1"/>
  <c r="CT119" i="1"/>
  <c r="CS119" i="1"/>
  <c r="CR119" i="1"/>
  <c r="CQ119" i="1"/>
  <c r="CK119" i="1"/>
  <c r="CJ119" i="1"/>
  <c r="CI119" i="1"/>
  <c r="CH119" i="1"/>
  <c r="CG119" i="1"/>
  <c r="CA119" i="1"/>
  <c r="BZ119" i="1"/>
  <c r="BY119" i="1"/>
  <c r="BX119" i="1"/>
  <c r="BW119" i="1"/>
  <c r="BL119" i="1"/>
  <c r="BK119" i="1"/>
  <c r="BJ119" i="1"/>
  <c r="BI119" i="1"/>
  <c r="BH119" i="1"/>
  <c r="BE119" i="1"/>
  <c r="BD119" i="1"/>
  <c r="BC119" i="1"/>
  <c r="BB119" i="1"/>
  <c r="BA119" i="1"/>
  <c r="AX119" i="1"/>
  <c r="AR119" i="1"/>
  <c r="AQ119" i="1"/>
  <c r="AP119" i="1"/>
  <c r="AM119" i="1"/>
  <c r="AL119" i="1"/>
  <c r="AK119" i="1"/>
  <c r="AJ119" i="1"/>
  <c r="AI119" i="1"/>
  <c r="AH119" i="1"/>
  <c r="AG119" i="1"/>
  <c r="AE119" i="1"/>
  <c r="AD119" i="1"/>
  <c r="AC119" i="1"/>
  <c r="AB119" i="1"/>
  <c r="AA119" i="1"/>
  <c r="Z119" i="1"/>
  <c r="Y119" i="1"/>
  <c r="X119" i="1"/>
  <c r="W119" i="1"/>
  <c r="U119" i="1"/>
  <c r="T119" i="1"/>
  <c r="S119" i="1"/>
  <c r="R119" i="1"/>
  <c r="Q119" i="1"/>
  <c r="P119" i="1"/>
  <c r="O119" i="1"/>
  <c r="DP118" i="1"/>
  <c r="DO118" i="1"/>
  <c r="DN118" i="1"/>
  <c r="DM118" i="1"/>
  <c r="DL118" i="1"/>
  <c r="DB118" i="1"/>
  <c r="DA118" i="1"/>
  <c r="CZ118" i="1"/>
  <c r="CY118" i="1"/>
  <c r="CX118" i="1"/>
  <c r="CU118" i="1"/>
  <c r="CT118" i="1"/>
  <c r="CS118" i="1"/>
  <c r="CR118" i="1"/>
  <c r="CQ118" i="1"/>
  <c r="CK118" i="1"/>
  <c r="CJ118" i="1"/>
  <c r="CI118" i="1"/>
  <c r="CH118" i="1"/>
  <c r="CG118" i="1"/>
  <c r="CA118" i="1"/>
  <c r="BZ118" i="1"/>
  <c r="BY118" i="1"/>
  <c r="BX118" i="1"/>
  <c r="BW118" i="1"/>
  <c r="BL118" i="1"/>
  <c r="BK118" i="1"/>
  <c r="BJ118" i="1"/>
  <c r="BI118" i="1"/>
  <c r="BH118" i="1"/>
  <c r="BE118" i="1"/>
  <c r="BD118" i="1"/>
  <c r="BC118" i="1"/>
  <c r="BB118" i="1"/>
  <c r="BA118" i="1"/>
  <c r="AX118" i="1"/>
  <c r="AR118" i="1"/>
  <c r="AQ118" i="1"/>
  <c r="AP118" i="1"/>
  <c r="AM118" i="1"/>
  <c r="AL118" i="1"/>
  <c r="AK118" i="1"/>
  <c r="AJ118" i="1"/>
  <c r="AI118" i="1"/>
  <c r="AH118" i="1"/>
  <c r="AG118" i="1"/>
  <c r="AE118" i="1"/>
  <c r="AD118" i="1"/>
  <c r="AC118" i="1"/>
  <c r="AB118" i="1"/>
  <c r="AA118" i="1"/>
  <c r="Z118" i="1"/>
  <c r="Y118" i="1"/>
  <c r="X118" i="1"/>
  <c r="W118" i="1"/>
  <c r="U118" i="1"/>
  <c r="T118" i="1"/>
  <c r="S118" i="1"/>
  <c r="R118" i="1"/>
  <c r="Q118" i="1"/>
  <c r="P118" i="1"/>
  <c r="O118" i="1"/>
  <c r="DP117" i="1"/>
  <c r="DO117" i="1"/>
  <c r="DN117" i="1"/>
  <c r="DM117" i="1"/>
  <c r="DL117" i="1"/>
  <c r="DB117" i="1"/>
  <c r="DA117" i="1"/>
  <c r="CZ117" i="1"/>
  <c r="CY117" i="1"/>
  <c r="CX117" i="1"/>
  <c r="CU117" i="1"/>
  <c r="CT117" i="1"/>
  <c r="CS117" i="1"/>
  <c r="CR117" i="1"/>
  <c r="CQ117" i="1"/>
  <c r="CK117" i="1"/>
  <c r="CJ117" i="1"/>
  <c r="CI117" i="1"/>
  <c r="CH117" i="1"/>
  <c r="CG117" i="1"/>
  <c r="CA117" i="1"/>
  <c r="BZ117" i="1"/>
  <c r="BY117" i="1"/>
  <c r="BX117" i="1"/>
  <c r="BW117" i="1"/>
  <c r="BL117" i="1"/>
  <c r="BK117" i="1"/>
  <c r="BJ117" i="1"/>
  <c r="BI117" i="1"/>
  <c r="BH117" i="1"/>
  <c r="BE117" i="1"/>
  <c r="BD117" i="1"/>
  <c r="BC117" i="1"/>
  <c r="BB117" i="1"/>
  <c r="BA117" i="1"/>
  <c r="AX117" i="1"/>
  <c r="AR117" i="1"/>
  <c r="AQ117" i="1"/>
  <c r="AP117" i="1"/>
  <c r="AM117" i="1"/>
  <c r="AL117" i="1"/>
  <c r="AK117" i="1"/>
  <c r="AJ117" i="1"/>
  <c r="AI117" i="1"/>
  <c r="AH117" i="1"/>
  <c r="AG117" i="1"/>
  <c r="AE117" i="1"/>
  <c r="AD117" i="1"/>
  <c r="AC117" i="1"/>
  <c r="AB117" i="1"/>
  <c r="AA117" i="1"/>
  <c r="Z117" i="1"/>
  <c r="Y117" i="1"/>
  <c r="X117" i="1"/>
  <c r="W117" i="1"/>
  <c r="U117" i="1"/>
  <c r="T117" i="1"/>
  <c r="S117" i="1"/>
  <c r="R117" i="1"/>
  <c r="Q117" i="1"/>
  <c r="P117" i="1"/>
  <c r="O117" i="1"/>
  <c r="DP116" i="1"/>
  <c r="DO116" i="1"/>
  <c r="DN116" i="1"/>
  <c r="DM116" i="1"/>
  <c r="DL116" i="1"/>
  <c r="DB116" i="1"/>
  <c r="DA116" i="1"/>
  <c r="CZ116" i="1"/>
  <c r="CY116" i="1"/>
  <c r="CX116" i="1"/>
  <c r="X115" i="10" s="1"/>
  <c r="CU116" i="1"/>
  <c r="CT116" i="1"/>
  <c r="CS116" i="1"/>
  <c r="CR116" i="1"/>
  <c r="CQ116" i="1"/>
  <c r="CK116" i="1"/>
  <c r="CJ116" i="1"/>
  <c r="CI116" i="1"/>
  <c r="CH116" i="1"/>
  <c r="CG116" i="1"/>
  <c r="CA116" i="1"/>
  <c r="BZ116" i="1"/>
  <c r="BY116" i="1"/>
  <c r="BX116" i="1"/>
  <c r="BW116" i="1"/>
  <c r="BL116" i="1"/>
  <c r="BK116" i="1"/>
  <c r="BJ116" i="1"/>
  <c r="BI116" i="1"/>
  <c r="BH116" i="1"/>
  <c r="BE116" i="1"/>
  <c r="BD116" i="1"/>
  <c r="BC116" i="1"/>
  <c r="BB116" i="1"/>
  <c r="BA116" i="1"/>
  <c r="AX116" i="1"/>
  <c r="AR116" i="1"/>
  <c r="AQ116" i="1"/>
  <c r="AP116" i="1"/>
  <c r="AM116" i="1"/>
  <c r="AL116" i="1"/>
  <c r="AK116" i="1"/>
  <c r="AJ116" i="1"/>
  <c r="AI116" i="1"/>
  <c r="AH116" i="1"/>
  <c r="AG116" i="1"/>
  <c r="AE116" i="1"/>
  <c r="AD116" i="1"/>
  <c r="AC116" i="1"/>
  <c r="AB116" i="1"/>
  <c r="AA116" i="1"/>
  <c r="Z116" i="1"/>
  <c r="Y116" i="1"/>
  <c r="X116" i="1"/>
  <c r="W116" i="1"/>
  <c r="U116" i="1"/>
  <c r="T116" i="1"/>
  <c r="S116" i="1"/>
  <c r="R116" i="1"/>
  <c r="Q116" i="1"/>
  <c r="P116" i="1"/>
  <c r="O116" i="1"/>
  <c r="DP115" i="1"/>
  <c r="DO115" i="1"/>
  <c r="DN115" i="1"/>
  <c r="DM115" i="1"/>
  <c r="DL115" i="1"/>
  <c r="DB115" i="1"/>
  <c r="DA115" i="1"/>
  <c r="CZ115" i="1"/>
  <c r="CY115" i="1"/>
  <c r="CX115" i="1"/>
  <c r="CU115" i="1"/>
  <c r="CT115" i="1"/>
  <c r="CS115" i="1"/>
  <c r="CR115" i="1"/>
  <c r="CQ115" i="1"/>
  <c r="CK115" i="1"/>
  <c r="CJ115" i="1"/>
  <c r="CI115" i="1"/>
  <c r="CH115" i="1"/>
  <c r="CG115" i="1"/>
  <c r="CA115" i="1"/>
  <c r="BZ115" i="1"/>
  <c r="BY115" i="1"/>
  <c r="BX115" i="1"/>
  <c r="BW115" i="1"/>
  <c r="BL115" i="1"/>
  <c r="BK115" i="1"/>
  <c r="BJ115" i="1"/>
  <c r="BI115" i="1"/>
  <c r="BH115" i="1"/>
  <c r="BE115" i="1"/>
  <c r="BD115" i="1"/>
  <c r="BC115" i="1"/>
  <c r="BB115" i="1"/>
  <c r="BA115" i="1"/>
  <c r="AX115" i="1"/>
  <c r="AR115" i="1"/>
  <c r="AQ115" i="1"/>
  <c r="AP115" i="1"/>
  <c r="AM115" i="1"/>
  <c r="AL115" i="1"/>
  <c r="AK115" i="1"/>
  <c r="AJ115" i="1"/>
  <c r="AI115" i="1"/>
  <c r="AH115" i="1"/>
  <c r="AG115" i="1"/>
  <c r="AE115" i="1"/>
  <c r="AD115" i="1"/>
  <c r="AC115" i="1"/>
  <c r="AB115" i="1"/>
  <c r="AA115" i="1"/>
  <c r="Z115" i="1"/>
  <c r="Y115" i="1"/>
  <c r="X115" i="1"/>
  <c r="W115" i="1"/>
  <c r="U115" i="1"/>
  <c r="T115" i="1"/>
  <c r="S115" i="1"/>
  <c r="R115" i="1"/>
  <c r="Q115" i="1"/>
  <c r="P115" i="1"/>
  <c r="O115" i="1"/>
  <c r="DP114" i="1"/>
  <c r="DO114" i="1"/>
  <c r="DN114" i="1"/>
  <c r="DM114" i="1"/>
  <c r="DL114" i="1"/>
  <c r="CU114" i="1"/>
  <c r="CT114" i="1"/>
  <c r="CS114" i="1"/>
  <c r="CR114" i="1"/>
  <c r="CQ114" i="1"/>
  <c r="CK114" i="1"/>
  <c r="CJ114" i="1"/>
  <c r="CI114" i="1"/>
  <c r="CH114" i="1"/>
  <c r="CG114" i="1"/>
  <c r="CA114" i="1"/>
  <c r="BZ114" i="1"/>
  <c r="BY114" i="1"/>
  <c r="BX114" i="1"/>
  <c r="BW114" i="1"/>
  <c r="BL114" i="1"/>
  <c r="BK114" i="1"/>
  <c r="BJ114" i="1"/>
  <c r="BI114" i="1"/>
  <c r="BH114" i="1"/>
  <c r="BE114" i="1"/>
  <c r="BD114" i="1"/>
  <c r="BC114" i="1"/>
  <c r="BB114" i="1"/>
  <c r="BA114" i="1"/>
  <c r="AX114" i="1"/>
  <c r="AR114" i="1"/>
  <c r="AQ114" i="1"/>
  <c r="AP114" i="1"/>
  <c r="AM114" i="1"/>
  <c r="AL114" i="1"/>
  <c r="AK114" i="1"/>
  <c r="AJ114" i="1"/>
  <c r="AI114" i="1"/>
  <c r="AH114" i="1"/>
  <c r="AG114" i="1"/>
  <c r="AE114" i="1"/>
  <c r="AD114" i="1"/>
  <c r="AC114" i="1"/>
  <c r="AB114" i="1"/>
  <c r="AA114" i="1"/>
  <c r="Z114" i="1"/>
  <c r="Y114" i="1"/>
  <c r="X114" i="1"/>
  <c r="W114" i="1"/>
  <c r="U114" i="1"/>
  <c r="T114" i="1"/>
  <c r="S114" i="1"/>
  <c r="R114" i="1"/>
  <c r="Q114" i="1"/>
  <c r="P114" i="1"/>
  <c r="O114" i="1"/>
  <c r="DP113" i="1"/>
  <c r="DO113" i="1"/>
  <c r="DN113" i="1"/>
  <c r="DM113" i="1"/>
  <c r="DL113" i="1"/>
  <c r="CU113" i="1"/>
  <c r="CT113" i="1"/>
  <c r="CS113" i="1"/>
  <c r="CR113" i="1"/>
  <c r="CQ113" i="1"/>
  <c r="CK113" i="1"/>
  <c r="CJ113" i="1"/>
  <c r="CI113" i="1"/>
  <c r="CH113" i="1"/>
  <c r="CG113" i="1"/>
  <c r="CA113" i="1"/>
  <c r="BZ113" i="1"/>
  <c r="BY113" i="1"/>
  <c r="BX113" i="1"/>
  <c r="BW113" i="1"/>
  <c r="BL113" i="1"/>
  <c r="BK113" i="1"/>
  <c r="BJ113" i="1"/>
  <c r="BI113" i="1"/>
  <c r="BH113" i="1"/>
  <c r="BE113" i="1"/>
  <c r="BD113" i="1"/>
  <c r="BC113" i="1"/>
  <c r="BB113" i="1"/>
  <c r="BA113" i="1"/>
  <c r="AX113" i="1"/>
  <c r="AR113" i="1"/>
  <c r="AQ113" i="1"/>
  <c r="AP113" i="1"/>
  <c r="AM113" i="1"/>
  <c r="AL113" i="1"/>
  <c r="AK113" i="1"/>
  <c r="AJ113" i="1"/>
  <c r="AI113" i="1"/>
  <c r="AH113" i="1"/>
  <c r="AG113" i="1"/>
  <c r="AE113" i="1"/>
  <c r="AD113" i="1"/>
  <c r="AC113" i="1"/>
  <c r="AB113" i="1"/>
  <c r="AA113" i="1"/>
  <c r="Z113" i="1"/>
  <c r="Y113" i="1"/>
  <c r="X113" i="1"/>
  <c r="W113" i="1"/>
  <c r="U113" i="1"/>
  <c r="T113" i="1"/>
  <c r="S113" i="1"/>
  <c r="R113" i="1"/>
  <c r="Q113" i="1"/>
  <c r="P113" i="1"/>
  <c r="O113" i="1"/>
  <c r="DP112" i="1"/>
  <c r="DO112" i="1"/>
  <c r="DN112" i="1"/>
  <c r="DM112" i="1"/>
  <c r="DL112" i="1"/>
  <c r="CU112" i="1"/>
  <c r="CT112" i="1"/>
  <c r="CS112" i="1"/>
  <c r="CR112" i="1"/>
  <c r="CQ112" i="1"/>
  <c r="CK112" i="1"/>
  <c r="CJ112" i="1"/>
  <c r="CI112" i="1"/>
  <c r="CH112" i="1"/>
  <c r="CG112" i="1"/>
  <c r="CA112" i="1"/>
  <c r="BZ112" i="1"/>
  <c r="BY112" i="1"/>
  <c r="BX112" i="1"/>
  <c r="BW112" i="1"/>
  <c r="BL112" i="1"/>
  <c r="BK112" i="1"/>
  <c r="BJ112" i="1"/>
  <c r="BI112" i="1"/>
  <c r="BH112" i="1"/>
  <c r="BE112" i="1"/>
  <c r="BD112" i="1"/>
  <c r="BC112" i="1"/>
  <c r="BB112" i="1"/>
  <c r="BA112" i="1"/>
  <c r="AX112" i="1"/>
  <c r="AR112" i="1"/>
  <c r="AQ112" i="1"/>
  <c r="AP112" i="1"/>
  <c r="AM112" i="1"/>
  <c r="AL112" i="1"/>
  <c r="AK112" i="1"/>
  <c r="AJ112" i="1"/>
  <c r="AI112" i="1"/>
  <c r="AH112" i="1"/>
  <c r="AG112" i="1"/>
  <c r="AE112" i="1"/>
  <c r="AD112" i="1"/>
  <c r="AC112" i="1"/>
  <c r="AB112" i="1"/>
  <c r="AA112" i="1"/>
  <c r="Z112" i="1"/>
  <c r="Y112" i="1"/>
  <c r="X112" i="1"/>
  <c r="W112" i="1"/>
  <c r="U112" i="1"/>
  <c r="T112" i="1"/>
  <c r="S112" i="1"/>
  <c r="R112" i="1"/>
  <c r="Q112" i="1"/>
  <c r="P112" i="1"/>
  <c r="O112" i="1"/>
  <c r="DP111" i="1"/>
  <c r="DO111" i="1"/>
  <c r="DN111" i="1"/>
  <c r="DM111" i="1"/>
  <c r="DL111" i="1"/>
  <c r="CU111" i="1"/>
  <c r="CT111" i="1"/>
  <c r="CS111" i="1"/>
  <c r="CR111" i="1"/>
  <c r="CQ111" i="1"/>
  <c r="CK111" i="1"/>
  <c r="CJ111" i="1"/>
  <c r="CI111" i="1"/>
  <c r="CH111" i="1"/>
  <c r="CG111" i="1"/>
  <c r="CA111" i="1"/>
  <c r="BZ111" i="1"/>
  <c r="BY111" i="1"/>
  <c r="BX111" i="1"/>
  <c r="BW111" i="1"/>
  <c r="BL111" i="1"/>
  <c r="BK111" i="1"/>
  <c r="BJ111" i="1"/>
  <c r="BI111" i="1"/>
  <c r="BH111" i="1"/>
  <c r="BE111" i="1"/>
  <c r="BD111" i="1"/>
  <c r="BC111" i="1"/>
  <c r="BB111" i="1"/>
  <c r="BA111" i="1"/>
  <c r="AX111" i="1"/>
  <c r="AR111" i="1"/>
  <c r="AQ111" i="1"/>
  <c r="AP111" i="1"/>
  <c r="AM111" i="1"/>
  <c r="AL111" i="1"/>
  <c r="AK111" i="1"/>
  <c r="AJ111" i="1"/>
  <c r="AI111" i="1"/>
  <c r="AH111" i="1"/>
  <c r="AG111" i="1"/>
  <c r="AE111" i="1"/>
  <c r="AD111" i="1"/>
  <c r="AC111" i="1"/>
  <c r="AB111" i="1"/>
  <c r="AA111" i="1"/>
  <c r="Z111" i="1"/>
  <c r="Y111" i="1"/>
  <c r="X111" i="1"/>
  <c r="W111" i="1"/>
  <c r="U111" i="1"/>
  <c r="T111" i="1"/>
  <c r="S111" i="1"/>
  <c r="R111" i="1"/>
  <c r="Q111" i="1"/>
  <c r="P111" i="1"/>
  <c r="O111" i="1"/>
  <c r="DP110" i="1"/>
  <c r="DO110" i="1"/>
  <c r="DN110" i="1"/>
  <c r="DM110" i="1"/>
  <c r="DL110" i="1"/>
  <c r="CU110" i="1"/>
  <c r="CT110" i="1"/>
  <c r="CS110" i="1"/>
  <c r="CR110" i="1"/>
  <c r="CQ110" i="1"/>
  <c r="CK110" i="1"/>
  <c r="CJ110" i="1"/>
  <c r="CI110" i="1"/>
  <c r="CH110" i="1"/>
  <c r="CG110" i="1"/>
  <c r="CA110" i="1"/>
  <c r="BZ110" i="1"/>
  <c r="BY110" i="1"/>
  <c r="BX110" i="1"/>
  <c r="BW110" i="1"/>
  <c r="BL110" i="1"/>
  <c r="BK110" i="1"/>
  <c r="BJ110" i="1"/>
  <c r="BI110" i="1"/>
  <c r="BH110" i="1"/>
  <c r="BE110" i="1"/>
  <c r="BD110" i="1"/>
  <c r="BC110" i="1"/>
  <c r="BB110" i="1"/>
  <c r="BA110" i="1"/>
  <c r="AX110" i="1"/>
  <c r="AR110" i="1"/>
  <c r="AQ110" i="1"/>
  <c r="AP110" i="1"/>
  <c r="AM110" i="1"/>
  <c r="AL110" i="1"/>
  <c r="AK110" i="1"/>
  <c r="AJ110" i="1"/>
  <c r="AI110" i="1"/>
  <c r="AH110" i="1"/>
  <c r="AG110" i="1"/>
  <c r="AE110" i="1"/>
  <c r="AD110" i="1"/>
  <c r="AC110" i="1"/>
  <c r="AB110" i="1"/>
  <c r="AA110" i="1"/>
  <c r="Z110" i="1"/>
  <c r="Y110" i="1"/>
  <c r="X110" i="1"/>
  <c r="W110" i="1"/>
  <c r="U110" i="1"/>
  <c r="T110" i="1"/>
  <c r="S110" i="1"/>
  <c r="R110" i="1"/>
  <c r="Q110" i="1"/>
  <c r="P110" i="1"/>
  <c r="O110" i="1"/>
  <c r="DP109" i="1"/>
  <c r="DO109" i="1"/>
  <c r="DN109" i="1"/>
  <c r="DM109" i="1"/>
  <c r="DL109" i="1"/>
  <c r="CU109" i="1"/>
  <c r="CT109" i="1"/>
  <c r="CS109" i="1"/>
  <c r="CR109" i="1"/>
  <c r="CQ109" i="1"/>
  <c r="CK109" i="1"/>
  <c r="CJ109" i="1"/>
  <c r="CI109" i="1"/>
  <c r="CH109" i="1"/>
  <c r="CG109" i="1"/>
  <c r="CA109" i="1"/>
  <c r="BZ109" i="1"/>
  <c r="BY109" i="1"/>
  <c r="BX109" i="1"/>
  <c r="BW109" i="1"/>
  <c r="BL109" i="1"/>
  <c r="BK109" i="1"/>
  <c r="BJ109" i="1"/>
  <c r="BI109" i="1"/>
  <c r="BH109" i="1"/>
  <c r="BE109" i="1"/>
  <c r="BD109" i="1"/>
  <c r="BC109" i="1"/>
  <c r="BB109" i="1"/>
  <c r="BA109" i="1"/>
  <c r="AX109" i="1"/>
  <c r="AR109" i="1"/>
  <c r="AQ109" i="1"/>
  <c r="AP109" i="1"/>
  <c r="AM109" i="1"/>
  <c r="AL109" i="1"/>
  <c r="AK109" i="1"/>
  <c r="AJ109" i="1"/>
  <c r="AI109" i="1"/>
  <c r="AH109" i="1"/>
  <c r="AG109" i="1"/>
  <c r="AE109" i="1"/>
  <c r="AD109" i="1"/>
  <c r="AC109" i="1"/>
  <c r="AB109" i="1"/>
  <c r="AA109" i="1"/>
  <c r="Z109" i="1"/>
  <c r="Y109" i="1"/>
  <c r="X109" i="1"/>
  <c r="W109" i="1"/>
  <c r="U109" i="1"/>
  <c r="T109" i="1"/>
  <c r="S109" i="1"/>
  <c r="R109" i="1"/>
  <c r="Q109" i="1"/>
  <c r="P109" i="1"/>
  <c r="O109" i="1"/>
  <c r="DP108" i="1"/>
  <c r="DO108" i="1"/>
  <c r="DN108" i="1"/>
  <c r="DM108" i="1"/>
  <c r="DL108" i="1"/>
  <c r="CU108" i="1"/>
  <c r="CT108" i="1"/>
  <c r="CS108" i="1"/>
  <c r="CR108" i="1"/>
  <c r="CQ108" i="1"/>
  <c r="CK108" i="1"/>
  <c r="CJ108" i="1"/>
  <c r="CI108" i="1"/>
  <c r="CH108" i="1"/>
  <c r="CG108" i="1"/>
  <c r="CA108" i="1"/>
  <c r="BZ108" i="1"/>
  <c r="BY108" i="1"/>
  <c r="BX108" i="1"/>
  <c r="BW108" i="1"/>
  <c r="BL108" i="1"/>
  <c r="BK108" i="1"/>
  <c r="BJ108" i="1"/>
  <c r="BI108" i="1"/>
  <c r="BH108" i="1"/>
  <c r="BE108" i="1"/>
  <c r="BD108" i="1"/>
  <c r="BC108" i="1"/>
  <c r="BB108" i="1"/>
  <c r="BA108" i="1"/>
  <c r="AX108" i="1"/>
  <c r="AR108" i="1"/>
  <c r="AQ108" i="1"/>
  <c r="AP108" i="1"/>
  <c r="AM108" i="1"/>
  <c r="AL108" i="1"/>
  <c r="AK108" i="1"/>
  <c r="AJ108" i="1"/>
  <c r="AI108" i="1"/>
  <c r="AH108" i="1"/>
  <c r="AG108" i="1"/>
  <c r="AE108" i="1"/>
  <c r="AD108" i="1"/>
  <c r="AC108" i="1"/>
  <c r="AB108" i="1"/>
  <c r="AA108" i="1"/>
  <c r="Z108" i="1"/>
  <c r="Y108" i="1"/>
  <c r="X108" i="1"/>
  <c r="W108" i="1"/>
  <c r="U108" i="1"/>
  <c r="T108" i="1"/>
  <c r="S108" i="1"/>
  <c r="R108" i="1"/>
  <c r="Q108" i="1"/>
  <c r="P108" i="1"/>
  <c r="O108" i="1"/>
  <c r="DP107" i="1"/>
  <c r="DO107" i="1"/>
  <c r="DN107" i="1"/>
  <c r="DM107" i="1"/>
  <c r="DL107" i="1"/>
  <c r="CU107" i="1"/>
  <c r="CT107" i="1"/>
  <c r="CS107" i="1"/>
  <c r="CR107" i="1"/>
  <c r="CQ107" i="1"/>
  <c r="CK107" i="1"/>
  <c r="CJ107" i="1"/>
  <c r="CI107" i="1"/>
  <c r="CH107" i="1"/>
  <c r="CG107" i="1"/>
  <c r="CA107" i="1"/>
  <c r="BZ107" i="1"/>
  <c r="BY107" i="1"/>
  <c r="BX107" i="1"/>
  <c r="BW107" i="1"/>
  <c r="BL107" i="1"/>
  <c r="BK107" i="1"/>
  <c r="BJ107" i="1"/>
  <c r="BI107" i="1"/>
  <c r="BH107" i="1"/>
  <c r="BE107" i="1"/>
  <c r="BD107" i="1"/>
  <c r="BC107" i="1"/>
  <c r="BB107" i="1"/>
  <c r="BA107" i="1"/>
  <c r="AX107" i="1"/>
  <c r="AR107" i="1"/>
  <c r="AQ107" i="1"/>
  <c r="AP107" i="1"/>
  <c r="AM107" i="1"/>
  <c r="AL107" i="1"/>
  <c r="AK107" i="1"/>
  <c r="AJ107" i="1"/>
  <c r="AI107" i="1"/>
  <c r="AH107" i="1"/>
  <c r="AG107" i="1"/>
  <c r="AE107" i="1"/>
  <c r="AD107" i="1"/>
  <c r="AC107" i="1"/>
  <c r="AB107" i="1"/>
  <c r="AA107" i="1"/>
  <c r="Z107" i="1"/>
  <c r="Y107" i="1"/>
  <c r="X107" i="1"/>
  <c r="W107" i="1"/>
  <c r="U107" i="1"/>
  <c r="T107" i="1"/>
  <c r="S107" i="1"/>
  <c r="R107" i="1"/>
  <c r="Q107" i="1"/>
  <c r="P107" i="1"/>
  <c r="O107" i="1"/>
  <c r="W112" i="10" l="1"/>
  <c r="X114" i="10"/>
  <c r="I135" i="1"/>
  <c r="I119" i="1"/>
  <c r="O122" i="10"/>
  <c r="Q122" i="10"/>
  <c r="S123" i="10"/>
  <c r="H163" i="1"/>
  <c r="I147" i="1"/>
  <c r="R159" i="10"/>
  <c r="I159" i="1"/>
  <c r="O160" i="10"/>
  <c r="Q160" i="10"/>
  <c r="V160" i="10"/>
  <c r="H161" i="1"/>
  <c r="Y160" i="10"/>
  <c r="Q161" i="10"/>
  <c r="R161" i="10"/>
  <c r="S161" i="10"/>
  <c r="T161" i="10"/>
  <c r="U161" i="10"/>
  <c r="V161" i="10"/>
  <c r="X161" i="10"/>
  <c r="Y161" i="10"/>
  <c r="Z161" i="10"/>
  <c r="P107" i="10"/>
  <c r="R122" i="10"/>
  <c r="S122" i="10"/>
  <c r="T122" i="10"/>
  <c r="U122" i="10"/>
  <c r="V122" i="10"/>
  <c r="X122" i="10"/>
  <c r="Y122" i="10"/>
  <c r="Z122" i="10"/>
  <c r="T128" i="10"/>
  <c r="P123" i="10"/>
  <c r="H147" i="1"/>
  <c r="P147" i="10"/>
  <c r="O123" i="10"/>
  <c r="I123" i="1"/>
  <c r="X123" i="10"/>
  <c r="H119" i="1"/>
  <c r="P119" i="10"/>
  <c r="P131" i="10"/>
  <c r="T136" i="10"/>
  <c r="Q138" i="10"/>
  <c r="R138" i="10"/>
  <c r="T138" i="10"/>
  <c r="U138" i="10"/>
  <c r="V138" i="10"/>
  <c r="X138" i="10"/>
  <c r="Y138" i="10"/>
  <c r="Z138" i="10"/>
  <c r="O139" i="10"/>
  <c r="R139" i="10"/>
  <c r="I139" i="1"/>
  <c r="I151" i="1"/>
  <c r="P156" i="10"/>
  <c r="Q156" i="10"/>
  <c r="U157" i="10"/>
  <c r="Z157" i="10"/>
  <c r="H131" i="1"/>
  <c r="H135" i="1"/>
  <c r="P135" i="10"/>
  <c r="O138" i="10"/>
  <c r="I127" i="1"/>
  <c r="S138" i="10"/>
  <c r="W138" i="10"/>
  <c r="H139" i="1"/>
  <c r="Q106" i="10"/>
  <c r="R106" i="10"/>
  <c r="S106" i="10"/>
  <c r="T106" i="10"/>
  <c r="U106" i="10"/>
  <c r="V106" i="10"/>
  <c r="W106" i="10"/>
  <c r="X106" i="10"/>
  <c r="Z106" i="10"/>
  <c r="O107" i="10"/>
  <c r="Q108" i="10"/>
  <c r="R108" i="10"/>
  <c r="T108" i="10"/>
  <c r="U108" i="10"/>
  <c r="V108" i="10"/>
  <c r="X108" i="10"/>
  <c r="Y108" i="10"/>
  <c r="Z108" i="10"/>
  <c r="O109" i="10"/>
  <c r="I143" i="1"/>
  <c r="U145" i="10"/>
  <c r="Y162" i="10"/>
  <c r="P115" i="10"/>
  <c r="T120" i="10"/>
  <c r="W122" i="10"/>
  <c r="H123" i="1"/>
  <c r="I155" i="1"/>
  <c r="X109" i="10"/>
  <c r="T110" i="10"/>
  <c r="X111" i="10"/>
  <c r="P114" i="10"/>
  <c r="P116" i="10"/>
  <c r="X117" i="10"/>
  <c r="O120" i="10"/>
  <c r="H121" i="1"/>
  <c r="P121" i="10"/>
  <c r="Q121" i="10"/>
  <c r="R121" i="10"/>
  <c r="S121" i="10"/>
  <c r="T121" i="10"/>
  <c r="U121" i="10"/>
  <c r="V121" i="10"/>
  <c r="X121" i="10"/>
  <c r="Y121" i="10"/>
  <c r="T126" i="10"/>
  <c r="X127" i="10"/>
  <c r="P130" i="10"/>
  <c r="P132" i="10"/>
  <c r="X133" i="10"/>
  <c r="O136" i="10"/>
  <c r="P137" i="10"/>
  <c r="Q137" i="10"/>
  <c r="R137" i="10"/>
  <c r="S137" i="10"/>
  <c r="T137" i="10"/>
  <c r="U137" i="10"/>
  <c r="V137" i="10"/>
  <c r="X137" i="10"/>
  <c r="Y137" i="10"/>
  <c r="Z137" i="10"/>
  <c r="Y142" i="10"/>
  <c r="Q148" i="10"/>
  <c r="U149" i="10"/>
  <c r="H151" i="1"/>
  <c r="Y150" i="10"/>
  <c r="P151" i="10"/>
  <c r="H153" i="1"/>
  <c r="Y154" i="10"/>
  <c r="P111" i="10"/>
  <c r="Q114" i="10"/>
  <c r="R114" i="10"/>
  <c r="S114" i="10"/>
  <c r="T114" i="10"/>
  <c r="U114" i="10"/>
  <c r="V114" i="10"/>
  <c r="W114" i="10"/>
  <c r="Y114" i="10"/>
  <c r="Z114" i="10"/>
  <c r="O115" i="10"/>
  <c r="H127" i="1"/>
  <c r="P127" i="10"/>
  <c r="O130" i="10"/>
  <c r="Q130" i="10"/>
  <c r="R130" i="10"/>
  <c r="S130" i="10"/>
  <c r="T130" i="10"/>
  <c r="U130" i="10"/>
  <c r="V130" i="10"/>
  <c r="W130" i="10"/>
  <c r="X130" i="10"/>
  <c r="Y130" i="10"/>
  <c r="Z130" i="10"/>
  <c r="O131" i="10"/>
  <c r="S131" i="10"/>
  <c r="I131" i="1"/>
  <c r="X131" i="10"/>
  <c r="H143" i="1"/>
  <c r="P143" i="10"/>
  <c r="P148" i="10"/>
  <c r="Q152" i="10"/>
  <c r="U153" i="10"/>
  <c r="H155" i="1"/>
  <c r="P155" i="10"/>
  <c r="Q158" i="10"/>
  <c r="V158" i="10"/>
  <c r="U159" i="10"/>
  <c r="Z159" i="10"/>
  <c r="P164" i="10"/>
  <c r="Q164" i="10"/>
  <c r="V164" i="10"/>
  <c r="U165" i="10"/>
  <c r="Z165" i="10"/>
  <c r="O110" i="10"/>
  <c r="S111" i="10"/>
  <c r="T111" i="10"/>
  <c r="W111" i="10"/>
  <c r="O112" i="10"/>
  <c r="T112" i="10"/>
  <c r="P113" i="10"/>
  <c r="Q113" i="10"/>
  <c r="R113" i="10"/>
  <c r="S113" i="10"/>
  <c r="T113" i="10"/>
  <c r="U113" i="10"/>
  <c r="V113" i="10"/>
  <c r="Y113" i="10"/>
  <c r="Z113" i="10"/>
  <c r="T118" i="10"/>
  <c r="X119" i="10"/>
  <c r="P122" i="10"/>
  <c r="P124" i="10"/>
  <c r="X125" i="10"/>
  <c r="O128" i="10"/>
  <c r="P129" i="10"/>
  <c r="Q129" i="10"/>
  <c r="R129" i="10"/>
  <c r="S129" i="10"/>
  <c r="T129" i="10"/>
  <c r="U129" i="10"/>
  <c r="V129" i="10"/>
  <c r="X129" i="10"/>
  <c r="Y129" i="10"/>
  <c r="Z129" i="10"/>
  <c r="T134" i="10"/>
  <c r="X135" i="10"/>
  <c r="P140" i="10"/>
  <c r="Q140" i="10"/>
  <c r="O144" i="10"/>
  <c r="Q144" i="10"/>
  <c r="V144" i="10"/>
  <c r="H145" i="1"/>
  <c r="Q145" i="10"/>
  <c r="R145" i="10"/>
  <c r="S145" i="10"/>
  <c r="T145" i="10"/>
  <c r="V145" i="10"/>
  <c r="X145" i="10"/>
  <c r="Y145" i="10"/>
  <c r="Z145" i="10"/>
  <c r="Q146" i="10"/>
  <c r="R146" i="10"/>
  <c r="S146" i="10"/>
  <c r="T146" i="10"/>
  <c r="U146" i="10"/>
  <c r="V146" i="10"/>
  <c r="W146" i="10"/>
  <c r="X146" i="10"/>
  <c r="Y146" i="10"/>
  <c r="P152" i="10"/>
  <c r="H159" i="1"/>
  <c r="Y158" i="10"/>
  <c r="P159" i="10"/>
  <c r="Q162" i="10"/>
  <c r="R162" i="10"/>
  <c r="S162" i="10"/>
  <c r="T162" i="10"/>
  <c r="U162" i="10"/>
  <c r="V162" i="10"/>
  <c r="W162" i="10"/>
  <c r="X162" i="10"/>
  <c r="Z162" i="10"/>
  <c r="O163" i="10"/>
  <c r="R163" i="10"/>
  <c r="U163" i="10"/>
  <c r="I163" i="1"/>
  <c r="Z163" i="10"/>
  <c r="V189" i="1"/>
  <c r="V211" i="1" s="1"/>
  <c r="Y106" i="10"/>
  <c r="S108" i="10"/>
  <c r="W113" i="10"/>
  <c r="T116" i="10"/>
  <c r="P117" i="10"/>
  <c r="T132" i="10"/>
  <c r="P133" i="10"/>
  <c r="W108" i="10"/>
  <c r="X107" i="10"/>
  <c r="O108" i="10"/>
  <c r="P109" i="10"/>
  <c r="Q109" i="10"/>
  <c r="T109" i="10"/>
  <c r="U109" i="10"/>
  <c r="W109" i="10"/>
  <c r="Y109" i="10"/>
  <c r="Z109" i="10"/>
  <c r="Q110" i="10"/>
  <c r="R109" i="10"/>
  <c r="S109" i="10"/>
  <c r="V109" i="10"/>
  <c r="P106" i="10"/>
  <c r="P108" i="10"/>
  <c r="T124" i="10"/>
  <c r="P125" i="10"/>
  <c r="U141" i="10"/>
  <c r="S116" i="10"/>
  <c r="X116" i="10"/>
  <c r="O117" i="10"/>
  <c r="S119" i="10"/>
  <c r="T119" i="10"/>
  <c r="W119" i="10"/>
  <c r="W121" i="10"/>
  <c r="I121" i="1"/>
  <c r="Z121" i="10"/>
  <c r="S124" i="10"/>
  <c r="X124" i="10"/>
  <c r="O125" i="10"/>
  <c r="T127" i="10"/>
  <c r="W127" i="10"/>
  <c r="H129" i="1"/>
  <c r="W128" i="10"/>
  <c r="W129" i="10"/>
  <c r="I129" i="1"/>
  <c r="S132" i="10"/>
  <c r="X132" i="10"/>
  <c r="O133" i="10"/>
  <c r="T135" i="10"/>
  <c r="W135" i="10"/>
  <c r="H137" i="1"/>
  <c r="W136" i="10"/>
  <c r="W137" i="10"/>
  <c r="I137" i="1"/>
  <c r="Y140" i="10"/>
  <c r="U143" i="10"/>
  <c r="Z143" i="10"/>
  <c r="W145" i="10"/>
  <c r="I145" i="1"/>
  <c r="Z146" i="10"/>
  <c r="O147" i="10"/>
  <c r="R147" i="10"/>
  <c r="Y148" i="10"/>
  <c r="U151" i="10"/>
  <c r="Z151" i="10"/>
  <c r="O152" i="10"/>
  <c r="V152" i="10"/>
  <c r="Q153" i="10"/>
  <c r="R153" i="10"/>
  <c r="S153" i="10"/>
  <c r="T153" i="10"/>
  <c r="V153" i="10"/>
  <c r="W153" i="10"/>
  <c r="I153" i="1"/>
  <c r="X153" i="10"/>
  <c r="Y153" i="10"/>
  <c r="Z153" i="10"/>
  <c r="Q154" i="10"/>
  <c r="R154" i="10"/>
  <c r="S154" i="10"/>
  <c r="T154" i="10"/>
  <c r="U154" i="10"/>
  <c r="V154" i="10"/>
  <c r="W154" i="10"/>
  <c r="X154" i="10"/>
  <c r="Z154" i="10"/>
  <c r="O155" i="10"/>
  <c r="R155" i="10"/>
  <c r="R156" i="10"/>
  <c r="S156" i="10"/>
  <c r="T156" i="10"/>
  <c r="U156" i="10"/>
  <c r="V156" i="10"/>
  <c r="W156" i="10"/>
  <c r="H157" i="1"/>
  <c r="X156" i="10"/>
  <c r="Y156" i="10"/>
  <c r="Z156" i="10"/>
  <c r="Y164" i="10"/>
  <c r="R165" i="10"/>
  <c r="W116" i="10"/>
  <c r="O118" i="10"/>
  <c r="O106" i="10"/>
  <c r="Q107" i="10"/>
  <c r="R107" i="10"/>
  <c r="S107" i="10"/>
  <c r="T107" i="10"/>
  <c r="U107" i="10"/>
  <c r="V107" i="10"/>
  <c r="W107" i="10"/>
  <c r="Y107" i="10"/>
  <c r="Z107" i="10"/>
  <c r="P110" i="10"/>
  <c r="P112" i="10"/>
  <c r="P118" i="10"/>
  <c r="P120" i="10"/>
  <c r="P126" i="10"/>
  <c r="P128" i="10"/>
  <c r="P134" i="10"/>
  <c r="P136" i="10"/>
  <c r="P139" i="10"/>
  <c r="P144" i="10"/>
  <c r="R110" i="10"/>
  <c r="S110" i="10"/>
  <c r="U110" i="10"/>
  <c r="V110" i="10"/>
  <c r="W110" i="10"/>
  <c r="X110" i="10"/>
  <c r="Y110" i="10"/>
  <c r="Z110" i="10"/>
  <c r="O111" i="10"/>
  <c r="S112" i="10"/>
  <c r="O113" i="10"/>
  <c r="O114" i="10"/>
  <c r="S115" i="10"/>
  <c r="T115" i="10"/>
  <c r="W115" i="10"/>
  <c r="O116" i="10"/>
  <c r="Q117" i="10"/>
  <c r="R117" i="10"/>
  <c r="S117" i="10"/>
  <c r="T117" i="10"/>
  <c r="U117" i="10"/>
  <c r="V117" i="10"/>
  <c r="W117" i="10"/>
  <c r="Y117" i="10"/>
  <c r="Z117" i="10"/>
  <c r="Q118" i="10"/>
  <c r="R118" i="10"/>
  <c r="S118" i="10"/>
  <c r="U118" i="10"/>
  <c r="V118" i="10"/>
  <c r="W118" i="10"/>
  <c r="X118" i="10"/>
  <c r="Y118" i="10"/>
  <c r="Z118" i="10"/>
  <c r="O119" i="10"/>
  <c r="S120" i="10"/>
  <c r="W120" i="10"/>
  <c r="X120" i="10"/>
  <c r="O121" i="10"/>
  <c r="T123" i="10"/>
  <c r="W123" i="10"/>
  <c r="O124" i="10"/>
  <c r="H125" i="1"/>
  <c r="W124" i="10"/>
  <c r="Q125" i="10"/>
  <c r="R125" i="10"/>
  <c r="S125" i="10"/>
  <c r="T125" i="10"/>
  <c r="U125" i="10"/>
  <c r="V125" i="10"/>
  <c r="W125" i="10"/>
  <c r="I125" i="1"/>
  <c r="Y125" i="10"/>
  <c r="Z125" i="10"/>
  <c r="O126" i="10"/>
  <c r="Q126" i="10"/>
  <c r="R126" i="10"/>
  <c r="S126" i="10"/>
  <c r="U126" i="10"/>
  <c r="V126" i="10"/>
  <c r="W126" i="10"/>
  <c r="X126" i="10"/>
  <c r="Y126" i="10"/>
  <c r="Z126" i="10"/>
  <c r="O127" i="10"/>
  <c r="S127" i="10"/>
  <c r="S128" i="10"/>
  <c r="X128" i="10"/>
  <c r="O129" i="10"/>
  <c r="T131" i="10"/>
  <c r="W131" i="10"/>
  <c r="O132" i="10"/>
  <c r="H133" i="1"/>
  <c r="W132" i="10"/>
  <c r="Q133" i="10"/>
  <c r="R133" i="10"/>
  <c r="S133" i="10"/>
  <c r="T133" i="10"/>
  <c r="U133" i="10"/>
  <c r="V133" i="10"/>
  <c r="W133" i="10"/>
  <c r="I133" i="1"/>
  <c r="Y133" i="10"/>
  <c r="Z133" i="10"/>
  <c r="O134" i="10"/>
  <c r="Q134" i="10"/>
  <c r="R134" i="10"/>
  <c r="S134" i="10"/>
  <c r="U134" i="10"/>
  <c r="V134" i="10"/>
  <c r="W134" i="10"/>
  <c r="X134" i="10"/>
  <c r="Y134" i="10"/>
  <c r="Z134" i="10"/>
  <c r="O135" i="10"/>
  <c r="S135" i="10"/>
  <c r="S136" i="10"/>
  <c r="X136" i="10"/>
  <c r="O137" i="10"/>
  <c r="U139" i="10"/>
  <c r="Z139" i="10"/>
  <c r="O140" i="10"/>
  <c r="V140" i="10"/>
  <c r="H141" i="1"/>
  <c r="Q141" i="10"/>
  <c r="R141" i="10"/>
  <c r="S141" i="10"/>
  <c r="T141" i="10"/>
  <c r="V141" i="10"/>
  <c r="W141" i="10"/>
  <c r="I141" i="1"/>
  <c r="X141" i="10"/>
  <c r="Y141" i="10"/>
  <c r="Z141" i="10"/>
  <c r="Q142" i="10"/>
  <c r="R142" i="10"/>
  <c r="S142" i="10"/>
  <c r="T142" i="10"/>
  <c r="U142" i="10"/>
  <c r="V142" i="10"/>
  <c r="W142" i="10"/>
  <c r="X142" i="10"/>
  <c r="Z142" i="10"/>
  <c r="O143" i="10"/>
  <c r="R143" i="10"/>
  <c r="Y144" i="10"/>
  <c r="U147" i="10"/>
  <c r="Z147" i="10"/>
  <c r="O148" i="10"/>
  <c r="V148" i="10"/>
  <c r="H149" i="1"/>
  <c r="Q149" i="10"/>
  <c r="R149" i="10"/>
  <c r="S149" i="10"/>
  <c r="T149" i="10"/>
  <c r="V149" i="10"/>
  <c r="W149" i="10"/>
  <c r="I149" i="1"/>
  <c r="X149" i="10"/>
  <c r="Y149" i="10"/>
  <c r="Z149" i="10"/>
  <c r="Q150" i="10"/>
  <c r="R150" i="10"/>
  <c r="S150" i="10"/>
  <c r="T150" i="10"/>
  <c r="U150" i="10"/>
  <c r="V150" i="10"/>
  <c r="W150" i="10"/>
  <c r="X150" i="10"/>
  <c r="Z150" i="10"/>
  <c r="O151" i="10"/>
  <c r="R151" i="10"/>
  <c r="Y152" i="10"/>
  <c r="U155" i="10"/>
  <c r="Z155" i="10"/>
  <c r="R157" i="10"/>
  <c r="O157" i="10"/>
  <c r="O158" i="10"/>
  <c r="Q159" i="10"/>
  <c r="S159" i="10"/>
  <c r="V159" i="10"/>
  <c r="Y159" i="10"/>
  <c r="W161" i="10"/>
  <c r="I161" i="1"/>
  <c r="R164" i="10"/>
  <c r="U164" i="10"/>
  <c r="Z164" i="10"/>
  <c r="U111" i="10"/>
  <c r="Y111" i="10"/>
  <c r="Q112" i="10"/>
  <c r="V112" i="10"/>
  <c r="Y112" i="10"/>
  <c r="U115" i="10"/>
  <c r="Q116" i="10"/>
  <c r="R116" i="10"/>
  <c r="Y116" i="10"/>
  <c r="Q119" i="10"/>
  <c r="R120" i="10"/>
  <c r="Q123" i="10"/>
  <c r="R123" i="10"/>
  <c r="U123" i="10"/>
  <c r="V123" i="10"/>
  <c r="Y123" i="10"/>
  <c r="Z123" i="10"/>
  <c r="Q124" i="10"/>
  <c r="R124" i="10"/>
  <c r="U124" i="10"/>
  <c r="V124" i="10"/>
  <c r="Y124" i="10"/>
  <c r="Z124" i="10"/>
  <c r="Q127" i="10"/>
  <c r="R127" i="10"/>
  <c r="U127" i="10"/>
  <c r="V127" i="10"/>
  <c r="Y127" i="10"/>
  <c r="Z127" i="10"/>
  <c r="Q128" i="10"/>
  <c r="R128" i="10"/>
  <c r="U128" i="10"/>
  <c r="V128" i="10"/>
  <c r="Y128" i="10"/>
  <c r="Z128" i="10"/>
  <c r="Q131" i="10"/>
  <c r="R131" i="10"/>
  <c r="U131" i="10"/>
  <c r="V131" i="10"/>
  <c r="Y131" i="10"/>
  <c r="Z131" i="10"/>
  <c r="Q132" i="10"/>
  <c r="R132" i="10"/>
  <c r="U132" i="10"/>
  <c r="V132" i="10"/>
  <c r="Y132" i="10"/>
  <c r="Z132" i="10"/>
  <c r="Q135" i="10"/>
  <c r="R135" i="10"/>
  <c r="U135" i="10"/>
  <c r="V135" i="10"/>
  <c r="Y135" i="10"/>
  <c r="Z135" i="10"/>
  <c r="Q136" i="10"/>
  <c r="R136" i="10"/>
  <c r="U136" i="10"/>
  <c r="V136" i="10"/>
  <c r="Y136" i="10"/>
  <c r="Z136" i="10"/>
  <c r="Q139" i="10"/>
  <c r="S139" i="10"/>
  <c r="T139" i="10"/>
  <c r="V139" i="10"/>
  <c r="W139" i="10"/>
  <c r="X139" i="10"/>
  <c r="Y139" i="10"/>
  <c r="R140" i="10"/>
  <c r="S140" i="10"/>
  <c r="T140" i="10"/>
  <c r="U140" i="10"/>
  <c r="W140" i="10"/>
  <c r="X140" i="10"/>
  <c r="Z140" i="10"/>
  <c r="O141" i="10"/>
  <c r="O142" i="10"/>
  <c r="Q143" i="10"/>
  <c r="S143" i="10"/>
  <c r="T143" i="10"/>
  <c r="V143" i="10"/>
  <c r="W143" i="10"/>
  <c r="X143" i="10"/>
  <c r="Y143" i="10"/>
  <c r="R144" i="10"/>
  <c r="S144" i="10"/>
  <c r="T144" i="10"/>
  <c r="U144" i="10"/>
  <c r="W144" i="10"/>
  <c r="X144" i="10"/>
  <c r="Z144" i="10"/>
  <c r="O145" i="10"/>
  <c r="O146" i="10"/>
  <c r="Q147" i="10"/>
  <c r="S147" i="10"/>
  <c r="T147" i="10"/>
  <c r="V147" i="10"/>
  <c r="W147" i="10"/>
  <c r="X147" i="10"/>
  <c r="Y147" i="10"/>
  <c r="R148" i="10"/>
  <c r="S148" i="10"/>
  <c r="T148" i="10"/>
  <c r="U148" i="10"/>
  <c r="W148" i="10"/>
  <c r="X148" i="10"/>
  <c r="Z148" i="10"/>
  <c r="O149" i="10"/>
  <c r="O150" i="10"/>
  <c r="Q151" i="10"/>
  <c r="S151" i="10"/>
  <c r="T151" i="10"/>
  <c r="V151" i="10"/>
  <c r="W151" i="10"/>
  <c r="X151" i="10"/>
  <c r="Y151" i="10"/>
  <c r="R152" i="10"/>
  <c r="S152" i="10"/>
  <c r="T152" i="10"/>
  <c r="U152" i="10"/>
  <c r="W152" i="10"/>
  <c r="X152" i="10"/>
  <c r="Z152" i="10"/>
  <c r="O153" i="10"/>
  <c r="O154" i="10"/>
  <c r="Q155" i="10"/>
  <c r="S155" i="10"/>
  <c r="T155" i="10"/>
  <c r="V155" i="10"/>
  <c r="W155" i="10"/>
  <c r="X155" i="10"/>
  <c r="Y155" i="10"/>
  <c r="P160" i="10"/>
  <c r="P163" i="10"/>
  <c r="Q111" i="10"/>
  <c r="R111" i="10"/>
  <c r="V111" i="10"/>
  <c r="Z111" i="10"/>
  <c r="R112" i="10"/>
  <c r="U112" i="10"/>
  <c r="Z112" i="10"/>
  <c r="Q115" i="10"/>
  <c r="R115" i="10"/>
  <c r="V115" i="10"/>
  <c r="Y115" i="10"/>
  <c r="Z115" i="10"/>
  <c r="U116" i="10"/>
  <c r="V116" i="10"/>
  <c r="Z116" i="10"/>
  <c r="R119" i="10"/>
  <c r="U119" i="10"/>
  <c r="V119" i="10"/>
  <c r="Y119" i="10"/>
  <c r="Z119" i="10"/>
  <c r="Q120" i="10"/>
  <c r="U120" i="10"/>
  <c r="V120" i="10"/>
  <c r="Y120" i="10"/>
  <c r="Z120" i="10"/>
  <c r="P138" i="10"/>
  <c r="P141" i="10"/>
  <c r="P142" i="10"/>
  <c r="P145" i="10"/>
  <c r="P146" i="10"/>
  <c r="P149" i="10"/>
  <c r="P150" i="10"/>
  <c r="P153" i="10"/>
  <c r="P154" i="10"/>
  <c r="O156" i="10"/>
  <c r="Q157" i="10"/>
  <c r="S157" i="10"/>
  <c r="T157" i="10"/>
  <c r="V157" i="10"/>
  <c r="W157" i="10"/>
  <c r="I157" i="1"/>
  <c r="X157" i="10"/>
  <c r="Y157" i="10"/>
  <c r="R158" i="10"/>
  <c r="S158" i="10"/>
  <c r="T158" i="10"/>
  <c r="U158" i="10"/>
  <c r="W158" i="10"/>
  <c r="X158" i="10"/>
  <c r="Z158" i="10"/>
  <c r="O159" i="10"/>
  <c r="R160" i="10"/>
  <c r="U160" i="10"/>
  <c r="Z160" i="10"/>
  <c r="Q163" i="10"/>
  <c r="V163" i="10"/>
  <c r="Y163" i="10"/>
  <c r="O164" i="10"/>
  <c r="H165" i="1"/>
  <c r="Q165" i="10"/>
  <c r="S165" i="10"/>
  <c r="T165" i="10"/>
  <c r="V165" i="10"/>
  <c r="W165" i="10"/>
  <c r="I165" i="1"/>
  <c r="X165" i="10"/>
  <c r="Y165" i="10"/>
  <c r="T159" i="10"/>
  <c r="W159" i="10"/>
  <c r="X159" i="10"/>
  <c r="S160" i="10"/>
  <c r="T160" i="10"/>
  <c r="W160" i="10"/>
  <c r="X160" i="10"/>
  <c r="O161" i="10"/>
  <c r="O162" i="10"/>
  <c r="S163" i="10"/>
  <c r="T163" i="10"/>
  <c r="W163" i="10"/>
  <c r="X163" i="10"/>
  <c r="S164" i="10"/>
  <c r="T164" i="10"/>
  <c r="W164" i="10"/>
  <c r="X164" i="10"/>
  <c r="O165" i="10"/>
  <c r="P157" i="10"/>
  <c r="P158" i="10"/>
  <c r="P161" i="10"/>
  <c r="P162" i="10"/>
  <c r="P165" i="10"/>
  <c r="DQ187" i="1"/>
  <c r="DK186" i="1"/>
  <c r="DC209" i="1"/>
  <c r="CW208" i="1"/>
  <c r="CW186" i="1"/>
  <c r="CW167" i="1"/>
  <c r="CW189" i="1" s="1"/>
  <c r="CN187" i="1"/>
  <c r="CP168" i="1"/>
  <c r="CO168" i="1"/>
  <c r="CP167" i="1"/>
  <c r="CO167" i="1"/>
  <c r="CN167" i="1"/>
  <c r="CF209" i="1"/>
  <c r="CE208" i="1"/>
  <c r="CF187" i="1"/>
  <c r="CF168" i="1"/>
  <c r="CE167" i="1"/>
  <c r="BL209" i="1"/>
  <c r="BL187" i="1"/>
  <c r="BK186" i="1"/>
  <c r="BL106" i="1"/>
  <c r="BK106" i="1"/>
  <c r="BJ106" i="1"/>
  <c r="BL105" i="1"/>
  <c r="BK105" i="1"/>
  <c r="BJ105" i="1"/>
  <c r="BL104" i="1"/>
  <c r="BK104" i="1"/>
  <c r="BJ104" i="1"/>
  <c r="BL103" i="1"/>
  <c r="BK103" i="1"/>
  <c r="BJ103" i="1"/>
  <c r="BL102" i="1"/>
  <c r="BK102" i="1"/>
  <c r="BJ102" i="1"/>
  <c r="BL101" i="1"/>
  <c r="BK101" i="1"/>
  <c r="BJ101" i="1"/>
  <c r="BL100" i="1"/>
  <c r="BK100" i="1"/>
  <c r="BJ100" i="1"/>
  <c r="BL99" i="1"/>
  <c r="BK99" i="1"/>
  <c r="BJ99" i="1"/>
  <c r="BL98" i="1"/>
  <c r="BK98" i="1"/>
  <c r="BJ98" i="1"/>
  <c r="BL97" i="1"/>
  <c r="BK97" i="1"/>
  <c r="BJ97" i="1"/>
  <c r="BL96" i="1"/>
  <c r="BK96" i="1"/>
  <c r="BJ96" i="1"/>
  <c r="BL95" i="1"/>
  <c r="BK95" i="1"/>
  <c r="BJ95" i="1"/>
  <c r="BL94" i="1"/>
  <c r="BK94" i="1"/>
  <c r="BJ94" i="1"/>
  <c r="BL93" i="1"/>
  <c r="BK93" i="1"/>
  <c r="BJ93" i="1"/>
  <c r="BL92" i="1"/>
  <c r="BK92" i="1"/>
  <c r="BJ92" i="1"/>
  <c r="BL91" i="1"/>
  <c r="BK91" i="1"/>
  <c r="BJ91" i="1"/>
  <c r="BL90" i="1"/>
  <c r="BK90" i="1"/>
  <c r="BJ90" i="1"/>
  <c r="BL89" i="1"/>
  <c r="BK89" i="1"/>
  <c r="BJ89" i="1"/>
  <c r="BL88" i="1"/>
  <c r="BK88" i="1"/>
  <c r="BJ88" i="1"/>
  <c r="BL87" i="1"/>
  <c r="BK87" i="1"/>
  <c r="BJ87" i="1"/>
  <c r="BL86" i="1"/>
  <c r="BK86" i="1"/>
  <c r="BJ86" i="1"/>
  <c r="BL85" i="1"/>
  <c r="BK85" i="1"/>
  <c r="BJ85" i="1"/>
  <c r="BL84" i="1"/>
  <c r="BK84" i="1"/>
  <c r="BJ84" i="1"/>
  <c r="BL83" i="1"/>
  <c r="BK83" i="1"/>
  <c r="BJ83" i="1"/>
  <c r="BL82" i="1"/>
  <c r="BK82" i="1"/>
  <c r="BJ82" i="1"/>
  <c r="BL81" i="1"/>
  <c r="BK81" i="1"/>
  <c r="BJ81" i="1"/>
  <c r="BL80" i="1"/>
  <c r="BK80" i="1"/>
  <c r="BJ80" i="1"/>
  <c r="BL79" i="1"/>
  <c r="BK79" i="1"/>
  <c r="BJ79" i="1"/>
  <c r="BL78" i="1"/>
  <c r="BK78" i="1"/>
  <c r="BJ78" i="1"/>
  <c r="BL77" i="1"/>
  <c r="BK77" i="1"/>
  <c r="BJ77" i="1"/>
  <c r="BL76" i="1"/>
  <c r="BK76" i="1"/>
  <c r="BJ76" i="1"/>
  <c r="BL75" i="1"/>
  <c r="BK75" i="1"/>
  <c r="BJ75" i="1"/>
  <c r="BL74" i="1"/>
  <c r="BK74" i="1"/>
  <c r="BJ74" i="1"/>
  <c r="BL73" i="1"/>
  <c r="BK73" i="1"/>
  <c r="BJ73" i="1"/>
  <c r="BL72" i="1"/>
  <c r="BK72" i="1"/>
  <c r="BJ72" i="1"/>
  <c r="BL71" i="1"/>
  <c r="BK71" i="1"/>
  <c r="BJ71" i="1"/>
  <c r="BL70" i="1"/>
  <c r="BK70" i="1"/>
  <c r="BJ70" i="1"/>
  <c r="BL69" i="1"/>
  <c r="BK69" i="1"/>
  <c r="BJ69" i="1"/>
  <c r="BL68" i="1"/>
  <c r="BK68" i="1"/>
  <c r="BJ68" i="1"/>
  <c r="BL67" i="1"/>
  <c r="BK67" i="1"/>
  <c r="BJ67" i="1"/>
  <c r="BL10" i="1"/>
  <c r="BK10" i="1"/>
  <c r="BJ10" i="1"/>
  <c r="BL9" i="1"/>
  <c r="BK9" i="1"/>
  <c r="BJ9" i="1"/>
  <c r="AX209" i="1"/>
  <c r="AX187" i="1"/>
  <c r="BB106" i="1"/>
  <c r="BA106" i="1"/>
  <c r="AX106" i="1"/>
  <c r="BB105" i="1"/>
  <c r="BA105" i="1"/>
  <c r="AX105" i="1"/>
  <c r="BB104" i="1"/>
  <c r="BA104" i="1"/>
  <c r="AX104" i="1"/>
  <c r="BB103" i="1"/>
  <c r="BA103" i="1"/>
  <c r="AX103" i="1"/>
  <c r="BB102" i="1"/>
  <c r="BA102" i="1"/>
  <c r="AX102" i="1"/>
  <c r="BB101" i="1"/>
  <c r="BA101" i="1"/>
  <c r="AX101" i="1"/>
  <c r="BB100" i="1"/>
  <c r="BA100" i="1"/>
  <c r="AX100" i="1"/>
  <c r="BB99" i="1"/>
  <c r="BA99" i="1"/>
  <c r="AX99" i="1"/>
  <c r="BB98" i="1"/>
  <c r="BA98" i="1"/>
  <c r="AX98" i="1"/>
  <c r="BB97" i="1"/>
  <c r="BA97" i="1"/>
  <c r="AX97" i="1"/>
  <c r="BB96" i="1"/>
  <c r="BA96" i="1"/>
  <c r="AX96" i="1"/>
  <c r="BB95" i="1"/>
  <c r="BA95" i="1"/>
  <c r="AX95" i="1"/>
  <c r="BB94" i="1"/>
  <c r="BA94" i="1"/>
  <c r="AX94" i="1"/>
  <c r="BB93" i="1"/>
  <c r="BA93" i="1"/>
  <c r="AX93" i="1"/>
  <c r="BB92" i="1"/>
  <c r="BA92" i="1"/>
  <c r="AX92" i="1"/>
  <c r="BB91" i="1"/>
  <c r="BA91" i="1"/>
  <c r="AX91" i="1"/>
  <c r="BB90" i="1"/>
  <c r="BA90" i="1"/>
  <c r="AX90" i="1"/>
  <c r="BB89" i="1"/>
  <c r="BA89" i="1"/>
  <c r="AX89" i="1"/>
  <c r="BB88" i="1"/>
  <c r="BA88" i="1"/>
  <c r="AX88" i="1"/>
  <c r="BB87" i="1"/>
  <c r="BA87" i="1"/>
  <c r="AX87" i="1"/>
  <c r="BB86" i="1"/>
  <c r="BA86" i="1"/>
  <c r="AX86" i="1"/>
  <c r="BB85" i="1"/>
  <c r="BA85" i="1"/>
  <c r="AX85" i="1"/>
  <c r="BB84" i="1"/>
  <c r="BA84" i="1"/>
  <c r="AX84" i="1"/>
  <c r="BB83" i="1"/>
  <c r="BA83" i="1"/>
  <c r="AX83" i="1"/>
  <c r="BB82" i="1"/>
  <c r="BA82" i="1"/>
  <c r="AX82" i="1"/>
  <c r="BB81" i="1"/>
  <c r="BA81" i="1"/>
  <c r="AX81" i="1"/>
  <c r="BB80" i="1"/>
  <c r="BA80" i="1"/>
  <c r="AX80" i="1"/>
  <c r="BB79" i="1"/>
  <c r="BA79" i="1"/>
  <c r="AX79" i="1"/>
  <c r="BB78" i="1"/>
  <c r="BA78" i="1"/>
  <c r="AX78" i="1"/>
  <c r="BB77" i="1"/>
  <c r="BA77" i="1"/>
  <c r="AX77" i="1"/>
  <c r="BB76" i="1"/>
  <c r="BA76" i="1"/>
  <c r="AX76" i="1"/>
  <c r="BB75" i="1"/>
  <c r="BA75" i="1"/>
  <c r="AX75" i="1"/>
  <c r="BB74" i="1"/>
  <c r="BA74" i="1"/>
  <c r="AX74" i="1"/>
  <c r="BB73" i="1"/>
  <c r="BA73" i="1"/>
  <c r="AX73" i="1"/>
  <c r="BB72" i="1"/>
  <c r="BA72" i="1"/>
  <c r="AX72" i="1"/>
  <c r="BB71" i="1"/>
  <c r="BA71" i="1"/>
  <c r="AX71" i="1"/>
  <c r="BB70" i="1"/>
  <c r="BA70" i="1"/>
  <c r="AX70" i="1"/>
  <c r="BB69" i="1"/>
  <c r="BA69" i="1"/>
  <c r="AX69" i="1"/>
  <c r="BB68" i="1"/>
  <c r="BA68" i="1"/>
  <c r="AX68" i="1"/>
  <c r="BB67" i="1"/>
  <c r="BA67" i="1"/>
  <c r="AX67" i="1"/>
  <c r="BB66" i="1"/>
  <c r="BA66" i="1"/>
  <c r="AX66" i="1"/>
  <c r="BB65" i="1"/>
  <c r="BA65" i="1"/>
  <c r="AX65" i="1"/>
  <c r="BB64" i="1"/>
  <c r="BA64" i="1"/>
  <c r="AX64" i="1"/>
  <c r="BB63" i="1"/>
  <c r="BA63" i="1"/>
  <c r="AX63" i="1"/>
  <c r="BB62" i="1"/>
  <c r="BA62" i="1"/>
  <c r="AX62" i="1"/>
  <c r="BB61" i="1"/>
  <c r="BA61" i="1"/>
  <c r="AX61" i="1"/>
  <c r="BB60" i="1"/>
  <c r="BA60" i="1"/>
  <c r="AX60" i="1"/>
  <c r="BB59" i="1"/>
  <c r="BA59" i="1"/>
  <c r="AX59" i="1"/>
  <c r="BB58" i="1"/>
  <c r="BA58" i="1"/>
  <c r="AX58" i="1"/>
  <c r="BB57" i="1"/>
  <c r="BA57" i="1"/>
  <c r="AX57" i="1"/>
  <c r="BB56" i="1"/>
  <c r="BA56" i="1"/>
  <c r="AX56" i="1"/>
  <c r="BB55" i="1"/>
  <c r="BA55" i="1"/>
  <c r="AX55" i="1"/>
  <c r="BB10" i="1"/>
  <c r="BA10" i="1"/>
  <c r="AX10" i="1"/>
  <c r="BB9" i="1"/>
  <c r="BA9" i="1"/>
  <c r="AX9" i="1"/>
  <c r="AH106" i="1"/>
  <c r="AG106" i="1"/>
  <c r="AE106" i="1"/>
  <c r="AH105" i="1"/>
  <c r="AG105" i="1"/>
  <c r="AE105" i="1"/>
  <c r="AH104" i="1"/>
  <c r="AG104" i="1"/>
  <c r="AE104" i="1"/>
  <c r="AH103" i="1"/>
  <c r="AG103" i="1"/>
  <c r="AE103" i="1"/>
  <c r="AH102" i="1"/>
  <c r="AG102" i="1"/>
  <c r="AE102" i="1"/>
  <c r="AH101" i="1"/>
  <c r="AG101" i="1"/>
  <c r="AE101" i="1"/>
  <c r="AH100" i="1"/>
  <c r="AG100" i="1"/>
  <c r="AE100" i="1"/>
  <c r="AH99" i="1"/>
  <c r="AG99" i="1"/>
  <c r="AE99" i="1"/>
  <c r="AH98" i="1"/>
  <c r="AG98" i="1"/>
  <c r="AE98" i="1"/>
  <c r="AH97" i="1"/>
  <c r="AG97" i="1"/>
  <c r="AE97" i="1"/>
  <c r="AH96" i="1"/>
  <c r="AG96" i="1"/>
  <c r="AE96" i="1"/>
  <c r="AH95" i="1"/>
  <c r="AG95" i="1"/>
  <c r="AE95" i="1"/>
  <c r="AH94" i="1"/>
  <c r="AG94" i="1"/>
  <c r="AE94" i="1"/>
  <c r="AH93" i="1"/>
  <c r="AG93" i="1"/>
  <c r="AE93" i="1"/>
  <c r="AH92" i="1"/>
  <c r="AG92" i="1"/>
  <c r="AE92" i="1"/>
  <c r="AH91" i="1"/>
  <c r="AG91" i="1"/>
  <c r="AE91" i="1"/>
  <c r="AH90" i="1"/>
  <c r="AG90" i="1"/>
  <c r="AE90" i="1"/>
  <c r="AH89" i="1"/>
  <c r="AG89" i="1"/>
  <c r="AE89" i="1"/>
  <c r="AH88" i="1"/>
  <c r="AG88" i="1"/>
  <c r="AE88" i="1"/>
  <c r="AH87" i="1"/>
  <c r="AG87" i="1"/>
  <c r="AE87" i="1"/>
  <c r="AH86" i="1"/>
  <c r="AG86" i="1"/>
  <c r="AE86" i="1"/>
  <c r="AH85" i="1"/>
  <c r="AG85" i="1"/>
  <c r="AE85" i="1"/>
  <c r="AH84" i="1"/>
  <c r="AG84" i="1"/>
  <c r="AE84" i="1"/>
  <c r="AH83" i="1"/>
  <c r="AG83" i="1"/>
  <c r="AE83" i="1"/>
  <c r="AH82" i="1"/>
  <c r="AG82" i="1"/>
  <c r="AE82" i="1"/>
  <c r="AH81" i="1"/>
  <c r="AG81" i="1"/>
  <c r="AE81" i="1"/>
  <c r="AH80" i="1"/>
  <c r="AG80" i="1"/>
  <c r="AE80" i="1"/>
  <c r="AH79" i="1"/>
  <c r="AG79" i="1"/>
  <c r="AE79" i="1"/>
  <c r="AH78" i="1"/>
  <c r="AG78" i="1"/>
  <c r="AE78" i="1"/>
  <c r="AH77" i="1"/>
  <c r="AG77" i="1"/>
  <c r="AE77" i="1"/>
  <c r="AH76" i="1"/>
  <c r="AG76" i="1"/>
  <c r="AE76" i="1"/>
  <c r="AH75" i="1"/>
  <c r="AG75" i="1"/>
  <c r="AE75" i="1"/>
  <c r="AH74" i="1"/>
  <c r="AG74" i="1"/>
  <c r="AE74" i="1"/>
  <c r="AH73" i="1"/>
  <c r="AG73" i="1"/>
  <c r="AE73" i="1"/>
  <c r="AH72" i="1"/>
  <c r="AG72" i="1"/>
  <c r="AE72" i="1"/>
  <c r="AH71" i="1"/>
  <c r="AG71" i="1"/>
  <c r="AE71" i="1"/>
  <c r="AH70" i="1"/>
  <c r="AG70" i="1"/>
  <c r="AE70" i="1"/>
  <c r="AH69" i="1"/>
  <c r="AG69" i="1"/>
  <c r="AE69" i="1"/>
  <c r="AH68" i="1"/>
  <c r="AG68" i="1"/>
  <c r="AE68" i="1"/>
  <c r="AH67" i="1"/>
  <c r="AG67" i="1"/>
  <c r="AE67" i="1"/>
  <c r="AH66" i="1"/>
  <c r="AG66" i="1"/>
  <c r="AE66" i="1"/>
  <c r="AH65" i="1"/>
  <c r="AG65" i="1"/>
  <c r="AE65" i="1"/>
  <c r="AH64" i="1"/>
  <c r="AG64" i="1"/>
  <c r="AE64" i="1"/>
  <c r="AH63" i="1"/>
  <c r="AG63" i="1"/>
  <c r="AE63" i="1"/>
  <c r="AH62" i="1"/>
  <c r="AG62" i="1"/>
  <c r="AE62" i="1"/>
  <c r="AH61" i="1"/>
  <c r="AG61" i="1"/>
  <c r="AE61" i="1"/>
  <c r="AH60" i="1"/>
  <c r="AG60" i="1"/>
  <c r="AE60" i="1"/>
  <c r="AH59" i="1"/>
  <c r="AG59" i="1"/>
  <c r="AE59" i="1"/>
  <c r="AH58" i="1"/>
  <c r="AG58" i="1"/>
  <c r="AE58" i="1"/>
  <c r="AH57" i="1"/>
  <c r="AG57" i="1"/>
  <c r="AE57" i="1"/>
  <c r="AH56" i="1"/>
  <c r="AG56" i="1"/>
  <c r="AE56" i="1"/>
  <c r="AH55" i="1"/>
  <c r="AG55" i="1"/>
  <c r="AE55" i="1"/>
  <c r="AH54" i="1"/>
  <c r="AG54" i="1"/>
  <c r="AE54" i="1"/>
  <c r="AH53" i="1"/>
  <c r="AG53" i="1"/>
  <c r="AE53" i="1"/>
  <c r="AH52" i="1"/>
  <c r="AG52" i="1"/>
  <c r="AE52" i="1"/>
  <c r="AH51" i="1"/>
  <c r="AG51" i="1"/>
  <c r="AE51" i="1"/>
  <c r="AH50" i="1"/>
  <c r="AG50" i="1"/>
  <c r="AE50" i="1"/>
  <c r="AH49" i="1"/>
  <c r="AG49" i="1"/>
  <c r="AE49" i="1"/>
  <c r="AH48" i="1"/>
  <c r="AG48" i="1"/>
  <c r="AE48" i="1"/>
  <c r="AH47" i="1"/>
  <c r="AG47" i="1"/>
  <c r="AE47" i="1"/>
  <c r="AH46" i="1"/>
  <c r="AG46" i="1"/>
  <c r="AE46" i="1"/>
  <c r="AH45" i="1"/>
  <c r="AG45" i="1"/>
  <c r="AE45" i="1"/>
  <c r="AH44" i="1"/>
  <c r="AG44" i="1"/>
  <c r="AE44" i="1"/>
  <c r="AH43" i="1"/>
  <c r="AG43" i="1"/>
  <c r="AE43" i="1"/>
  <c r="AH42" i="1"/>
  <c r="AG42" i="1"/>
  <c r="AE42" i="1"/>
  <c r="AH41" i="1"/>
  <c r="AG41" i="1"/>
  <c r="AE41" i="1"/>
  <c r="AH40" i="1"/>
  <c r="AG40" i="1"/>
  <c r="AE40" i="1"/>
  <c r="AH39" i="1"/>
  <c r="AG39" i="1"/>
  <c r="AE39" i="1"/>
  <c r="AQ208" i="1"/>
  <c r="AQ186" i="1"/>
  <c r="AQ106" i="1"/>
  <c r="AQ105" i="1"/>
  <c r="AQ104" i="1"/>
  <c r="AQ103" i="1"/>
  <c r="AQ102" i="1"/>
  <c r="AQ101" i="1"/>
  <c r="AQ100" i="1"/>
  <c r="AQ99" i="1"/>
  <c r="AQ98" i="1"/>
  <c r="AQ97" i="1"/>
  <c r="AQ96" i="1"/>
  <c r="AQ95" i="1"/>
  <c r="AQ94" i="1"/>
  <c r="AQ93" i="1"/>
  <c r="AQ92" i="1"/>
  <c r="AQ91" i="1"/>
  <c r="AQ90" i="1"/>
  <c r="AQ89" i="1"/>
  <c r="AQ88" i="1"/>
  <c r="AQ87" i="1"/>
  <c r="AQ86" i="1"/>
  <c r="AQ85" i="1"/>
  <c r="AQ84" i="1"/>
  <c r="AQ83" i="1"/>
  <c r="AQ82" i="1"/>
  <c r="AQ81" i="1"/>
  <c r="AQ80" i="1"/>
  <c r="AQ79" i="1"/>
  <c r="AQ78" i="1"/>
  <c r="AQ77" i="1"/>
  <c r="AQ76" i="1"/>
  <c r="AQ75" i="1"/>
  <c r="AQ74" i="1"/>
  <c r="AQ73" i="1"/>
  <c r="AQ72" i="1"/>
  <c r="AQ71" i="1"/>
  <c r="AQ70" i="1"/>
  <c r="AQ69" i="1"/>
  <c r="AQ68" i="1"/>
  <c r="AQ67" i="1"/>
  <c r="AQ66" i="1"/>
  <c r="AQ65" i="1"/>
  <c r="AQ64" i="1"/>
  <c r="AQ63" i="1"/>
  <c r="AQ62" i="1"/>
  <c r="AQ61" i="1"/>
  <c r="AQ60" i="1"/>
  <c r="AQ59" i="1"/>
  <c r="AQ58" i="1"/>
  <c r="AQ57" i="1"/>
  <c r="AQ56" i="1"/>
  <c r="AQ55" i="1"/>
  <c r="AQ54" i="1"/>
  <c r="AQ53" i="1"/>
  <c r="AQ52" i="1"/>
  <c r="AQ51" i="1"/>
  <c r="AQ50" i="1"/>
  <c r="AQ49" i="1"/>
  <c r="AQ48" i="1"/>
  <c r="AQ47" i="1"/>
  <c r="AQ46" i="1"/>
  <c r="AQ45" i="1"/>
  <c r="AQ44" i="1"/>
  <c r="AQ43" i="1"/>
  <c r="AQ10" i="1"/>
  <c r="AQ9" i="1"/>
  <c r="W209" i="1"/>
  <c r="W208" i="1"/>
  <c r="W187" i="1"/>
  <c r="W186"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CW211" i="1" l="1"/>
  <c r="CB167" i="1"/>
  <c r="CE168" i="1"/>
  <c r="CN168" i="1"/>
  <c r="CN190" i="1" s="1"/>
  <c r="DQ209" i="1"/>
  <c r="DQ168" i="1"/>
  <c r="DQ190" i="1" s="1"/>
  <c r="DQ212" i="1" s="1"/>
  <c r="CF167" i="1"/>
  <c r="AX168" i="1"/>
  <c r="AX190" i="1" s="1"/>
  <c r="AX212" i="1" s="1"/>
  <c r="BK167" i="1"/>
  <c r="BK189" i="1" s="1"/>
  <c r="CB168" i="1"/>
  <c r="CE186" i="1"/>
  <c r="CE189" i="1" s="1"/>
  <c r="CE211" i="1" s="1"/>
  <c r="DC187" i="1"/>
  <c r="AE168" i="1"/>
  <c r="AE190" i="1" s="1"/>
  <c r="AE212" i="1" s="1"/>
  <c r="W167" i="1"/>
  <c r="W189" i="1" s="1"/>
  <c r="W211" i="1" s="1"/>
  <c r="AA138" i="10"/>
  <c r="AA129" i="10"/>
  <c r="AA113" i="10"/>
  <c r="W168" i="1"/>
  <c r="W190" i="1" s="1"/>
  <c r="W212" i="1" s="1"/>
  <c r="AH167" i="1"/>
  <c r="AH189" i="1" s="1"/>
  <c r="AH211" i="1" s="1"/>
  <c r="CP186" i="1"/>
  <c r="CV167" i="1"/>
  <c r="CW168" i="1"/>
  <c r="DD186" i="1"/>
  <c r="DD208" i="1"/>
  <c r="DS167" i="1"/>
  <c r="AQ167" i="1"/>
  <c r="AQ189" i="1" s="1"/>
  <c r="AQ211" i="1" s="1"/>
  <c r="AQ168" i="1"/>
  <c r="DS186" i="1"/>
  <c r="DS208" i="1"/>
  <c r="DK189" i="1"/>
  <c r="DK211" i="1" s="1"/>
  <c r="AE167" i="1"/>
  <c r="AE189" i="1" s="1"/>
  <c r="AE211" i="1" s="1"/>
  <c r="AG168" i="1"/>
  <c r="AG190" i="1" s="1"/>
  <c r="AG212" i="1" s="1"/>
  <c r="AX167" i="1"/>
  <c r="BA168" i="1"/>
  <c r="AX186" i="1"/>
  <c r="AX208" i="1"/>
  <c r="BA209" i="1"/>
  <c r="BL167" i="1"/>
  <c r="BL186" i="1"/>
  <c r="BL208" i="1"/>
  <c r="BS167" i="1"/>
  <c r="BS208" i="1"/>
  <c r="CF186" i="1"/>
  <c r="CF208" i="1"/>
  <c r="DQ167" i="1"/>
  <c r="DR168" i="1"/>
  <c r="DQ186" i="1"/>
  <c r="DR187" i="1"/>
  <c r="DQ208" i="1"/>
  <c r="DR209" i="1"/>
  <c r="AA122" i="10"/>
  <c r="CP208" i="1"/>
  <c r="AG167" i="1"/>
  <c r="AG189" i="1" s="1"/>
  <c r="AG211" i="1" s="1"/>
  <c r="AH168" i="1"/>
  <c r="AH190" i="1" s="1"/>
  <c r="AH212" i="1" s="1"/>
  <c r="AA131" i="10"/>
  <c r="AA130" i="10"/>
  <c r="BL168" i="1"/>
  <c r="BL190" i="1" s="1"/>
  <c r="BL212" i="1" s="1"/>
  <c r="CF190" i="1"/>
  <c r="CF212" i="1" s="1"/>
  <c r="CN209" i="1"/>
  <c r="CN186" i="1"/>
  <c r="CO187" i="1"/>
  <c r="DC186" i="1"/>
  <c r="AA137" i="10"/>
  <c r="CB186" i="1"/>
  <c r="CE187" i="1"/>
  <c r="CV186" i="1"/>
  <c r="CW187" i="1"/>
  <c r="DJ186" i="1"/>
  <c r="DK187" i="1"/>
  <c r="AA156" i="10"/>
  <c r="AA114" i="10"/>
  <c r="AA163" i="10"/>
  <c r="AA165" i="10"/>
  <c r="AA121" i="10"/>
  <c r="AA164" i="10"/>
  <c r="AA161" i="10"/>
  <c r="AA159" i="10"/>
  <c r="AA160" i="10"/>
  <c r="AA154" i="10"/>
  <c r="AA150" i="10"/>
  <c r="AA146" i="10"/>
  <c r="AA142" i="10"/>
  <c r="AA123" i="10"/>
  <c r="AA112" i="10"/>
  <c r="AA136" i="10"/>
  <c r="AA120" i="10"/>
  <c r="AA107" i="10"/>
  <c r="AA125" i="10"/>
  <c r="AA108" i="10"/>
  <c r="AA144" i="10"/>
  <c r="AA128" i="10"/>
  <c r="AA152" i="10"/>
  <c r="AA109" i="10"/>
  <c r="AA115" i="10"/>
  <c r="AA151" i="10"/>
  <c r="AA126" i="10"/>
  <c r="AA139" i="10"/>
  <c r="AA110" i="10"/>
  <c r="AA135" i="10"/>
  <c r="AA119" i="10"/>
  <c r="AA118" i="10"/>
  <c r="CN208" i="1"/>
  <c r="CO209" i="1"/>
  <c r="DC208" i="1"/>
  <c r="AA153" i="10"/>
  <c r="AA149" i="10"/>
  <c r="AA145" i="10"/>
  <c r="AA141" i="10"/>
  <c r="AA158" i="10"/>
  <c r="AA140" i="10"/>
  <c r="AA124" i="10"/>
  <c r="AA116" i="10"/>
  <c r="AA147" i="10"/>
  <c r="BK208" i="1"/>
  <c r="AQ187" i="1"/>
  <c r="AQ209" i="1"/>
  <c r="BA167" i="1"/>
  <c r="BB168" i="1"/>
  <c r="BA186" i="1"/>
  <c r="BB187" i="1"/>
  <c r="BA208" i="1"/>
  <c r="BB209" i="1"/>
  <c r="BJ168" i="1"/>
  <c r="BJ187" i="1"/>
  <c r="BJ209" i="1"/>
  <c r="BS168" i="1"/>
  <c r="BS209" i="1"/>
  <c r="CB187" i="1"/>
  <c r="CB209" i="1"/>
  <c r="CO186" i="1"/>
  <c r="CP187" i="1"/>
  <c r="CO208" i="1"/>
  <c r="CP209" i="1"/>
  <c r="CV168" i="1"/>
  <c r="CV187" i="1"/>
  <c r="CV209" i="1"/>
  <c r="DD187" i="1"/>
  <c r="DD209" i="1"/>
  <c r="DJ187" i="1"/>
  <c r="DR167" i="1"/>
  <c r="DS168" i="1"/>
  <c r="DR186" i="1"/>
  <c r="DS187" i="1"/>
  <c r="DR208" i="1"/>
  <c r="DS209" i="1"/>
  <c r="AA157" i="10"/>
  <c r="AA148" i="10"/>
  <c r="AA134" i="10"/>
  <c r="AA127" i="10"/>
  <c r="AA111" i="10"/>
  <c r="AA106" i="10"/>
  <c r="AA133" i="10"/>
  <c r="AA117" i="10"/>
  <c r="BA187" i="1"/>
  <c r="BB167" i="1"/>
  <c r="BB186" i="1"/>
  <c r="BB208" i="1"/>
  <c r="BJ167" i="1"/>
  <c r="BK168" i="1"/>
  <c r="BJ186" i="1"/>
  <c r="BK187" i="1"/>
  <c r="BJ208" i="1"/>
  <c r="BK209" i="1"/>
  <c r="CB208" i="1"/>
  <c r="CE209" i="1"/>
  <c r="CV208" i="1"/>
  <c r="CW209" i="1"/>
  <c r="AA162" i="10"/>
  <c r="AA143" i="10"/>
  <c r="AA132" i="10"/>
  <c r="AA155" i="10"/>
  <c r="DP207" i="1"/>
  <c r="DO207" i="1"/>
  <c r="DN207" i="1"/>
  <c r="DM207" i="1"/>
  <c r="DL207" i="1"/>
  <c r="DP206" i="1"/>
  <c r="DO206" i="1"/>
  <c r="DN206" i="1"/>
  <c r="DM206" i="1"/>
  <c r="DL206" i="1"/>
  <c r="DP205" i="1"/>
  <c r="DO205" i="1"/>
  <c r="DN205" i="1"/>
  <c r="DM205" i="1"/>
  <c r="DL205" i="1"/>
  <c r="DP204" i="1"/>
  <c r="DO204" i="1"/>
  <c r="DN204" i="1"/>
  <c r="DM204" i="1"/>
  <c r="DL204" i="1"/>
  <c r="DP203" i="1"/>
  <c r="DO203" i="1"/>
  <c r="DN203" i="1"/>
  <c r="DM203" i="1"/>
  <c r="DL203" i="1"/>
  <c r="DP202" i="1"/>
  <c r="DO202" i="1"/>
  <c r="DN202" i="1"/>
  <c r="DM202" i="1"/>
  <c r="DL202" i="1"/>
  <c r="DP201" i="1"/>
  <c r="DO201" i="1"/>
  <c r="DN201" i="1"/>
  <c r="DM201" i="1"/>
  <c r="DL201" i="1"/>
  <c r="DP200" i="1"/>
  <c r="DO200" i="1"/>
  <c r="DN200" i="1"/>
  <c r="DM200" i="1"/>
  <c r="DL200" i="1"/>
  <c r="DP199" i="1"/>
  <c r="DO199" i="1"/>
  <c r="DN199" i="1"/>
  <c r="DM199" i="1"/>
  <c r="DL199" i="1"/>
  <c r="DP198" i="1"/>
  <c r="DO198" i="1"/>
  <c r="DN198" i="1"/>
  <c r="DM198" i="1"/>
  <c r="DL198" i="1"/>
  <c r="DP185" i="1"/>
  <c r="DO185" i="1"/>
  <c r="DN185" i="1"/>
  <c r="DM185" i="1"/>
  <c r="DL185" i="1"/>
  <c r="DP184" i="1"/>
  <c r="DO184" i="1"/>
  <c r="DN184" i="1"/>
  <c r="DM184" i="1"/>
  <c r="DL184" i="1"/>
  <c r="DP183" i="1"/>
  <c r="DO183" i="1"/>
  <c r="DN183" i="1"/>
  <c r="DM183" i="1"/>
  <c r="DL183" i="1"/>
  <c r="DP182" i="1"/>
  <c r="DO182" i="1"/>
  <c r="DN182" i="1"/>
  <c r="DM182" i="1"/>
  <c r="DL182" i="1"/>
  <c r="DP181" i="1"/>
  <c r="DO181" i="1"/>
  <c r="DN181" i="1"/>
  <c r="DM181" i="1"/>
  <c r="DL181" i="1"/>
  <c r="DP180" i="1"/>
  <c r="DO180" i="1"/>
  <c r="DN180" i="1"/>
  <c r="DM180" i="1"/>
  <c r="DL180" i="1"/>
  <c r="DP179" i="1"/>
  <c r="DO179" i="1"/>
  <c r="DN179" i="1"/>
  <c r="DM179" i="1"/>
  <c r="DL179" i="1"/>
  <c r="DP178" i="1"/>
  <c r="DO178" i="1"/>
  <c r="DN178" i="1"/>
  <c r="DM178" i="1"/>
  <c r="DL178" i="1"/>
  <c r="DP177" i="1"/>
  <c r="DO177" i="1"/>
  <c r="DN177" i="1"/>
  <c r="DM177" i="1"/>
  <c r="DL177" i="1"/>
  <c r="DP176" i="1"/>
  <c r="DO176" i="1"/>
  <c r="DN176" i="1"/>
  <c r="DM176" i="1"/>
  <c r="DL176" i="1"/>
  <c r="DP175" i="1"/>
  <c r="DO175" i="1"/>
  <c r="DN175" i="1"/>
  <c r="DM175" i="1"/>
  <c r="DL175" i="1"/>
  <c r="DP174" i="1"/>
  <c r="DO174" i="1"/>
  <c r="DN174" i="1"/>
  <c r="DM174" i="1"/>
  <c r="DL174" i="1"/>
  <c r="DP106" i="1"/>
  <c r="DO106" i="1"/>
  <c r="DN106" i="1"/>
  <c r="DM106" i="1"/>
  <c r="DL106" i="1"/>
  <c r="DP105" i="1"/>
  <c r="DO105" i="1"/>
  <c r="DN105" i="1"/>
  <c r="DM105" i="1"/>
  <c r="DL105" i="1"/>
  <c r="DP104" i="1"/>
  <c r="DO104" i="1"/>
  <c r="DN104" i="1"/>
  <c r="DM104" i="1"/>
  <c r="DL104" i="1"/>
  <c r="DP103" i="1"/>
  <c r="DO103" i="1"/>
  <c r="DN103" i="1"/>
  <c r="DM103" i="1"/>
  <c r="DL103" i="1"/>
  <c r="DP102" i="1"/>
  <c r="DO102" i="1"/>
  <c r="DN102" i="1"/>
  <c r="DM102" i="1"/>
  <c r="DL102" i="1"/>
  <c r="DP101" i="1"/>
  <c r="DO101" i="1"/>
  <c r="DN101" i="1"/>
  <c r="DM101" i="1"/>
  <c r="DL101" i="1"/>
  <c r="DP100" i="1"/>
  <c r="DO100" i="1"/>
  <c r="DN100" i="1"/>
  <c r="DM100" i="1"/>
  <c r="DL100" i="1"/>
  <c r="DP99" i="1"/>
  <c r="DO99" i="1"/>
  <c r="DN99" i="1"/>
  <c r="DM99" i="1"/>
  <c r="DL99" i="1"/>
  <c r="DP98" i="1"/>
  <c r="DO98" i="1"/>
  <c r="DN98" i="1"/>
  <c r="DM98" i="1"/>
  <c r="DL98" i="1"/>
  <c r="DP97" i="1"/>
  <c r="DO97" i="1"/>
  <c r="DN97" i="1"/>
  <c r="DM97" i="1"/>
  <c r="DL97" i="1"/>
  <c r="DP96" i="1"/>
  <c r="DO96" i="1"/>
  <c r="DN96" i="1"/>
  <c r="DM96" i="1"/>
  <c r="DL96" i="1"/>
  <c r="DP95" i="1"/>
  <c r="DO95" i="1"/>
  <c r="DN95" i="1"/>
  <c r="DM95" i="1"/>
  <c r="DL95" i="1"/>
  <c r="DP94" i="1"/>
  <c r="DO94" i="1"/>
  <c r="DN94" i="1"/>
  <c r="DM94" i="1"/>
  <c r="DL94" i="1"/>
  <c r="DP93" i="1"/>
  <c r="DO93" i="1"/>
  <c r="DN93" i="1"/>
  <c r="DM93" i="1"/>
  <c r="DL93" i="1"/>
  <c r="DP92" i="1"/>
  <c r="DO92" i="1"/>
  <c r="DN92" i="1"/>
  <c r="DM92" i="1"/>
  <c r="DL92" i="1"/>
  <c r="DP91" i="1"/>
  <c r="DO91" i="1"/>
  <c r="DN91" i="1"/>
  <c r="DM91" i="1"/>
  <c r="DL91" i="1"/>
  <c r="DP90" i="1"/>
  <c r="DO90" i="1"/>
  <c r="DN90" i="1"/>
  <c r="DM90" i="1"/>
  <c r="DL90" i="1"/>
  <c r="DP89" i="1"/>
  <c r="DO89" i="1"/>
  <c r="DN89" i="1"/>
  <c r="DM89" i="1"/>
  <c r="DL89" i="1"/>
  <c r="DP88" i="1"/>
  <c r="DO88" i="1"/>
  <c r="DN88" i="1"/>
  <c r="DM88" i="1"/>
  <c r="DL88" i="1"/>
  <c r="DP87" i="1"/>
  <c r="DO87" i="1"/>
  <c r="DN87" i="1"/>
  <c r="DM87" i="1"/>
  <c r="DL87" i="1"/>
  <c r="DP86" i="1"/>
  <c r="DO86" i="1"/>
  <c r="DN86" i="1"/>
  <c r="DM86" i="1"/>
  <c r="DL86" i="1"/>
  <c r="DP85" i="1"/>
  <c r="DO85" i="1"/>
  <c r="DN85" i="1"/>
  <c r="DM85" i="1"/>
  <c r="DL85" i="1"/>
  <c r="DP84" i="1"/>
  <c r="DO84" i="1"/>
  <c r="DN84" i="1"/>
  <c r="DM84" i="1"/>
  <c r="DL84" i="1"/>
  <c r="DP83" i="1"/>
  <c r="DO83" i="1"/>
  <c r="DN83" i="1"/>
  <c r="DM83" i="1"/>
  <c r="DL83" i="1"/>
  <c r="DP82" i="1"/>
  <c r="DO82" i="1"/>
  <c r="DN82" i="1"/>
  <c r="DM82" i="1"/>
  <c r="DL82" i="1"/>
  <c r="DP81" i="1"/>
  <c r="DO81" i="1"/>
  <c r="DN81" i="1"/>
  <c r="DM81" i="1"/>
  <c r="DL81" i="1"/>
  <c r="DP80" i="1"/>
  <c r="DO80" i="1"/>
  <c r="DN80" i="1"/>
  <c r="DM80" i="1"/>
  <c r="DL80" i="1"/>
  <c r="DP79" i="1"/>
  <c r="DO79" i="1"/>
  <c r="DN79" i="1"/>
  <c r="DM79" i="1"/>
  <c r="DL79" i="1"/>
  <c r="DP78" i="1"/>
  <c r="DO78" i="1"/>
  <c r="DN78" i="1"/>
  <c r="DM78" i="1"/>
  <c r="DL78" i="1"/>
  <c r="DP77" i="1"/>
  <c r="DO77" i="1"/>
  <c r="DN77" i="1"/>
  <c r="DM77" i="1"/>
  <c r="DL77" i="1"/>
  <c r="DP76" i="1"/>
  <c r="DO76" i="1"/>
  <c r="DN76" i="1"/>
  <c r="DM76" i="1"/>
  <c r="DL76" i="1"/>
  <c r="DP75" i="1"/>
  <c r="DO75" i="1"/>
  <c r="DN75" i="1"/>
  <c r="DM75" i="1"/>
  <c r="DL75" i="1"/>
  <c r="DP74" i="1"/>
  <c r="DO74" i="1"/>
  <c r="DN74" i="1"/>
  <c r="DM74" i="1"/>
  <c r="DL74" i="1"/>
  <c r="DP73" i="1"/>
  <c r="DO73" i="1"/>
  <c r="DN73" i="1"/>
  <c r="DM73" i="1"/>
  <c r="DL73" i="1"/>
  <c r="DP72" i="1"/>
  <c r="DO72" i="1"/>
  <c r="DN72" i="1"/>
  <c r="DM72" i="1"/>
  <c r="DL72" i="1"/>
  <c r="DP71" i="1"/>
  <c r="DO71" i="1"/>
  <c r="DN71" i="1"/>
  <c r="DM71" i="1"/>
  <c r="DL71" i="1"/>
  <c r="DP70" i="1"/>
  <c r="DO70" i="1"/>
  <c r="DN70" i="1"/>
  <c r="DM70" i="1"/>
  <c r="DL70" i="1"/>
  <c r="DP69" i="1"/>
  <c r="DO69" i="1"/>
  <c r="DN69" i="1"/>
  <c r="DM69" i="1"/>
  <c r="DL69" i="1"/>
  <c r="DP68" i="1"/>
  <c r="DO68" i="1"/>
  <c r="DN68" i="1"/>
  <c r="DM68" i="1"/>
  <c r="DL68" i="1"/>
  <c r="DP67" i="1"/>
  <c r="DO67" i="1"/>
  <c r="DN67" i="1"/>
  <c r="DM67" i="1"/>
  <c r="DL67" i="1"/>
  <c r="DP66" i="1"/>
  <c r="DO66" i="1"/>
  <c r="DN66" i="1"/>
  <c r="DM66" i="1"/>
  <c r="DL66" i="1"/>
  <c r="DP65" i="1"/>
  <c r="DO65" i="1"/>
  <c r="DN65" i="1"/>
  <c r="DM65" i="1"/>
  <c r="DL65" i="1"/>
  <c r="DP64" i="1"/>
  <c r="DO64" i="1"/>
  <c r="DN64" i="1"/>
  <c r="DM64" i="1"/>
  <c r="DL64" i="1"/>
  <c r="DP63" i="1"/>
  <c r="DO63" i="1"/>
  <c r="DN63" i="1"/>
  <c r="DM63" i="1"/>
  <c r="DL63" i="1"/>
  <c r="DP62" i="1"/>
  <c r="DO62" i="1"/>
  <c r="DN62" i="1"/>
  <c r="DM62" i="1"/>
  <c r="DL62" i="1"/>
  <c r="DP61" i="1"/>
  <c r="DO61" i="1"/>
  <c r="DN61" i="1"/>
  <c r="DM61" i="1"/>
  <c r="DL61" i="1"/>
  <c r="DP60" i="1"/>
  <c r="DO60" i="1"/>
  <c r="DN60" i="1"/>
  <c r="DM60" i="1"/>
  <c r="DL60" i="1"/>
  <c r="DP59" i="1"/>
  <c r="DO59" i="1"/>
  <c r="DN59" i="1"/>
  <c r="DM59" i="1"/>
  <c r="DL59" i="1"/>
  <c r="DP58" i="1"/>
  <c r="DO58" i="1"/>
  <c r="DN58" i="1"/>
  <c r="DM58" i="1"/>
  <c r="DL58" i="1"/>
  <c r="DP57" i="1"/>
  <c r="DO57" i="1"/>
  <c r="DN57" i="1"/>
  <c r="DM57" i="1"/>
  <c r="DL57" i="1"/>
  <c r="DP56" i="1"/>
  <c r="DO56" i="1"/>
  <c r="DN56" i="1"/>
  <c r="DM56" i="1"/>
  <c r="DL56" i="1"/>
  <c r="DP55" i="1"/>
  <c r="DO55" i="1"/>
  <c r="DN55" i="1"/>
  <c r="DM55" i="1"/>
  <c r="DL55" i="1"/>
  <c r="DP54" i="1"/>
  <c r="DO54" i="1"/>
  <c r="DN54" i="1"/>
  <c r="DM54" i="1"/>
  <c r="DL54" i="1"/>
  <c r="DP53" i="1"/>
  <c r="DO53" i="1"/>
  <c r="DN53" i="1"/>
  <c r="DM53" i="1"/>
  <c r="DL53" i="1"/>
  <c r="DP52" i="1"/>
  <c r="DO52" i="1"/>
  <c r="DN52" i="1"/>
  <c r="DM52" i="1"/>
  <c r="DL52" i="1"/>
  <c r="DP51" i="1"/>
  <c r="DO51" i="1"/>
  <c r="DN51" i="1"/>
  <c r="DM51" i="1"/>
  <c r="DL51" i="1"/>
  <c r="DP50" i="1"/>
  <c r="DO50" i="1"/>
  <c r="DN50" i="1"/>
  <c r="DM50" i="1"/>
  <c r="DL50" i="1"/>
  <c r="DP49" i="1"/>
  <c r="DO49" i="1"/>
  <c r="DN49" i="1"/>
  <c r="DM49" i="1"/>
  <c r="DL49" i="1"/>
  <c r="DP48" i="1"/>
  <c r="DO48" i="1"/>
  <c r="DN48" i="1"/>
  <c r="DM48" i="1"/>
  <c r="DL48" i="1"/>
  <c r="DP47" i="1"/>
  <c r="DO47" i="1"/>
  <c r="DN47" i="1"/>
  <c r="DM47" i="1"/>
  <c r="DL47" i="1"/>
  <c r="DP46" i="1"/>
  <c r="DO46" i="1"/>
  <c r="DN46" i="1"/>
  <c r="DM46" i="1"/>
  <c r="DL46" i="1"/>
  <c r="DP45" i="1"/>
  <c r="DO45" i="1"/>
  <c r="DN45" i="1"/>
  <c r="DM45" i="1"/>
  <c r="DL45" i="1"/>
  <c r="DP44" i="1"/>
  <c r="DO44" i="1"/>
  <c r="DN44" i="1"/>
  <c r="DM44" i="1"/>
  <c r="DL44" i="1"/>
  <c r="DP43" i="1"/>
  <c r="DO43" i="1"/>
  <c r="DN43" i="1"/>
  <c r="DM43" i="1"/>
  <c r="DL43" i="1"/>
  <c r="DP42" i="1"/>
  <c r="DO42" i="1"/>
  <c r="DN42" i="1"/>
  <c r="DM42" i="1"/>
  <c r="DL42" i="1"/>
  <c r="DP41" i="1"/>
  <c r="DO41" i="1"/>
  <c r="DN41" i="1"/>
  <c r="DM41" i="1"/>
  <c r="DL41" i="1"/>
  <c r="DP40" i="1"/>
  <c r="DO40" i="1"/>
  <c r="DN40" i="1"/>
  <c r="DM40" i="1"/>
  <c r="DL40" i="1"/>
  <c r="DP39" i="1"/>
  <c r="DO39" i="1"/>
  <c r="DN39" i="1"/>
  <c r="DM39" i="1"/>
  <c r="DL39" i="1"/>
  <c r="DP38" i="1"/>
  <c r="DO38" i="1"/>
  <c r="DN38" i="1"/>
  <c r="DM38" i="1"/>
  <c r="DL38" i="1"/>
  <c r="DP37" i="1"/>
  <c r="DO37" i="1"/>
  <c r="DN37" i="1"/>
  <c r="DM37" i="1"/>
  <c r="DL37" i="1"/>
  <c r="DP36" i="1"/>
  <c r="DO36" i="1"/>
  <c r="DN36" i="1"/>
  <c r="DM36" i="1"/>
  <c r="DL36" i="1"/>
  <c r="DP35" i="1"/>
  <c r="DO35" i="1"/>
  <c r="DN35" i="1"/>
  <c r="DM35" i="1"/>
  <c r="DL35" i="1"/>
  <c r="DP34" i="1"/>
  <c r="DO34" i="1"/>
  <c r="DN34" i="1"/>
  <c r="DM34" i="1"/>
  <c r="DL34" i="1"/>
  <c r="DP33" i="1"/>
  <c r="DO33" i="1"/>
  <c r="DN33" i="1"/>
  <c r="DM33" i="1"/>
  <c r="DL33" i="1"/>
  <c r="DP32" i="1"/>
  <c r="DO32" i="1"/>
  <c r="DN32" i="1"/>
  <c r="DM32" i="1"/>
  <c r="DL32" i="1"/>
  <c r="DP31" i="1"/>
  <c r="DO31" i="1"/>
  <c r="DN31" i="1"/>
  <c r="DM31" i="1"/>
  <c r="DL31" i="1"/>
  <c r="DP30" i="1"/>
  <c r="DO30" i="1"/>
  <c r="DN30" i="1"/>
  <c r="DM30" i="1"/>
  <c r="DL30" i="1"/>
  <c r="DP29" i="1"/>
  <c r="DO29" i="1"/>
  <c r="DN29" i="1"/>
  <c r="DM29" i="1"/>
  <c r="DL29" i="1"/>
  <c r="DP28" i="1"/>
  <c r="DO28" i="1"/>
  <c r="DN28" i="1"/>
  <c r="DM28" i="1"/>
  <c r="DL28" i="1"/>
  <c r="DP27" i="1"/>
  <c r="DO27" i="1"/>
  <c r="DN27" i="1"/>
  <c r="DM27" i="1"/>
  <c r="DL27" i="1"/>
  <c r="DP26" i="1"/>
  <c r="DO26" i="1"/>
  <c r="DN26" i="1"/>
  <c r="DM26" i="1"/>
  <c r="DL26" i="1"/>
  <c r="DP25" i="1"/>
  <c r="DO25" i="1"/>
  <c r="DN25" i="1"/>
  <c r="DM25" i="1"/>
  <c r="DL25" i="1"/>
  <c r="DP24" i="1"/>
  <c r="DO24" i="1"/>
  <c r="DN24" i="1"/>
  <c r="DM24" i="1"/>
  <c r="DL24" i="1"/>
  <c r="DP23" i="1"/>
  <c r="DO23" i="1"/>
  <c r="DN23" i="1"/>
  <c r="DM23" i="1"/>
  <c r="DL23" i="1"/>
  <c r="DP22" i="1"/>
  <c r="DO22" i="1"/>
  <c r="DN22" i="1"/>
  <c r="DM22" i="1"/>
  <c r="DL22" i="1"/>
  <c r="DP21" i="1"/>
  <c r="DO21" i="1"/>
  <c r="DN21" i="1"/>
  <c r="DM21" i="1"/>
  <c r="DL21" i="1"/>
  <c r="DP20" i="1"/>
  <c r="DO20" i="1"/>
  <c r="DN20" i="1"/>
  <c r="DM20" i="1"/>
  <c r="DL20" i="1"/>
  <c r="DP19" i="1"/>
  <c r="DO19" i="1"/>
  <c r="DN19" i="1"/>
  <c r="DM19" i="1"/>
  <c r="DL19" i="1"/>
  <c r="DP18" i="1"/>
  <c r="DO18" i="1"/>
  <c r="DN18" i="1"/>
  <c r="DM18" i="1"/>
  <c r="DL18" i="1"/>
  <c r="DP17" i="1"/>
  <c r="DO17" i="1"/>
  <c r="DN17" i="1"/>
  <c r="DM17" i="1"/>
  <c r="DL17" i="1"/>
  <c r="DP16" i="1"/>
  <c r="DO16" i="1"/>
  <c r="DN16" i="1"/>
  <c r="DM16" i="1"/>
  <c r="DL16" i="1"/>
  <c r="DP15" i="1"/>
  <c r="DO15" i="1"/>
  <c r="DN15" i="1"/>
  <c r="DM15" i="1"/>
  <c r="DL15" i="1"/>
  <c r="DP14" i="1"/>
  <c r="DO14" i="1"/>
  <c r="DN14" i="1"/>
  <c r="DM14" i="1"/>
  <c r="DL14" i="1"/>
  <c r="DP13" i="1"/>
  <c r="DO13" i="1"/>
  <c r="DN13" i="1"/>
  <c r="DM13" i="1"/>
  <c r="DL13" i="1"/>
  <c r="DP12" i="1"/>
  <c r="DO12" i="1"/>
  <c r="DN12" i="1"/>
  <c r="DM12" i="1"/>
  <c r="DL12" i="1"/>
  <c r="DP11" i="1"/>
  <c r="DO11" i="1"/>
  <c r="DN11" i="1"/>
  <c r="DM11" i="1"/>
  <c r="DL11" i="1"/>
  <c r="DP10" i="1"/>
  <c r="DO10" i="1"/>
  <c r="DN10" i="1"/>
  <c r="DM10" i="1"/>
  <c r="DL10" i="1"/>
  <c r="DP9" i="1"/>
  <c r="DO9" i="1"/>
  <c r="DN9" i="1"/>
  <c r="DM9" i="1"/>
  <c r="DL9" i="1"/>
  <c r="DP8" i="1"/>
  <c r="DO8" i="1"/>
  <c r="DN8" i="1"/>
  <c r="DM8" i="1"/>
  <c r="DL8" i="1"/>
  <c r="DP7" i="1"/>
  <c r="DO7" i="1"/>
  <c r="DN7" i="1"/>
  <c r="DM7" i="1"/>
  <c r="DL7" i="1"/>
  <c r="CU106" i="1"/>
  <c r="CT106" i="1"/>
  <c r="CS106" i="1"/>
  <c r="CR106" i="1"/>
  <c r="CQ106" i="1"/>
  <c r="CU105" i="1"/>
  <c r="CT105" i="1"/>
  <c r="CS105" i="1"/>
  <c r="CR105" i="1"/>
  <c r="CQ105" i="1"/>
  <c r="CU104" i="1"/>
  <c r="CT104" i="1"/>
  <c r="CS104" i="1"/>
  <c r="CR104" i="1"/>
  <c r="CQ104" i="1"/>
  <c r="CU103" i="1"/>
  <c r="CT103" i="1"/>
  <c r="CS103" i="1"/>
  <c r="CR103" i="1"/>
  <c r="CQ103" i="1"/>
  <c r="CU102" i="1"/>
  <c r="CT102" i="1"/>
  <c r="CS102" i="1"/>
  <c r="CR102" i="1"/>
  <c r="CQ102" i="1"/>
  <c r="CU101" i="1"/>
  <c r="CT101" i="1"/>
  <c r="CS101" i="1"/>
  <c r="CR101" i="1"/>
  <c r="CQ101" i="1"/>
  <c r="CU100" i="1"/>
  <c r="CT100" i="1"/>
  <c r="CS100" i="1"/>
  <c r="CR100" i="1"/>
  <c r="CQ100" i="1"/>
  <c r="CU99" i="1"/>
  <c r="CT99" i="1"/>
  <c r="CS99" i="1"/>
  <c r="CR99" i="1"/>
  <c r="CQ99" i="1"/>
  <c r="CU98" i="1"/>
  <c r="CT98" i="1"/>
  <c r="CS98" i="1"/>
  <c r="CR98" i="1"/>
  <c r="CQ98" i="1"/>
  <c r="CU97" i="1"/>
  <c r="CT97" i="1"/>
  <c r="CS97" i="1"/>
  <c r="CR97" i="1"/>
  <c r="CQ97" i="1"/>
  <c r="CU48" i="1"/>
  <c r="CT48" i="1"/>
  <c r="CS48" i="1"/>
  <c r="CR48" i="1"/>
  <c r="CQ48" i="1"/>
  <c r="CU47" i="1"/>
  <c r="CT47" i="1"/>
  <c r="CS47" i="1"/>
  <c r="CR47" i="1"/>
  <c r="CQ47" i="1"/>
  <c r="CU46" i="1"/>
  <c r="CT46" i="1"/>
  <c r="CS46" i="1"/>
  <c r="CR46" i="1"/>
  <c r="CQ46" i="1"/>
  <c r="CU45" i="1"/>
  <c r="CT45" i="1"/>
  <c r="CS45" i="1"/>
  <c r="CR45" i="1"/>
  <c r="CQ45" i="1"/>
  <c r="CU44" i="1"/>
  <c r="CT44" i="1"/>
  <c r="CS44" i="1"/>
  <c r="CR44" i="1"/>
  <c r="CQ44" i="1"/>
  <c r="CU43" i="1"/>
  <c r="CT43" i="1"/>
  <c r="CS43" i="1"/>
  <c r="CR43" i="1"/>
  <c r="CQ43" i="1"/>
  <c r="CU42" i="1"/>
  <c r="CT42" i="1"/>
  <c r="CS42" i="1"/>
  <c r="CR42" i="1"/>
  <c r="CQ42" i="1"/>
  <c r="CU41" i="1"/>
  <c r="CT41" i="1"/>
  <c r="CS41" i="1"/>
  <c r="CR41" i="1"/>
  <c r="CQ41" i="1"/>
  <c r="CU40" i="1"/>
  <c r="CT40" i="1"/>
  <c r="CS40" i="1"/>
  <c r="CR40" i="1"/>
  <c r="CQ40" i="1"/>
  <c r="CU39" i="1"/>
  <c r="CT39" i="1"/>
  <c r="CS39" i="1"/>
  <c r="CR39" i="1"/>
  <c r="CQ39" i="1"/>
  <c r="CU38" i="1"/>
  <c r="CT38" i="1"/>
  <c r="CS38" i="1"/>
  <c r="CR38" i="1"/>
  <c r="CQ38" i="1"/>
  <c r="CU37" i="1"/>
  <c r="CT37" i="1"/>
  <c r="CS37" i="1"/>
  <c r="CR37" i="1"/>
  <c r="CQ37" i="1"/>
  <c r="CU36" i="1"/>
  <c r="CT36" i="1"/>
  <c r="CS36" i="1"/>
  <c r="CR36" i="1"/>
  <c r="CQ36" i="1"/>
  <c r="CU35" i="1"/>
  <c r="CT35" i="1"/>
  <c r="CS35" i="1"/>
  <c r="CR35" i="1"/>
  <c r="CQ35" i="1"/>
  <c r="CU34" i="1"/>
  <c r="CT34" i="1"/>
  <c r="CS34" i="1"/>
  <c r="CR34" i="1"/>
  <c r="CQ34" i="1"/>
  <c r="CU33" i="1"/>
  <c r="CT33" i="1"/>
  <c r="CS33" i="1"/>
  <c r="CR33" i="1"/>
  <c r="CQ33" i="1"/>
  <c r="CU32" i="1"/>
  <c r="CT32" i="1"/>
  <c r="CS32" i="1"/>
  <c r="CR32" i="1"/>
  <c r="CQ32" i="1"/>
  <c r="CU31" i="1"/>
  <c r="CT31" i="1"/>
  <c r="CS31" i="1"/>
  <c r="CR31" i="1"/>
  <c r="CQ31" i="1"/>
  <c r="CU30" i="1"/>
  <c r="CT30" i="1"/>
  <c r="CS30" i="1"/>
  <c r="CR30" i="1"/>
  <c r="CQ30" i="1"/>
  <c r="CU29" i="1"/>
  <c r="CT29" i="1"/>
  <c r="CS29" i="1"/>
  <c r="CR29" i="1"/>
  <c r="CQ29" i="1"/>
  <c r="CU28" i="1"/>
  <c r="CT28" i="1"/>
  <c r="CS28" i="1"/>
  <c r="CR28" i="1"/>
  <c r="CQ28" i="1"/>
  <c r="CU27" i="1"/>
  <c r="CT27" i="1"/>
  <c r="CS27" i="1"/>
  <c r="CR27" i="1"/>
  <c r="CQ27" i="1"/>
  <c r="CU26" i="1"/>
  <c r="CT26" i="1"/>
  <c r="CS26" i="1"/>
  <c r="CR26" i="1"/>
  <c r="CQ26" i="1"/>
  <c r="CU25" i="1"/>
  <c r="CT25" i="1"/>
  <c r="CS25" i="1"/>
  <c r="CR25" i="1"/>
  <c r="CQ25" i="1"/>
  <c r="CU24" i="1"/>
  <c r="CT24" i="1"/>
  <c r="CS24" i="1"/>
  <c r="CR24" i="1"/>
  <c r="CQ24" i="1"/>
  <c r="CU23" i="1"/>
  <c r="CT23" i="1"/>
  <c r="CS23" i="1"/>
  <c r="CR23" i="1"/>
  <c r="CQ23" i="1"/>
  <c r="CU22" i="1"/>
  <c r="CT22" i="1"/>
  <c r="CS22" i="1"/>
  <c r="CR22" i="1"/>
  <c r="CQ22" i="1"/>
  <c r="CU21" i="1"/>
  <c r="CT21" i="1"/>
  <c r="CS21" i="1"/>
  <c r="CR21" i="1"/>
  <c r="CQ21" i="1"/>
  <c r="CU20" i="1"/>
  <c r="CT20" i="1"/>
  <c r="CS20" i="1"/>
  <c r="CR20" i="1"/>
  <c r="CQ20" i="1"/>
  <c r="CU19" i="1"/>
  <c r="CT19" i="1"/>
  <c r="CS19" i="1"/>
  <c r="CR19" i="1"/>
  <c r="CQ19" i="1"/>
  <c r="CU18" i="1"/>
  <c r="CT18" i="1"/>
  <c r="CS18" i="1"/>
  <c r="CR18" i="1"/>
  <c r="CQ18" i="1"/>
  <c r="CU17" i="1"/>
  <c r="CT17" i="1"/>
  <c r="CS17" i="1"/>
  <c r="CR17" i="1"/>
  <c r="CQ17" i="1"/>
  <c r="CU16" i="1"/>
  <c r="CT16" i="1"/>
  <c r="CS16" i="1"/>
  <c r="CR16" i="1"/>
  <c r="CQ16" i="1"/>
  <c r="CU15" i="1"/>
  <c r="CT15" i="1"/>
  <c r="CS15" i="1"/>
  <c r="CR15" i="1"/>
  <c r="CQ15" i="1"/>
  <c r="CU14" i="1"/>
  <c r="CT14" i="1"/>
  <c r="CS14" i="1"/>
  <c r="CR14" i="1"/>
  <c r="CQ14" i="1"/>
  <c r="CU13" i="1"/>
  <c r="CT13" i="1"/>
  <c r="CS13" i="1"/>
  <c r="CR13" i="1"/>
  <c r="CQ13" i="1"/>
  <c r="CU12" i="1"/>
  <c r="CT12" i="1"/>
  <c r="CS12" i="1"/>
  <c r="CR12" i="1"/>
  <c r="CQ12" i="1"/>
  <c r="CU11" i="1"/>
  <c r="CT11" i="1"/>
  <c r="CS11" i="1"/>
  <c r="CR11" i="1"/>
  <c r="CQ11" i="1"/>
  <c r="CU10" i="1"/>
  <c r="CT10" i="1"/>
  <c r="CS10" i="1"/>
  <c r="CR10" i="1"/>
  <c r="CQ10" i="1"/>
  <c r="CU9" i="1"/>
  <c r="CT9" i="1"/>
  <c r="CS9" i="1"/>
  <c r="CR9" i="1"/>
  <c r="CQ9" i="1"/>
  <c r="AH129" i="8"/>
  <c r="AH128" i="8"/>
  <c r="AH125" i="8"/>
  <c r="AH124" i="8"/>
  <c r="AH123" i="8"/>
  <c r="CK106" i="1"/>
  <c r="CJ106" i="1"/>
  <c r="CI106" i="1"/>
  <c r="CH106" i="1"/>
  <c r="CG106" i="1"/>
  <c r="CK105" i="1"/>
  <c r="CJ105" i="1"/>
  <c r="CI105" i="1"/>
  <c r="CH105" i="1"/>
  <c r="CG105" i="1"/>
  <c r="CK104" i="1"/>
  <c r="CJ104" i="1"/>
  <c r="CI104" i="1"/>
  <c r="CH104" i="1"/>
  <c r="CG104" i="1"/>
  <c r="CK103" i="1"/>
  <c r="CJ103" i="1"/>
  <c r="CI103" i="1"/>
  <c r="CH103" i="1"/>
  <c r="CG103" i="1"/>
  <c r="CK102" i="1"/>
  <c r="CJ102" i="1"/>
  <c r="CI102" i="1"/>
  <c r="CH102" i="1"/>
  <c r="CG102" i="1"/>
  <c r="CK101" i="1"/>
  <c r="CJ101" i="1"/>
  <c r="CI101" i="1"/>
  <c r="CH101" i="1"/>
  <c r="CG101" i="1"/>
  <c r="CK100" i="1"/>
  <c r="CJ100" i="1"/>
  <c r="CI100" i="1"/>
  <c r="CH100" i="1"/>
  <c r="CG100" i="1"/>
  <c r="CK99" i="1"/>
  <c r="CJ99" i="1"/>
  <c r="CI99" i="1"/>
  <c r="CH99" i="1"/>
  <c r="CG99" i="1"/>
  <c r="CK98" i="1"/>
  <c r="CJ98" i="1"/>
  <c r="CI98" i="1"/>
  <c r="CH98" i="1"/>
  <c r="CG98" i="1"/>
  <c r="CK97" i="1"/>
  <c r="CJ97" i="1"/>
  <c r="CI97" i="1"/>
  <c r="CH97" i="1"/>
  <c r="CG97" i="1"/>
  <c r="CK96" i="1"/>
  <c r="CJ96" i="1"/>
  <c r="CI96" i="1"/>
  <c r="CH96" i="1"/>
  <c r="CG96" i="1"/>
  <c r="CK95" i="1"/>
  <c r="CJ95" i="1"/>
  <c r="CI95" i="1"/>
  <c r="CH95" i="1"/>
  <c r="CG95" i="1"/>
  <c r="CK94" i="1"/>
  <c r="CJ94" i="1"/>
  <c r="CI94" i="1"/>
  <c r="CH94" i="1"/>
  <c r="CG94" i="1"/>
  <c r="CK93" i="1"/>
  <c r="CJ93" i="1"/>
  <c r="CI93" i="1"/>
  <c r="CH93" i="1"/>
  <c r="CG93" i="1"/>
  <c r="CK92" i="1"/>
  <c r="CJ92" i="1"/>
  <c r="CI92" i="1"/>
  <c r="CH92" i="1"/>
  <c r="CG92" i="1"/>
  <c r="CK91" i="1"/>
  <c r="CJ91" i="1"/>
  <c r="CI91" i="1"/>
  <c r="CH91" i="1"/>
  <c r="CG91" i="1"/>
  <c r="CK90" i="1"/>
  <c r="CJ90" i="1"/>
  <c r="CI90" i="1"/>
  <c r="CH90" i="1"/>
  <c r="CG90" i="1"/>
  <c r="CK89" i="1"/>
  <c r="CJ89" i="1"/>
  <c r="CI89" i="1"/>
  <c r="CH89" i="1"/>
  <c r="CG89" i="1"/>
  <c r="CK88" i="1"/>
  <c r="CJ88" i="1"/>
  <c r="CI88" i="1"/>
  <c r="CH88" i="1"/>
  <c r="CG88" i="1"/>
  <c r="CK87" i="1"/>
  <c r="CJ87" i="1"/>
  <c r="CI87" i="1"/>
  <c r="CH87" i="1"/>
  <c r="CG87" i="1"/>
  <c r="CK86" i="1"/>
  <c r="CJ86" i="1"/>
  <c r="CI86" i="1"/>
  <c r="CH86" i="1"/>
  <c r="CG86" i="1"/>
  <c r="CK85" i="1"/>
  <c r="CJ85" i="1"/>
  <c r="CI85" i="1"/>
  <c r="CH85" i="1"/>
  <c r="CG85" i="1"/>
  <c r="CK10" i="1"/>
  <c r="CJ10" i="1"/>
  <c r="CI10" i="1"/>
  <c r="CH10" i="1"/>
  <c r="CG10" i="1"/>
  <c r="CK9" i="1"/>
  <c r="CJ9" i="1"/>
  <c r="CI9" i="1"/>
  <c r="CH9" i="1"/>
  <c r="CG9" i="1"/>
  <c r="CG167" i="1" l="1"/>
  <c r="CK167" i="1"/>
  <c r="CJ168" i="1"/>
  <c r="CH167" i="1"/>
  <c r="CG168" i="1"/>
  <c r="CK168" i="1"/>
  <c r="CI167" i="1"/>
  <c r="CH168" i="1"/>
  <c r="CQ168" i="1"/>
  <c r="CJ167" i="1"/>
  <c r="CI168" i="1"/>
  <c r="CR168" i="1"/>
  <c r="CN212" i="1"/>
  <c r="DC190" i="1"/>
  <c r="DC212" i="1" s="1"/>
  <c r="BK211" i="1"/>
  <c r="DD189" i="1"/>
  <c r="DD211" i="1" s="1"/>
  <c r="CP189" i="1"/>
  <c r="CP211" i="1" s="1"/>
  <c r="W8" i="10"/>
  <c r="Z8" i="10"/>
  <c r="DJ189" i="1"/>
  <c r="DJ211" i="1" s="1"/>
  <c r="V9" i="10"/>
  <c r="CW190" i="1"/>
  <c r="CW212" i="1" s="1"/>
  <c r="CE190" i="1"/>
  <c r="CE212" i="1" s="1"/>
  <c r="W9" i="10"/>
  <c r="Z9" i="10"/>
  <c r="Y8" i="10"/>
  <c r="V8" i="10"/>
  <c r="Y9" i="10"/>
  <c r="CB189" i="1"/>
  <c r="CB211" i="1" s="1"/>
  <c r="DS189" i="1"/>
  <c r="DS211" i="1" s="1"/>
  <c r="DK190" i="1"/>
  <c r="DK212" i="1" s="1"/>
  <c r="CV189" i="1"/>
  <c r="CV211" i="1" s="1"/>
  <c r="CN189" i="1"/>
  <c r="CN211" i="1" s="1"/>
  <c r="CO190" i="1"/>
  <c r="CO212" i="1" s="1"/>
  <c r="DQ189" i="1"/>
  <c r="DQ211" i="1" s="1"/>
  <c r="CF189" i="1"/>
  <c r="CF211" i="1" s="1"/>
  <c r="DR190" i="1"/>
  <c r="DR212" i="1" s="1"/>
  <c r="BL189" i="1"/>
  <c r="BL211" i="1" s="1"/>
  <c r="BS189" i="1"/>
  <c r="BS211" i="1" s="1"/>
  <c r="AX189" i="1"/>
  <c r="AX211" i="1" s="1"/>
  <c r="BA190" i="1"/>
  <c r="BA212" i="1" s="1"/>
  <c r="DC189" i="1"/>
  <c r="DC211" i="1" s="1"/>
  <c r="BK190" i="1"/>
  <c r="BK212" i="1" s="1"/>
  <c r="CV190" i="1"/>
  <c r="CV212" i="1" s="1"/>
  <c r="BS190" i="1"/>
  <c r="BS212" i="1" s="1"/>
  <c r="BB189" i="1"/>
  <c r="BB211" i="1" s="1"/>
  <c r="CO189" i="1"/>
  <c r="CO211" i="1" s="1"/>
  <c r="BJ189" i="1"/>
  <c r="BJ211" i="1" s="1"/>
  <c r="DS190" i="1"/>
  <c r="DS212" i="1" s="1"/>
  <c r="DJ190" i="1"/>
  <c r="DJ212" i="1" s="1"/>
  <c r="BJ190" i="1"/>
  <c r="BJ212" i="1" s="1"/>
  <c r="AQ190" i="1"/>
  <c r="AQ212" i="1" s="1"/>
  <c r="DR189" i="1"/>
  <c r="DR211" i="1" s="1"/>
  <c r="DD190" i="1"/>
  <c r="DD212" i="1" s="1"/>
  <c r="BB190" i="1"/>
  <c r="BB212" i="1" s="1"/>
  <c r="CP190" i="1"/>
  <c r="CP212" i="1" s="1"/>
  <c r="CB190" i="1"/>
  <c r="CB212" i="1" s="1"/>
  <c r="BA189" i="1"/>
  <c r="BA211" i="1" s="1"/>
  <c r="Z16" i="10"/>
  <c r="Z17" i="10"/>
  <c r="Z18" i="10"/>
  <c r="Z19" i="10"/>
  <c r="Z20" i="10"/>
  <c r="Z21" i="10"/>
  <c r="Z22" i="10"/>
  <c r="Z23" i="10"/>
  <c r="Z24" i="10"/>
  <c r="Z25" i="10"/>
  <c r="Z26" i="10"/>
  <c r="Z27" i="10"/>
  <c r="Z28" i="10"/>
  <c r="Z29" i="10"/>
  <c r="Z30" i="10"/>
  <c r="Z31" i="10"/>
  <c r="Z32" i="10"/>
  <c r="Z33" i="10"/>
  <c r="Z34" i="10"/>
  <c r="Z35" i="10"/>
  <c r="Z36" i="10"/>
  <c r="Z37" i="10"/>
  <c r="Z38" i="10"/>
  <c r="Z39" i="10"/>
  <c r="Z40" i="10"/>
  <c r="Z41" i="10"/>
  <c r="Z42" i="10"/>
  <c r="Z43" i="10"/>
  <c r="Z44" i="10"/>
  <c r="Z45" i="10"/>
  <c r="Z46" i="10"/>
  <c r="Z47" i="10"/>
  <c r="Z48" i="10"/>
  <c r="Z49" i="10"/>
  <c r="Z50" i="10"/>
  <c r="Z51" i="10"/>
  <c r="Z52" i="10"/>
  <c r="Z53" i="10"/>
  <c r="Z54" i="10"/>
  <c r="Z55" i="10"/>
  <c r="Z56" i="10"/>
  <c r="Z57" i="10"/>
  <c r="Z58" i="10"/>
  <c r="Z59" i="10"/>
  <c r="Z60" i="10"/>
  <c r="Z61" i="10"/>
  <c r="Z62" i="10"/>
  <c r="Z63" i="10"/>
  <c r="Z64" i="10"/>
  <c r="Z65" i="10"/>
  <c r="Z66" i="10"/>
  <c r="Z67" i="10"/>
  <c r="Z68" i="10"/>
  <c r="Z69" i="10"/>
  <c r="Z70" i="10"/>
  <c r="Z71" i="10"/>
  <c r="Z72" i="10"/>
  <c r="Z73" i="10"/>
  <c r="Z74" i="10"/>
  <c r="Z75" i="10"/>
  <c r="Z76" i="10"/>
  <c r="Z77" i="10"/>
  <c r="Z78" i="10"/>
  <c r="Z79" i="10"/>
  <c r="Z80" i="10"/>
  <c r="Z81" i="10"/>
  <c r="Z82" i="10"/>
  <c r="Z83" i="10"/>
  <c r="Z84" i="10"/>
  <c r="Z85" i="10"/>
  <c r="Z86" i="10"/>
  <c r="Z87" i="10"/>
  <c r="Z88" i="10"/>
  <c r="Z89" i="10"/>
  <c r="Z90" i="10"/>
  <c r="Z91" i="10"/>
  <c r="Z92" i="10"/>
  <c r="Z93" i="10"/>
  <c r="Z94" i="10"/>
  <c r="Z95" i="10"/>
  <c r="Z96" i="10"/>
  <c r="Z97" i="10"/>
  <c r="Z98" i="10"/>
  <c r="Z99" i="10"/>
  <c r="Z100" i="10"/>
  <c r="Z101" i="10"/>
  <c r="Z102" i="10"/>
  <c r="Z103" i="10"/>
  <c r="Z104" i="10"/>
  <c r="Z105" i="10"/>
  <c r="Y16" i="10"/>
  <c r="Y17" i="10"/>
  <c r="Y18" i="10"/>
  <c r="Y19" i="10"/>
  <c r="Y20" i="10"/>
  <c r="Y21" i="10"/>
  <c r="Y22" i="10"/>
  <c r="Y23" i="10"/>
  <c r="Y24" i="10"/>
  <c r="Y25" i="10"/>
  <c r="Y26" i="10"/>
  <c r="Y27" i="10"/>
  <c r="Y28" i="10"/>
  <c r="Y29" i="10"/>
  <c r="Y30" i="10"/>
  <c r="Y31" i="10"/>
  <c r="Y32" i="10"/>
  <c r="Y33" i="10"/>
  <c r="Y34" i="10"/>
  <c r="Y35" i="10"/>
  <c r="Y36" i="10"/>
  <c r="Y37" i="10"/>
  <c r="Y38" i="10"/>
  <c r="Y39" i="10"/>
  <c r="Y40" i="10"/>
  <c r="Y41" i="10"/>
  <c r="Y42" i="10"/>
  <c r="Y43" i="10"/>
  <c r="Y44" i="10"/>
  <c r="Y45" i="10"/>
  <c r="Y46" i="10"/>
  <c r="Y47" i="10"/>
  <c r="Y48" i="10"/>
  <c r="Y49" i="10"/>
  <c r="Y50" i="10"/>
  <c r="Y51" i="10"/>
  <c r="Y52" i="10"/>
  <c r="Y53" i="10"/>
  <c r="Y54" i="10"/>
  <c r="Y55" i="10"/>
  <c r="Y56" i="10"/>
  <c r="Y57" i="10"/>
  <c r="Y58" i="10"/>
  <c r="Y59" i="10"/>
  <c r="Y60" i="10"/>
  <c r="Y61" i="10"/>
  <c r="Y62" i="10"/>
  <c r="Y63" i="10"/>
  <c r="Y64" i="10"/>
  <c r="Y65" i="10"/>
  <c r="Y66" i="10"/>
  <c r="Y67" i="10"/>
  <c r="Y68" i="10"/>
  <c r="Y69" i="10"/>
  <c r="Y70" i="10"/>
  <c r="Y71" i="10"/>
  <c r="Y72" i="10"/>
  <c r="Y73" i="10"/>
  <c r="Y74" i="10"/>
  <c r="Y75" i="10"/>
  <c r="Y76" i="10"/>
  <c r="Y77" i="10"/>
  <c r="Y78" i="10"/>
  <c r="Y79" i="10"/>
  <c r="Y80" i="10"/>
  <c r="Y81" i="10"/>
  <c r="Y82" i="10"/>
  <c r="Y83" i="10"/>
  <c r="Y84" i="10"/>
  <c r="Y85" i="10"/>
  <c r="Y86" i="10"/>
  <c r="Y87" i="10"/>
  <c r="Y88" i="10"/>
  <c r="Y89" i="10"/>
  <c r="Y90" i="10"/>
  <c r="Y91" i="10"/>
  <c r="Y92" i="10"/>
  <c r="Y93" i="10"/>
  <c r="Y94" i="10"/>
  <c r="Y95" i="10"/>
  <c r="Y96" i="10"/>
  <c r="Y97" i="10"/>
  <c r="Y98" i="10"/>
  <c r="Y99" i="10"/>
  <c r="Y100" i="10"/>
  <c r="Y101" i="10"/>
  <c r="Y102" i="10"/>
  <c r="Y103" i="10"/>
  <c r="Y104" i="10"/>
  <c r="Y105" i="10"/>
  <c r="W16" i="10"/>
  <c r="W17" i="10"/>
  <c r="W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50" i="10"/>
  <c r="W51" i="10"/>
  <c r="W52" i="10"/>
  <c r="W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5" i="10"/>
  <c r="W96" i="10"/>
  <c r="W97" i="10"/>
  <c r="W98" i="10"/>
  <c r="W99" i="10"/>
  <c r="W100" i="10"/>
  <c r="W101" i="10"/>
  <c r="W102" i="10"/>
  <c r="W103" i="10"/>
  <c r="W104" i="10"/>
  <c r="W10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DB207" i="1" l="1"/>
  <c r="DA207" i="1"/>
  <c r="CZ207" i="1"/>
  <c r="CY207" i="1"/>
  <c r="CX207" i="1"/>
  <c r="DB205" i="1"/>
  <c r="DA205" i="1"/>
  <c r="CZ205" i="1"/>
  <c r="CY205" i="1"/>
  <c r="CX205" i="1"/>
  <c r="DB203" i="1"/>
  <c r="DA203" i="1"/>
  <c r="CZ203" i="1"/>
  <c r="CY203" i="1"/>
  <c r="CX203" i="1"/>
  <c r="CX199" i="1"/>
  <c r="CX198" i="1"/>
  <c r="H208" i="1" s="1"/>
  <c r="AP208" i="1"/>
  <c r="AJ208" i="1"/>
  <c r="DB185" i="1"/>
  <c r="DA185" i="1"/>
  <c r="CZ185" i="1"/>
  <c r="CY185" i="1"/>
  <c r="CX185" i="1"/>
  <c r="DB184" i="1"/>
  <c r="DA184" i="1"/>
  <c r="CZ184" i="1"/>
  <c r="CY184" i="1"/>
  <c r="CX184" i="1"/>
  <c r="DB183" i="1"/>
  <c r="DA183" i="1"/>
  <c r="CZ183" i="1"/>
  <c r="DB182" i="1"/>
  <c r="DA182" i="1"/>
  <c r="CZ182" i="1"/>
  <c r="CY182" i="1"/>
  <c r="DB181" i="1"/>
  <c r="DA181" i="1"/>
  <c r="CZ181" i="1"/>
  <c r="CY181" i="1"/>
  <c r="CX181" i="1"/>
  <c r="DB180" i="1"/>
  <c r="DA180" i="1"/>
  <c r="CZ180" i="1"/>
  <c r="CY180" i="1"/>
  <c r="CX180" i="1"/>
  <c r="BI187" i="1"/>
  <c r="BC187" i="1"/>
  <c r="BD186" i="1"/>
  <c r="DP168" i="1"/>
  <c r="DO168" i="1"/>
  <c r="DN168" i="1"/>
  <c r="DM168" i="1"/>
  <c r="DL168" i="1"/>
  <c r="DP167" i="1"/>
  <c r="DO167" i="1"/>
  <c r="DN167" i="1"/>
  <c r="DM167" i="1"/>
  <c r="DL167" i="1"/>
  <c r="DB94" i="1"/>
  <c r="DA94" i="1"/>
  <c r="CZ94" i="1"/>
  <c r="CY94" i="1"/>
  <c r="CX94" i="1"/>
  <c r="DB93" i="1"/>
  <c r="DA93" i="1"/>
  <c r="CZ93" i="1"/>
  <c r="CY93" i="1"/>
  <c r="CX93" i="1"/>
  <c r="DB92" i="1"/>
  <c r="DA92" i="1"/>
  <c r="CZ92" i="1"/>
  <c r="CY92" i="1"/>
  <c r="CX92" i="1"/>
  <c r="DB91" i="1"/>
  <c r="DA91" i="1"/>
  <c r="CZ91" i="1"/>
  <c r="CY91" i="1"/>
  <c r="CX91" i="1"/>
  <c r="DB90" i="1"/>
  <c r="DA90" i="1"/>
  <c r="CZ90" i="1"/>
  <c r="CY90" i="1"/>
  <c r="CX90" i="1"/>
  <c r="DB89" i="1"/>
  <c r="DA89" i="1"/>
  <c r="CZ89" i="1"/>
  <c r="CY89" i="1"/>
  <c r="CX89" i="1"/>
  <c r="DB88" i="1"/>
  <c r="DA88" i="1"/>
  <c r="CZ88" i="1"/>
  <c r="CY88" i="1"/>
  <c r="CX88" i="1"/>
  <c r="DB87" i="1"/>
  <c r="DA87" i="1"/>
  <c r="CZ87" i="1"/>
  <c r="CY87" i="1"/>
  <c r="CX87" i="1"/>
  <c r="DB86" i="1"/>
  <c r="DA86" i="1"/>
  <c r="CZ86" i="1"/>
  <c r="CY86" i="1"/>
  <c r="CX86" i="1"/>
  <c r="DB85" i="1"/>
  <c r="DA85" i="1"/>
  <c r="CZ85" i="1"/>
  <c r="CY85" i="1"/>
  <c r="CX85" i="1"/>
  <c r="DB82" i="1"/>
  <c r="DA82" i="1"/>
  <c r="CZ82" i="1"/>
  <c r="CY82" i="1"/>
  <c r="CX82" i="1"/>
  <c r="DB81" i="1"/>
  <c r="DA81" i="1"/>
  <c r="CZ81" i="1"/>
  <c r="CY81" i="1"/>
  <c r="CX81" i="1"/>
  <c r="DB80" i="1"/>
  <c r="DA80" i="1"/>
  <c r="CZ80" i="1"/>
  <c r="CY80" i="1"/>
  <c r="CX80" i="1"/>
  <c r="DB79" i="1"/>
  <c r="DA79" i="1"/>
  <c r="CZ79" i="1"/>
  <c r="CY79" i="1"/>
  <c r="CX79" i="1"/>
  <c r="DB78" i="1"/>
  <c r="DA78" i="1"/>
  <c r="CZ78" i="1"/>
  <c r="CY78" i="1"/>
  <c r="CX78" i="1"/>
  <c r="DB77" i="1"/>
  <c r="DA77" i="1"/>
  <c r="CZ77" i="1"/>
  <c r="CY77" i="1"/>
  <c r="CX77" i="1"/>
  <c r="DB76" i="1"/>
  <c r="DA76" i="1"/>
  <c r="CZ76" i="1"/>
  <c r="CY76" i="1"/>
  <c r="CX76" i="1"/>
  <c r="DB75" i="1"/>
  <c r="DA75" i="1"/>
  <c r="CZ75" i="1"/>
  <c r="CY75" i="1"/>
  <c r="CX75" i="1"/>
  <c r="DB74" i="1"/>
  <c r="DA74" i="1"/>
  <c r="CZ74" i="1"/>
  <c r="CY74" i="1"/>
  <c r="CX74" i="1"/>
  <c r="DB73" i="1"/>
  <c r="DA73" i="1"/>
  <c r="CZ73" i="1"/>
  <c r="CY73" i="1"/>
  <c r="CX73" i="1"/>
  <c r="DB72" i="1"/>
  <c r="DA72" i="1"/>
  <c r="CZ72" i="1"/>
  <c r="CY72" i="1"/>
  <c r="CX72" i="1"/>
  <c r="DB71" i="1"/>
  <c r="DA71" i="1"/>
  <c r="CZ71" i="1"/>
  <c r="CY71" i="1"/>
  <c r="CX71" i="1"/>
  <c r="DB70" i="1"/>
  <c r="DA70" i="1"/>
  <c r="CZ70" i="1"/>
  <c r="CY70" i="1"/>
  <c r="CX70" i="1"/>
  <c r="DB69" i="1"/>
  <c r="DA69" i="1"/>
  <c r="CZ69" i="1"/>
  <c r="CY69" i="1"/>
  <c r="CX69" i="1"/>
  <c r="DB68" i="1"/>
  <c r="DA68" i="1"/>
  <c r="CZ68" i="1"/>
  <c r="CY68" i="1"/>
  <c r="CX68" i="1"/>
  <c r="DB67" i="1"/>
  <c r="DA67" i="1"/>
  <c r="CZ67" i="1"/>
  <c r="CY67" i="1"/>
  <c r="CX67" i="1"/>
  <c r="DB66" i="1"/>
  <c r="DA66" i="1"/>
  <c r="CZ66" i="1"/>
  <c r="CY66" i="1"/>
  <c r="CX66" i="1"/>
  <c r="DB65" i="1"/>
  <c r="DA65" i="1"/>
  <c r="CZ65" i="1"/>
  <c r="CY65" i="1"/>
  <c r="CX65" i="1"/>
  <c r="DB64" i="1"/>
  <c r="DA64" i="1"/>
  <c r="CZ64" i="1"/>
  <c r="CY64" i="1"/>
  <c r="CX64" i="1"/>
  <c r="DB63" i="1"/>
  <c r="DA63" i="1"/>
  <c r="CZ63" i="1"/>
  <c r="CY63" i="1"/>
  <c r="CX63" i="1"/>
  <c r="DB62" i="1"/>
  <c r="DA62" i="1"/>
  <c r="CZ62" i="1"/>
  <c r="CY62" i="1"/>
  <c r="CX62" i="1"/>
  <c r="DB61" i="1"/>
  <c r="DA61" i="1"/>
  <c r="CZ61" i="1"/>
  <c r="CY61" i="1"/>
  <c r="CX61" i="1"/>
  <c r="DB60" i="1"/>
  <c r="DA60" i="1"/>
  <c r="CZ60" i="1"/>
  <c r="CY60" i="1"/>
  <c r="CX60" i="1"/>
  <c r="DB59" i="1"/>
  <c r="DA59" i="1"/>
  <c r="CZ59" i="1"/>
  <c r="CY59" i="1"/>
  <c r="CX59" i="1"/>
  <c r="DB56" i="1"/>
  <c r="DA56" i="1"/>
  <c r="CZ56" i="1"/>
  <c r="CY56" i="1"/>
  <c r="CX56" i="1"/>
  <c r="DB55" i="1"/>
  <c r="DA55" i="1"/>
  <c r="CZ55" i="1"/>
  <c r="CY55" i="1"/>
  <c r="CX55" i="1"/>
  <c r="DB54" i="1"/>
  <c r="DA54" i="1"/>
  <c r="CZ54" i="1"/>
  <c r="CY54" i="1"/>
  <c r="CX54" i="1"/>
  <c r="DB53" i="1"/>
  <c r="DA53" i="1"/>
  <c r="CZ53" i="1"/>
  <c r="CY53" i="1"/>
  <c r="CX53" i="1"/>
  <c r="DB52" i="1"/>
  <c r="DA52" i="1"/>
  <c r="CZ52" i="1"/>
  <c r="CY52" i="1"/>
  <c r="CX52" i="1"/>
  <c r="DB51" i="1"/>
  <c r="DA51" i="1"/>
  <c r="CZ51" i="1"/>
  <c r="CY51" i="1"/>
  <c r="CX51" i="1"/>
  <c r="DB48" i="1"/>
  <c r="DA48" i="1"/>
  <c r="CZ48" i="1"/>
  <c r="CY48" i="1"/>
  <c r="CX48" i="1"/>
  <c r="DB47" i="1"/>
  <c r="DA47" i="1"/>
  <c r="CZ47" i="1"/>
  <c r="CY47" i="1"/>
  <c r="CX47" i="1"/>
  <c r="DB46" i="1"/>
  <c r="DA46" i="1"/>
  <c r="CZ46" i="1"/>
  <c r="CY46" i="1"/>
  <c r="CX46" i="1"/>
  <c r="DB45" i="1"/>
  <c r="DA45" i="1"/>
  <c r="CZ45" i="1"/>
  <c r="CY45" i="1"/>
  <c r="CX45" i="1"/>
  <c r="DB44" i="1"/>
  <c r="DA44" i="1"/>
  <c r="CZ44" i="1"/>
  <c r="CY44" i="1"/>
  <c r="CX44" i="1"/>
  <c r="DB43" i="1"/>
  <c r="DA43" i="1"/>
  <c r="CZ43" i="1"/>
  <c r="CY43" i="1"/>
  <c r="CX43" i="1"/>
  <c r="DB42" i="1"/>
  <c r="DA42" i="1"/>
  <c r="CZ42" i="1"/>
  <c r="CY42" i="1"/>
  <c r="CX42" i="1"/>
  <c r="DB41" i="1"/>
  <c r="DA41" i="1"/>
  <c r="CZ41" i="1"/>
  <c r="CY41" i="1"/>
  <c r="CX41" i="1"/>
  <c r="DB40" i="1"/>
  <c r="DA40" i="1"/>
  <c r="CZ40" i="1"/>
  <c r="CY40" i="1"/>
  <c r="CX40" i="1"/>
  <c r="DB39" i="1"/>
  <c r="DA39" i="1"/>
  <c r="CZ39" i="1"/>
  <c r="CY39" i="1"/>
  <c r="CX39" i="1"/>
  <c r="DB38" i="1"/>
  <c r="DA38" i="1"/>
  <c r="CZ38" i="1"/>
  <c r="CY38" i="1"/>
  <c r="CX38" i="1"/>
  <c r="DB37" i="1"/>
  <c r="DA37" i="1"/>
  <c r="CZ37" i="1"/>
  <c r="CY37" i="1"/>
  <c r="CX37" i="1"/>
  <c r="DB36" i="1"/>
  <c r="DA36" i="1"/>
  <c r="CZ36" i="1"/>
  <c r="CY36" i="1"/>
  <c r="CX36" i="1"/>
  <c r="DB35" i="1"/>
  <c r="DA35" i="1"/>
  <c r="CZ35" i="1"/>
  <c r="CY35" i="1"/>
  <c r="CX35" i="1"/>
  <c r="DB34" i="1"/>
  <c r="DA34" i="1"/>
  <c r="CZ34" i="1"/>
  <c r="CY34" i="1"/>
  <c r="CX34" i="1"/>
  <c r="DB33" i="1"/>
  <c r="DA33" i="1"/>
  <c r="CZ33" i="1"/>
  <c r="CY33" i="1"/>
  <c r="CX33" i="1"/>
  <c r="DB32" i="1"/>
  <c r="DA32" i="1"/>
  <c r="CZ32" i="1"/>
  <c r="CY32" i="1"/>
  <c r="CX32" i="1"/>
  <c r="DB31" i="1"/>
  <c r="DA31" i="1"/>
  <c r="CZ31" i="1"/>
  <c r="CY31" i="1"/>
  <c r="CX31" i="1"/>
  <c r="DB30" i="1"/>
  <c r="DA30" i="1"/>
  <c r="CZ30" i="1"/>
  <c r="CY30" i="1"/>
  <c r="CX30" i="1"/>
  <c r="DB29" i="1"/>
  <c r="DA29" i="1"/>
  <c r="CZ29" i="1"/>
  <c r="CY29" i="1"/>
  <c r="CX29" i="1"/>
  <c r="DB28" i="1"/>
  <c r="DA28" i="1"/>
  <c r="CZ28" i="1"/>
  <c r="CY28" i="1"/>
  <c r="CX28" i="1"/>
  <c r="DB27" i="1"/>
  <c r="DA27" i="1"/>
  <c r="CZ27" i="1"/>
  <c r="CY27" i="1"/>
  <c r="CX27" i="1"/>
  <c r="DB26" i="1"/>
  <c r="DA26" i="1"/>
  <c r="CZ26" i="1"/>
  <c r="CY26" i="1"/>
  <c r="CX26" i="1"/>
  <c r="DB25" i="1"/>
  <c r="DA25" i="1"/>
  <c r="CZ25" i="1"/>
  <c r="CY25" i="1"/>
  <c r="CX25" i="1"/>
  <c r="DB24" i="1"/>
  <c r="DA24" i="1"/>
  <c r="CZ24" i="1"/>
  <c r="CY24" i="1"/>
  <c r="CX24" i="1"/>
  <c r="DB23" i="1"/>
  <c r="DA23" i="1"/>
  <c r="CZ23" i="1"/>
  <c r="CY23" i="1"/>
  <c r="CX23" i="1"/>
  <c r="DB22" i="1"/>
  <c r="DA22" i="1"/>
  <c r="CZ22" i="1"/>
  <c r="CY22" i="1"/>
  <c r="CX22" i="1"/>
  <c r="DB21" i="1"/>
  <c r="DA21" i="1"/>
  <c r="CZ21" i="1"/>
  <c r="CY21" i="1"/>
  <c r="CX21" i="1"/>
  <c r="DB20" i="1"/>
  <c r="DA20" i="1"/>
  <c r="CZ20" i="1"/>
  <c r="CY20" i="1"/>
  <c r="CX20" i="1"/>
  <c r="DB19" i="1"/>
  <c r="DA19" i="1"/>
  <c r="CZ19" i="1"/>
  <c r="CY19" i="1"/>
  <c r="CX19" i="1"/>
  <c r="DB18" i="1"/>
  <c r="DA18" i="1"/>
  <c r="CZ18" i="1"/>
  <c r="CY18" i="1"/>
  <c r="CX18" i="1"/>
  <c r="DB17" i="1"/>
  <c r="DA17" i="1"/>
  <c r="CZ17" i="1"/>
  <c r="CY17" i="1"/>
  <c r="CX17" i="1"/>
  <c r="DB16" i="1"/>
  <c r="DA16" i="1"/>
  <c r="CZ16" i="1"/>
  <c r="CY16" i="1"/>
  <c r="CX16" i="1"/>
  <c r="DB15" i="1"/>
  <c r="DA15" i="1"/>
  <c r="CZ15" i="1"/>
  <c r="CY15" i="1"/>
  <c r="CX15" i="1"/>
  <c r="DB14" i="1"/>
  <c r="DA14" i="1"/>
  <c r="CZ14" i="1"/>
  <c r="CY14" i="1"/>
  <c r="CX14" i="1"/>
  <c r="DB13" i="1"/>
  <c r="DA13" i="1"/>
  <c r="CZ13" i="1"/>
  <c r="CY13" i="1"/>
  <c r="CX13" i="1"/>
  <c r="DB12" i="1"/>
  <c r="DA12" i="1"/>
  <c r="CZ12" i="1"/>
  <c r="CY12" i="1"/>
  <c r="CX12" i="1"/>
  <c r="DB11" i="1"/>
  <c r="DA11" i="1"/>
  <c r="CZ11" i="1"/>
  <c r="CY11" i="1"/>
  <c r="CX11" i="1"/>
  <c r="DB10" i="1"/>
  <c r="DA10" i="1"/>
  <c r="DA168" i="1" s="1"/>
  <c r="CZ10" i="1"/>
  <c r="CZ168" i="1" s="1"/>
  <c r="CY10" i="1"/>
  <c r="CX10" i="1"/>
  <c r="CX168" i="1" s="1"/>
  <c r="DB9" i="1"/>
  <c r="DB167" i="1" s="1"/>
  <c r="DA9" i="1"/>
  <c r="DA167" i="1" s="1"/>
  <c r="CZ9" i="1"/>
  <c r="CZ167" i="1" s="1"/>
  <c r="CY9" i="1"/>
  <c r="CY167" i="1" s="1"/>
  <c r="CX9" i="1"/>
  <c r="CX167" i="1" s="1"/>
  <c r="CT168" i="1"/>
  <c r="CU168" i="1"/>
  <c r="CS168" i="1"/>
  <c r="CU167" i="1"/>
  <c r="CT167" i="1"/>
  <c r="CS167" i="1"/>
  <c r="CR167" i="1"/>
  <c r="CQ167" i="1"/>
  <c r="CA106" i="1"/>
  <c r="BZ106" i="1"/>
  <c r="BY106" i="1"/>
  <c r="BX106" i="1"/>
  <c r="BW106" i="1"/>
  <c r="CA105" i="1"/>
  <c r="BZ105" i="1"/>
  <c r="BY105" i="1"/>
  <c r="BX105" i="1"/>
  <c r="BW105" i="1"/>
  <c r="CA104" i="1"/>
  <c r="BZ104" i="1"/>
  <c r="BY104" i="1"/>
  <c r="BX104" i="1"/>
  <c r="BW104" i="1"/>
  <c r="CA103" i="1"/>
  <c r="BZ103" i="1"/>
  <c r="BY103" i="1"/>
  <c r="BX103" i="1"/>
  <c r="BW103" i="1"/>
  <c r="CA102" i="1"/>
  <c r="BZ102" i="1"/>
  <c r="BY102" i="1"/>
  <c r="BX102" i="1"/>
  <c r="BW102" i="1"/>
  <c r="CA101" i="1"/>
  <c r="BZ101" i="1"/>
  <c r="BY101" i="1"/>
  <c r="BX101" i="1"/>
  <c r="BW101" i="1"/>
  <c r="CA100" i="1"/>
  <c r="BZ100" i="1"/>
  <c r="BY100" i="1"/>
  <c r="BX100" i="1"/>
  <c r="BW100" i="1"/>
  <c r="CA99" i="1"/>
  <c r="BZ99" i="1"/>
  <c r="BY99" i="1"/>
  <c r="BX99" i="1"/>
  <c r="BW99" i="1"/>
  <c r="CA98" i="1"/>
  <c r="BZ98" i="1"/>
  <c r="BY98" i="1"/>
  <c r="BX98" i="1"/>
  <c r="BW98" i="1"/>
  <c r="CA97" i="1"/>
  <c r="BZ97" i="1"/>
  <c r="BY97" i="1"/>
  <c r="BX97" i="1"/>
  <c r="BW97" i="1"/>
  <c r="CA96" i="1"/>
  <c r="BZ96" i="1"/>
  <c r="BY96" i="1"/>
  <c r="BX96" i="1"/>
  <c r="BW96" i="1"/>
  <c r="CA95" i="1"/>
  <c r="BZ95" i="1"/>
  <c r="BY95" i="1"/>
  <c r="BX95" i="1"/>
  <c r="BW95" i="1"/>
  <c r="CA94" i="1"/>
  <c r="BZ94" i="1"/>
  <c r="BY94" i="1"/>
  <c r="BX94" i="1"/>
  <c r="BW94" i="1"/>
  <c r="CA93" i="1"/>
  <c r="BZ93" i="1"/>
  <c r="BY93" i="1"/>
  <c r="BX93" i="1"/>
  <c r="BW93" i="1"/>
  <c r="CA92" i="1"/>
  <c r="BZ92" i="1"/>
  <c r="BY92" i="1"/>
  <c r="BX92" i="1"/>
  <c r="BW92" i="1"/>
  <c r="CA91" i="1"/>
  <c r="BZ91" i="1"/>
  <c r="BY91" i="1"/>
  <c r="BX91" i="1"/>
  <c r="BW91" i="1"/>
  <c r="CA90" i="1"/>
  <c r="BZ90" i="1"/>
  <c r="BY90" i="1"/>
  <c r="BX90" i="1"/>
  <c r="BW90" i="1"/>
  <c r="CA89" i="1"/>
  <c r="BZ89" i="1"/>
  <c r="BY89" i="1"/>
  <c r="BX89" i="1"/>
  <c r="BW89" i="1"/>
  <c r="CA88" i="1"/>
  <c r="BZ88" i="1"/>
  <c r="BY88" i="1"/>
  <c r="BX88" i="1"/>
  <c r="BW88" i="1"/>
  <c r="CA87" i="1"/>
  <c r="BZ87" i="1"/>
  <c r="BY87" i="1"/>
  <c r="BX87" i="1"/>
  <c r="BW87" i="1"/>
  <c r="CA86" i="1"/>
  <c r="BZ86" i="1"/>
  <c r="BY86" i="1"/>
  <c r="BY168" i="1" s="1"/>
  <c r="BX86" i="1"/>
  <c r="BX168" i="1" s="1"/>
  <c r="BW86" i="1"/>
  <c r="CA85" i="1"/>
  <c r="CA167" i="1" s="1"/>
  <c r="BZ85" i="1"/>
  <c r="BZ167" i="1" s="1"/>
  <c r="BY85" i="1"/>
  <c r="BY167" i="1" s="1"/>
  <c r="BX85" i="1"/>
  <c r="BW85" i="1"/>
  <c r="BW167" i="1" s="1"/>
  <c r="BR167" i="1"/>
  <c r="BI106" i="1"/>
  <c r="BH106" i="1"/>
  <c r="BE106" i="1"/>
  <c r="BD106" i="1"/>
  <c r="BC106" i="1"/>
  <c r="BI105" i="1"/>
  <c r="BH105" i="1"/>
  <c r="BE105" i="1"/>
  <c r="BD105" i="1"/>
  <c r="BC105" i="1"/>
  <c r="BI104" i="1"/>
  <c r="BH104" i="1"/>
  <c r="BE104" i="1"/>
  <c r="BD104" i="1"/>
  <c r="BC104" i="1"/>
  <c r="BI103" i="1"/>
  <c r="BH103" i="1"/>
  <c r="BE103" i="1"/>
  <c r="BD103" i="1"/>
  <c r="BC103" i="1"/>
  <c r="BI102" i="1"/>
  <c r="BH102" i="1"/>
  <c r="BE102" i="1"/>
  <c r="BD102" i="1"/>
  <c r="BC102" i="1"/>
  <c r="BI101" i="1"/>
  <c r="BH101" i="1"/>
  <c r="BE101" i="1"/>
  <c r="BD101" i="1"/>
  <c r="BC101" i="1"/>
  <c r="BI100" i="1"/>
  <c r="BH100" i="1"/>
  <c r="BE100" i="1"/>
  <c r="BD100" i="1"/>
  <c r="BC100" i="1"/>
  <c r="BI99" i="1"/>
  <c r="BH99" i="1"/>
  <c r="BE99" i="1"/>
  <c r="BD99" i="1"/>
  <c r="BC99" i="1"/>
  <c r="BI98" i="1"/>
  <c r="BH98" i="1"/>
  <c r="BE98" i="1"/>
  <c r="BD98" i="1"/>
  <c r="BC98" i="1"/>
  <c r="BI97" i="1"/>
  <c r="BH97" i="1"/>
  <c r="BE97" i="1"/>
  <c r="BD97" i="1"/>
  <c r="BC97" i="1"/>
  <c r="BI96" i="1"/>
  <c r="BH96" i="1"/>
  <c r="BE96" i="1"/>
  <c r="BD96" i="1"/>
  <c r="BC96" i="1"/>
  <c r="BI95" i="1"/>
  <c r="BH95" i="1"/>
  <c r="BE95" i="1"/>
  <c r="BD95" i="1"/>
  <c r="BC95" i="1"/>
  <c r="BI94" i="1"/>
  <c r="BH94" i="1"/>
  <c r="BE94" i="1"/>
  <c r="BD94" i="1"/>
  <c r="BC94" i="1"/>
  <c r="BI93" i="1"/>
  <c r="BH93" i="1"/>
  <c r="BE93" i="1"/>
  <c r="BD93" i="1"/>
  <c r="BC93" i="1"/>
  <c r="BI92" i="1"/>
  <c r="BH92" i="1"/>
  <c r="BE92" i="1"/>
  <c r="BD92" i="1"/>
  <c r="BC92" i="1"/>
  <c r="BI91" i="1"/>
  <c r="BH91" i="1"/>
  <c r="BE91" i="1"/>
  <c r="BD91" i="1"/>
  <c r="BC91" i="1"/>
  <c r="BI90" i="1"/>
  <c r="BH90" i="1"/>
  <c r="BE90" i="1"/>
  <c r="BD90" i="1"/>
  <c r="BC90" i="1"/>
  <c r="BI89" i="1"/>
  <c r="BH89" i="1"/>
  <c r="BE89" i="1"/>
  <c r="BD89" i="1"/>
  <c r="BC89" i="1"/>
  <c r="BI88" i="1"/>
  <c r="BH88" i="1"/>
  <c r="BE88" i="1"/>
  <c r="BD88" i="1"/>
  <c r="BC88" i="1"/>
  <c r="BI87" i="1"/>
  <c r="BH87" i="1"/>
  <c r="BE87" i="1"/>
  <c r="BD87" i="1"/>
  <c r="BC87" i="1"/>
  <c r="BI86" i="1"/>
  <c r="BH86" i="1"/>
  <c r="BE86" i="1"/>
  <c r="BD86" i="1"/>
  <c r="BC86" i="1"/>
  <c r="BI85" i="1"/>
  <c r="BH85" i="1"/>
  <c r="BE85" i="1"/>
  <c r="BD85" i="1"/>
  <c r="BC85" i="1"/>
  <c r="BI84" i="1"/>
  <c r="BH84" i="1"/>
  <c r="BE84" i="1"/>
  <c r="BD84" i="1"/>
  <c r="BC84" i="1"/>
  <c r="BI83" i="1"/>
  <c r="BH83" i="1"/>
  <c r="BE83" i="1"/>
  <c r="BD83" i="1"/>
  <c r="BC83" i="1"/>
  <c r="BI82" i="1"/>
  <c r="BH82" i="1"/>
  <c r="BE82" i="1"/>
  <c r="BD82" i="1"/>
  <c r="BC82" i="1"/>
  <c r="BI81" i="1"/>
  <c r="BH81" i="1"/>
  <c r="BE81" i="1"/>
  <c r="BD81" i="1"/>
  <c r="BC81" i="1"/>
  <c r="BI80" i="1"/>
  <c r="BH80" i="1"/>
  <c r="BE80" i="1"/>
  <c r="BD80" i="1"/>
  <c r="BC80" i="1"/>
  <c r="BI79" i="1"/>
  <c r="BH79" i="1"/>
  <c r="BE79" i="1"/>
  <c r="BD79" i="1"/>
  <c r="BC79" i="1"/>
  <c r="BI78" i="1"/>
  <c r="BH78" i="1"/>
  <c r="BE78" i="1"/>
  <c r="BD78" i="1"/>
  <c r="BC78" i="1"/>
  <c r="BI77" i="1"/>
  <c r="BH77" i="1"/>
  <c r="BE77" i="1"/>
  <c r="BD77" i="1"/>
  <c r="BC77" i="1"/>
  <c r="BI76" i="1"/>
  <c r="BH76" i="1"/>
  <c r="BE76" i="1"/>
  <c r="BD76" i="1"/>
  <c r="BC76" i="1"/>
  <c r="BI75" i="1"/>
  <c r="BH75" i="1"/>
  <c r="BE75" i="1"/>
  <c r="BD75" i="1"/>
  <c r="BC75" i="1"/>
  <c r="BI74" i="1"/>
  <c r="BH74" i="1"/>
  <c r="BE74" i="1"/>
  <c r="BD74" i="1"/>
  <c r="BC74" i="1"/>
  <c r="BI73" i="1"/>
  <c r="BH73" i="1"/>
  <c r="BE73" i="1"/>
  <c r="BD73" i="1"/>
  <c r="BC73" i="1"/>
  <c r="BI72" i="1"/>
  <c r="BH72" i="1"/>
  <c r="BE72" i="1"/>
  <c r="BD72" i="1"/>
  <c r="BC72" i="1"/>
  <c r="BI71" i="1"/>
  <c r="BH71" i="1"/>
  <c r="BE71" i="1"/>
  <c r="BD71" i="1"/>
  <c r="BC71" i="1"/>
  <c r="BI70" i="1"/>
  <c r="BH70" i="1"/>
  <c r="BE70" i="1"/>
  <c r="BD70" i="1"/>
  <c r="BC70" i="1"/>
  <c r="BI69" i="1"/>
  <c r="BH69" i="1"/>
  <c r="BE69" i="1"/>
  <c r="BD69" i="1"/>
  <c r="BC69" i="1"/>
  <c r="BI68" i="1"/>
  <c r="BH68" i="1"/>
  <c r="BE68" i="1"/>
  <c r="BD68" i="1"/>
  <c r="BC68" i="1"/>
  <c r="BI67" i="1"/>
  <c r="BH67" i="1"/>
  <c r="BE67" i="1"/>
  <c r="BD67" i="1"/>
  <c r="BC67" i="1"/>
  <c r="AR106" i="1"/>
  <c r="AP106" i="1"/>
  <c r="AM106" i="1"/>
  <c r="AL106" i="1"/>
  <c r="AK106" i="1"/>
  <c r="AJ106" i="1"/>
  <c r="AI106" i="1"/>
  <c r="AR105" i="1"/>
  <c r="AP105" i="1"/>
  <c r="AM105" i="1"/>
  <c r="AL105" i="1"/>
  <c r="AK105" i="1"/>
  <c r="AJ105" i="1"/>
  <c r="AI105" i="1"/>
  <c r="AR104" i="1"/>
  <c r="AP104" i="1"/>
  <c r="AM104" i="1"/>
  <c r="AL104" i="1"/>
  <c r="AK104" i="1"/>
  <c r="AJ104" i="1"/>
  <c r="AI104" i="1"/>
  <c r="AR103" i="1"/>
  <c r="AP103" i="1"/>
  <c r="AM103" i="1"/>
  <c r="AL103" i="1"/>
  <c r="AK103" i="1"/>
  <c r="AJ103" i="1"/>
  <c r="AI103" i="1"/>
  <c r="AR102" i="1"/>
  <c r="AP102" i="1"/>
  <c r="AM102" i="1"/>
  <c r="AL102" i="1"/>
  <c r="AK102" i="1"/>
  <c r="AJ102" i="1"/>
  <c r="AI102" i="1"/>
  <c r="AR101" i="1"/>
  <c r="AP101" i="1"/>
  <c r="AM101" i="1"/>
  <c r="AL101" i="1"/>
  <c r="AK101" i="1"/>
  <c r="AJ101" i="1"/>
  <c r="AI101" i="1"/>
  <c r="AR100" i="1"/>
  <c r="AP100" i="1"/>
  <c r="AM100" i="1"/>
  <c r="AL100" i="1"/>
  <c r="AK100" i="1"/>
  <c r="AJ100" i="1"/>
  <c r="AI100" i="1"/>
  <c r="AR99" i="1"/>
  <c r="AP99" i="1"/>
  <c r="AM99" i="1"/>
  <c r="AL99" i="1"/>
  <c r="AK99" i="1"/>
  <c r="AJ99" i="1"/>
  <c r="AI99" i="1"/>
  <c r="AR98" i="1"/>
  <c r="AP98" i="1"/>
  <c r="AM98" i="1"/>
  <c r="AL98" i="1"/>
  <c r="AK98" i="1"/>
  <c r="AJ98" i="1"/>
  <c r="AI98" i="1"/>
  <c r="AR97" i="1"/>
  <c r="AP97" i="1"/>
  <c r="AM97" i="1"/>
  <c r="AL97" i="1"/>
  <c r="AK97" i="1"/>
  <c r="AJ97" i="1"/>
  <c r="AI97" i="1"/>
  <c r="AR96" i="1"/>
  <c r="AP96" i="1"/>
  <c r="AM96" i="1"/>
  <c r="AL96" i="1"/>
  <c r="AK96" i="1"/>
  <c r="AJ96" i="1"/>
  <c r="AI96" i="1"/>
  <c r="AR95" i="1"/>
  <c r="AP95" i="1"/>
  <c r="AM95" i="1"/>
  <c r="AL95" i="1"/>
  <c r="AK95" i="1"/>
  <c r="AJ95" i="1"/>
  <c r="AI95" i="1"/>
  <c r="AR94" i="1"/>
  <c r="AP94" i="1"/>
  <c r="AM94" i="1"/>
  <c r="AL94" i="1"/>
  <c r="AK94" i="1"/>
  <c r="AJ94" i="1"/>
  <c r="AI94" i="1"/>
  <c r="AR93" i="1"/>
  <c r="AP93" i="1"/>
  <c r="AM93" i="1"/>
  <c r="AL93" i="1"/>
  <c r="AK93" i="1"/>
  <c r="AJ93" i="1"/>
  <c r="AI93" i="1"/>
  <c r="AR92" i="1"/>
  <c r="AP92" i="1"/>
  <c r="AM92" i="1"/>
  <c r="AL92" i="1"/>
  <c r="AK92" i="1"/>
  <c r="AJ92" i="1"/>
  <c r="AI92" i="1"/>
  <c r="AR91" i="1"/>
  <c r="AP91" i="1"/>
  <c r="AM91" i="1"/>
  <c r="AL91" i="1"/>
  <c r="AK91" i="1"/>
  <c r="AJ91" i="1"/>
  <c r="AI91" i="1"/>
  <c r="AR90" i="1"/>
  <c r="AP90" i="1"/>
  <c r="AM90" i="1"/>
  <c r="AL90" i="1"/>
  <c r="AK90" i="1"/>
  <c r="AJ90" i="1"/>
  <c r="AI90" i="1"/>
  <c r="AR89" i="1"/>
  <c r="AP89" i="1"/>
  <c r="AM89" i="1"/>
  <c r="AL89" i="1"/>
  <c r="AK89" i="1"/>
  <c r="AJ89" i="1"/>
  <c r="AI89" i="1"/>
  <c r="AR88" i="1"/>
  <c r="AP88" i="1"/>
  <c r="AM88" i="1"/>
  <c r="AL88" i="1"/>
  <c r="AK88" i="1"/>
  <c r="AJ88" i="1"/>
  <c r="AI88" i="1"/>
  <c r="AR87" i="1"/>
  <c r="AP87" i="1"/>
  <c r="AM87" i="1"/>
  <c r="AL87" i="1"/>
  <c r="AK87" i="1"/>
  <c r="AJ87" i="1"/>
  <c r="AI87" i="1"/>
  <c r="AR86" i="1"/>
  <c r="AP86" i="1"/>
  <c r="AM86" i="1"/>
  <c r="AL86" i="1"/>
  <c r="AK86" i="1"/>
  <c r="AJ86" i="1"/>
  <c r="AI86" i="1"/>
  <c r="AR85" i="1"/>
  <c r="AP85" i="1"/>
  <c r="AM85" i="1"/>
  <c r="AL85" i="1"/>
  <c r="AK85" i="1"/>
  <c r="AJ85" i="1"/>
  <c r="AI85" i="1"/>
  <c r="AR84" i="1"/>
  <c r="AP84" i="1"/>
  <c r="AM84" i="1"/>
  <c r="AL84" i="1"/>
  <c r="AK84" i="1"/>
  <c r="AJ84" i="1"/>
  <c r="AI84" i="1"/>
  <c r="AR83" i="1"/>
  <c r="AP83" i="1"/>
  <c r="AM83" i="1"/>
  <c r="AL83" i="1"/>
  <c r="AK83" i="1"/>
  <c r="AJ83" i="1"/>
  <c r="AI83" i="1"/>
  <c r="AR82" i="1"/>
  <c r="AP82" i="1"/>
  <c r="AM82" i="1"/>
  <c r="AL82" i="1"/>
  <c r="AK82" i="1"/>
  <c r="AJ82" i="1"/>
  <c r="AI82" i="1"/>
  <c r="AR81" i="1"/>
  <c r="AP81" i="1"/>
  <c r="AM81" i="1"/>
  <c r="AL81" i="1"/>
  <c r="AK81" i="1"/>
  <c r="AJ81" i="1"/>
  <c r="AI81" i="1"/>
  <c r="AR80" i="1"/>
  <c r="AP80" i="1"/>
  <c r="AM80" i="1"/>
  <c r="AL80" i="1"/>
  <c r="AK80" i="1"/>
  <c r="AJ80" i="1"/>
  <c r="AI80" i="1"/>
  <c r="AR79" i="1"/>
  <c r="AP79" i="1"/>
  <c r="AM79" i="1"/>
  <c r="AL79" i="1"/>
  <c r="AK79" i="1"/>
  <c r="AJ79" i="1"/>
  <c r="AI79" i="1"/>
  <c r="AR78" i="1"/>
  <c r="AP78" i="1"/>
  <c r="AM78" i="1"/>
  <c r="AL78" i="1"/>
  <c r="AK78" i="1"/>
  <c r="AJ78" i="1"/>
  <c r="AI78" i="1"/>
  <c r="AR77" i="1"/>
  <c r="AP77" i="1"/>
  <c r="AM77" i="1"/>
  <c r="AL77" i="1"/>
  <c r="AK77" i="1"/>
  <c r="AJ77" i="1"/>
  <c r="AI77" i="1"/>
  <c r="AR76" i="1"/>
  <c r="AP76" i="1"/>
  <c r="AM76" i="1"/>
  <c r="AL76" i="1"/>
  <c r="AK76" i="1"/>
  <c r="AJ76" i="1"/>
  <c r="AI76" i="1"/>
  <c r="AR75" i="1"/>
  <c r="AP75" i="1"/>
  <c r="AM75" i="1"/>
  <c r="AL75" i="1"/>
  <c r="AK75" i="1"/>
  <c r="AJ75" i="1"/>
  <c r="AI75" i="1"/>
  <c r="AR74" i="1"/>
  <c r="AP74" i="1"/>
  <c r="AM74" i="1"/>
  <c r="AL74" i="1"/>
  <c r="AK74" i="1"/>
  <c r="AJ74" i="1"/>
  <c r="AI74" i="1"/>
  <c r="AR73" i="1"/>
  <c r="AP73" i="1"/>
  <c r="AM73" i="1"/>
  <c r="AL73" i="1"/>
  <c r="AK73" i="1"/>
  <c r="AJ73" i="1"/>
  <c r="AI73" i="1"/>
  <c r="AR72" i="1"/>
  <c r="AP72" i="1"/>
  <c r="AM72" i="1"/>
  <c r="AL72" i="1"/>
  <c r="AK72" i="1"/>
  <c r="AJ72" i="1"/>
  <c r="AI72" i="1"/>
  <c r="AR71" i="1"/>
  <c r="AP71" i="1"/>
  <c r="AM71" i="1"/>
  <c r="AL71" i="1"/>
  <c r="AK71" i="1"/>
  <c r="AJ71" i="1"/>
  <c r="AI71" i="1"/>
  <c r="AR70" i="1"/>
  <c r="AP70" i="1"/>
  <c r="AM70" i="1"/>
  <c r="AL70" i="1"/>
  <c r="AK70" i="1"/>
  <c r="AJ70" i="1"/>
  <c r="AI70" i="1"/>
  <c r="AR69" i="1"/>
  <c r="AP69" i="1"/>
  <c r="AM69" i="1"/>
  <c r="AL69" i="1"/>
  <c r="AK69" i="1"/>
  <c r="AJ69" i="1"/>
  <c r="AI69" i="1"/>
  <c r="AR68" i="1"/>
  <c r="AP68" i="1"/>
  <c r="AM68" i="1"/>
  <c r="AL68" i="1"/>
  <c r="AK68" i="1"/>
  <c r="AJ68" i="1"/>
  <c r="AI68" i="1"/>
  <c r="AR67" i="1"/>
  <c r="AP67" i="1"/>
  <c r="AM67" i="1"/>
  <c r="AL67" i="1"/>
  <c r="AK67" i="1"/>
  <c r="AJ67" i="1"/>
  <c r="AI67" i="1"/>
  <c r="AR66" i="1"/>
  <c r="AP66" i="1"/>
  <c r="AM66" i="1"/>
  <c r="AL66" i="1"/>
  <c r="AK66" i="1"/>
  <c r="AJ66" i="1"/>
  <c r="AI66" i="1"/>
  <c r="AR65" i="1"/>
  <c r="AP65" i="1"/>
  <c r="AM65" i="1"/>
  <c r="AL65" i="1"/>
  <c r="AK65" i="1"/>
  <c r="AJ65" i="1"/>
  <c r="AI65" i="1"/>
  <c r="AR64" i="1"/>
  <c r="AP64" i="1"/>
  <c r="AM64" i="1"/>
  <c r="AL64" i="1"/>
  <c r="AK64" i="1"/>
  <c r="AJ64" i="1"/>
  <c r="AI64" i="1"/>
  <c r="AR63" i="1"/>
  <c r="AP63" i="1"/>
  <c r="AM63" i="1"/>
  <c r="AL63" i="1"/>
  <c r="AK63" i="1"/>
  <c r="AJ63" i="1"/>
  <c r="AI63" i="1"/>
  <c r="AR62" i="1"/>
  <c r="AP62" i="1"/>
  <c r="AM62" i="1"/>
  <c r="AL62" i="1"/>
  <c r="AK62" i="1"/>
  <c r="AJ62" i="1"/>
  <c r="AI62" i="1"/>
  <c r="AR61" i="1"/>
  <c r="AP61" i="1"/>
  <c r="AM61" i="1"/>
  <c r="AL61" i="1"/>
  <c r="AK61" i="1"/>
  <c r="AJ61" i="1"/>
  <c r="AI61" i="1"/>
  <c r="AR60" i="1"/>
  <c r="AP60" i="1"/>
  <c r="AM60" i="1"/>
  <c r="AL60" i="1"/>
  <c r="AK60" i="1"/>
  <c r="AJ60" i="1"/>
  <c r="AI60" i="1"/>
  <c r="AR59" i="1"/>
  <c r="AP59" i="1"/>
  <c r="AM59" i="1"/>
  <c r="AL59" i="1"/>
  <c r="AK59" i="1"/>
  <c r="AJ59" i="1"/>
  <c r="AI59" i="1"/>
  <c r="AR58" i="1"/>
  <c r="AP58" i="1"/>
  <c r="AM58" i="1"/>
  <c r="AL58" i="1"/>
  <c r="AK58" i="1"/>
  <c r="AJ58" i="1"/>
  <c r="AI58" i="1"/>
  <c r="AR57" i="1"/>
  <c r="AP57" i="1"/>
  <c r="AM57" i="1"/>
  <c r="AL57" i="1"/>
  <c r="AK57" i="1"/>
  <c r="AJ57" i="1"/>
  <c r="AI57" i="1"/>
  <c r="AR56" i="1"/>
  <c r="AP56" i="1"/>
  <c r="AM56" i="1"/>
  <c r="AL56" i="1"/>
  <c r="AK56" i="1"/>
  <c r="AJ56" i="1"/>
  <c r="AI56" i="1"/>
  <c r="AR55" i="1"/>
  <c r="AP55" i="1"/>
  <c r="AM55" i="1"/>
  <c r="AL55" i="1"/>
  <c r="AK55" i="1"/>
  <c r="AJ55" i="1"/>
  <c r="AI55" i="1"/>
  <c r="AR54" i="1"/>
  <c r="AP54" i="1"/>
  <c r="AM54" i="1"/>
  <c r="AL54" i="1"/>
  <c r="AK54" i="1"/>
  <c r="AJ54" i="1"/>
  <c r="AI54" i="1"/>
  <c r="AR53" i="1"/>
  <c r="AP53" i="1"/>
  <c r="AM53" i="1"/>
  <c r="AL53" i="1"/>
  <c r="AK53" i="1"/>
  <c r="AJ53" i="1"/>
  <c r="AI53" i="1"/>
  <c r="AR52" i="1"/>
  <c r="AP52" i="1"/>
  <c r="AM52" i="1"/>
  <c r="AL52" i="1"/>
  <c r="AK52" i="1"/>
  <c r="AJ52" i="1"/>
  <c r="AI52" i="1"/>
  <c r="AR51" i="1"/>
  <c r="AP51" i="1"/>
  <c r="AM51" i="1"/>
  <c r="AL51" i="1"/>
  <c r="AK51" i="1"/>
  <c r="AJ51" i="1"/>
  <c r="AI51" i="1"/>
  <c r="AR50" i="1"/>
  <c r="AP50" i="1"/>
  <c r="AM50" i="1"/>
  <c r="AL50" i="1"/>
  <c r="AK50" i="1"/>
  <c r="AJ50" i="1"/>
  <c r="AI50" i="1"/>
  <c r="AR49" i="1"/>
  <c r="AP49" i="1"/>
  <c r="AM49" i="1"/>
  <c r="AL49" i="1"/>
  <c r="AK49" i="1"/>
  <c r="AJ49" i="1"/>
  <c r="AI49" i="1"/>
  <c r="AR48" i="1"/>
  <c r="AP48" i="1"/>
  <c r="AM48" i="1"/>
  <c r="AL48" i="1"/>
  <c r="AK48" i="1"/>
  <c r="AJ48" i="1"/>
  <c r="AI48" i="1"/>
  <c r="AR47" i="1"/>
  <c r="AP47" i="1"/>
  <c r="AM47" i="1"/>
  <c r="AL47" i="1"/>
  <c r="AK47" i="1"/>
  <c r="AJ47" i="1"/>
  <c r="AI47" i="1"/>
  <c r="AR46" i="1"/>
  <c r="AP46" i="1"/>
  <c r="AM46" i="1"/>
  <c r="AL46" i="1"/>
  <c r="AK46" i="1"/>
  <c r="AJ46" i="1"/>
  <c r="AI46" i="1"/>
  <c r="AR45" i="1"/>
  <c r="AP45" i="1"/>
  <c r="AM45" i="1"/>
  <c r="AL45" i="1"/>
  <c r="AK45" i="1"/>
  <c r="AJ45" i="1"/>
  <c r="AI45" i="1"/>
  <c r="AR44" i="1"/>
  <c r="AP44" i="1"/>
  <c r="AM44" i="1"/>
  <c r="AL44" i="1"/>
  <c r="AK44" i="1"/>
  <c r="AJ44" i="1"/>
  <c r="AI44" i="1"/>
  <c r="AR43" i="1"/>
  <c r="AP43" i="1"/>
  <c r="AM43" i="1"/>
  <c r="AL43" i="1"/>
  <c r="AK43" i="1"/>
  <c r="AJ43" i="1"/>
  <c r="AI43" i="1"/>
  <c r="AD106" i="1"/>
  <c r="AC106" i="1"/>
  <c r="AB106" i="1"/>
  <c r="AA106" i="1"/>
  <c r="Z106" i="1"/>
  <c r="Y106" i="1"/>
  <c r="AD105" i="1"/>
  <c r="AC105" i="1"/>
  <c r="AB105" i="1"/>
  <c r="AA105" i="1"/>
  <c r="Z105" i="1"/>
  <c r="Y105" i="1"/>
  <c r="AD104" i="1"/>
  <c r="AC104" i="1"/>
  <c r="AB104" i="1"/>
  <c r="AA104" i="1"/>
  <c r="Z104" i="1"/>
  <c r="Y104" i="1"/>
  <c r="AD103" i="1"/>
  <c r="AC103" i="1"/>
  <c r="AB103" i="1"/>
  <c r="AA103" i="1"/>
  <c r="Z103" i="1"/>
  <c r="Y103" i="1"/>
  <c r="AD102" i="1"/>
  <c r="AC102" i="1"/>
  <c r="AB102" i="1"/>
  <c r="AA102" i="1"/>
  <c r="Z102" i="1"/>
  <c r="Y102" i="1"/>
  <c r="AD101" i="1"/>
  <c r="AC101" i="1"/>
  <c r="AB101" i="1"/>
  <c r="AA101" i="1"/>
  <c r="Z101" i="1"/>
  <c r="Y101" i="1"/>
  <c r="AD100" i="1"/>
  <c r="AC100" i="1"/>
  <c r="AB100" i="1"/>
  <c r="AA100" i="1"/>
  <c r="Z100" i="1"/>
  <c r="Y100" i="1"/>
  <c r="AD99" i="1"/>
  <c r="AC99" i="1"/>
  <c r="AB99" i="1"/>
  <c r="AA99" i="1"/>
  <c r="Z99" i="1"/>
  <c r="Y99" i="1"/>
  <c r="AD98" i="1"/>
  <c r="AC98" i="1"/>
  <c r="AB98" i="1"/>
  <c r="AA98" i="1"/>
  <c r="Z98" i="1"/>
  <c r="Y98" i="1"/>
  <c r="AD97" i="1"/>
  <c r="AC97" i="1"/>
  <c r="AB97" i="1"/>
  <c r="AA97" i="1"/>
  <c r="Z97" i="1"/>
  <c r="Y97" i="1"/>
  <c r="AD96" i="1"/>
  <c r="AC96" i="1"/>
  <c r="AB96" i="1"/>
  <c r="AA96" i="1"/>
  <c r="Z96" i="1"/>
  <c r="Y96" i="1"/>
  <c r="AD95" i="1"/>
  <c r="AC95" i="1"/>
  <c r="AB95" i="1"/>
  <c r="AA95" i="1"/>
  <c r="Z95" i="1"/>
  <c r="Y95" i="1"/>
  <c r="AD94" i="1"/>
  <c r="AC94" i="1"/>
  <c r="AB94" i="1"/>
  <c r="AA94" i="1"/>
  <c r="Z94" i="1"/>
  <c r="Y94" i="1"/>
  <c r="AD93" i="1"/>
  <c r="AC93" i="1"/>
  <c r="AB93" i="1"/>
  <c r="AA93" i="1"/>
  <c r="Z93" i="1"/>
  <c r="Y93" i="1"/>
  <c r="AD92" i="1"/>
  <c r="AC92" i="1"/>
  <c r="AB92" i="1"/>
  <c r="AA92" i="1"/>
  <c r="Z92" i="1"/>
  <c r="Y92" i="1"/>
  <c r="AD91" i="1"/>
  <c r="AC91" i="1"/>
  <c r="AB91" i="1"/>
  <c r="AA91" i="1"/>
  <c r="Z91" i="1"/>
  <c r="Y91" i="1"/>
  <c r="AD90" i="1"/>
  <c r="AC90" i="1"/>
  <c r="AB90" i="1"/>
  <c r="AA90" i="1"/>
  <c r="Z90" i="1"/>
  <c r="Y90" i="1"/>
  <c r="AD89" i="1"/>
  <c r="AC89" i="1"/>
  <c r="AB89" i="1"/>
  <c r="AA89" i="1"/>
  <c r="Z89" i="1"/>
  <c r="Y89" i="1"/>
  <c r="AD88" i="1"/>
  <c r="AC88" i="1"/>
  <c r="AB88" i="1"/>
  <c r="AA88" i="1"/>
  <c r="Z88" i="1"/>
  <c r="Y88" i="1"/>
  <c r="AD87" i="1"/>
  <c r="AC87" i="1"/>
  <c r="AB87" i="1"/>
  <c r="AA87" i="1"/>
  <c r="Z87" i="1"/>
  <c r="Y87" i="1"/>
  <c r="AD86" i="1"/>
  <c r="AC86" i="1"/>
  <c r="AB86" i="1"/>
  <c r="AA86" i="1"/>
  <c r="Z86" i="1"/>
  <c r="Y86" i="1"/>
  <c r="AD85" i="1"/>
  <c r="AC85" i="1"/>
  <c r="AB85" i="1"/>
  <c r="AA85" i="1"/>
  <c r="Z85" i="1"/>
  <c r="Y85" i="1"/>
  <c r="AD84" i="1"/>
  <c r="AC84" i="1"/>
  <c r="AB84" i="1"/>
  <c r="AA84" i="1"/>
  <c r="Z84" i="1"/>
  <c r="Y84" i="1"/>
  <c r="AD83" i="1"/>
  <c r="AC83" i="1"/>
  <c r="AB83" i="1"/>
  <c r="AA83" i="1"/>
  <c r="Z83" i="1"/>
  <c r="Y83" i="1"/>
  <c r="AD82" i="1"/>
  <c r="AC82" i="1"/>
  <c r="AB82" i="1"/>
  <c r="AA82" i="1"/>
  <c r="Z82" i="1"/>
  <c r="Y82" i="1"/>
  <c r="AD81" i="1"/>
  <c r="AC81" i="1"/>
  <c r="AB81" i="1"/>
  <c r="AA81" i="1"/>
  <c r="Z81" i="1"/>
  <c r="Y81" i="1"/>
  <c r="AD80" i="1"/>
  <c r="AC80" i="1"/>
  <c r="AB80" i="1"/>
  <c r="AA80" i="1"/>
  <c r="Z80" i="1"/>
  <c r="Y80" i="1"/>
  <c r="AD79" i="1"/>
  <c r="AC79" i="1"/>
  <c r="AB79" i="1"/>
  <c r="AA79" i="1"/>
  <c r="Z79" i="1"/>
  <c r="Y79" i="1"/>
  <c r="AD78" i="1"/>
  <c r="AC78" i="1"/>
  <c r="AB78" i="1"/>
  <c r="AA78" i="1"/>
  <c r="Z78" i="1"/>
  <c r="Y78" i="1"/>
  <c r="AD77" i="1"/>
  <c r="AC77" i="1"/>
  <c r="AB77" i="1"/>
  <c r="AA77" i="1"/>
  <c r="Z77" i="1"/>
  <c r="Y77" i="1"/>
  <c r="AD76" i="1"/>
  <c r="AC76" i="1"/>
  <c r="AB76" i="1"/>
  <c r="AA76" i="1"/>
  <c r="Z76" i="1"/>
  <c r="Y76" i="1"/>
  <c r="AD75" i="1"/>
  <c r="AC75" i="1"/>
  <c r="AB75" i="1"/>
  <c r="AA75" i="1"/>
  <c r="Z75" i="1"/>
  <c r="Y75" i="1"/>
  <c r="AD74" i="1"/>
  <c r="AC74" i="1"/>
  <c r="AB74" i="1"/>
  <c r="AA74" i="1"/>
  <c r="Z74" i="1"/>
  <c r="Y74" i="1"/>
  <c r="AD73" i="1"/>
  <c r="AC73" i="1"/>
  <c r="AB73" i="1"/>
  <c r="AA73" i="1"/>
  <c r="Z73" i="1"/>
  <c r="Y73" i="1"/>
  <c r="AD72" i="1"/>
  <c r="AC72" i="1"/>
  <c r="AB72" i="1"/>
  <c r="AA72" i="1"/>
  <c r="Z72" i="1"/>
  <c r="Y72" i="1"/>
  <c r="AD71" i="1"/>
  <c r="AC71" i="1"/>
  <c r="AB71" i="1"/>
  <c r="AA71" i="1"/>
  <c r="Z71" i="1"/>
  <c r="Y71" i="1"/>
  <c r="AD70" i="1"/>
  <c r="AC70" i="1"/>
  <c r="AB70" i="1"/>
  <c r="AA70" i="1"/>
  <c r="Z70" i="1"/>
  <c r="Y70" i="1"/>
  <c r="AD69" i="1"/>
  <c r="AC69" i="1"/>
  <c r="AB69" i="1"/>
  <c r="AA69" i="1"/>
  <c r="Z69" i="1"/>
  <c r="Y69" i="1"/>
  <c r="AD68" i="1"/>
  <c r="AC68" i="1"/>
  <c r="AB68" i="1"/>
  <c r="AA68" i="1"/>
  <c r="Z68" i="1"/>
  <c r="Y68" i="1"/>
  <c r="AD67" i="1"/>
  <c r="AC67" i="1"/>
  <c r="AB67" i="1"/>
  <c r="AA67" i="1"/>
  <c r="Z67" i="1"/>
  <c r="Y67" i="1"/>
  <c r="AD66" i="1"/>
  <c r="AC66" i="1"/>
  <c r="AB66" i="1"/>
  <c r="AA66" i="1"/>
  <c r="Z66" i="1"/>
  <c r="Y66" i="1"/>
  <c r="AD65" i="1"/>
  <c r="AC65" i="1"/>
  <c r="AB65" i="1"/>
  <c r="AA65" i="1"/>
  <c r="Z65" i="1"/>
  <c r="Y65" i="1"/>
  <c r="AD64" i="1"/>
  <c r="AC64" i="1"/>
  <c r="AB64" i="1"/>
  <c r="AA64" i="1"/>
  <c r="Z64" i="1"/>
  <c r="Y64" i="1"/>
  <c r="AD63" i="1"/>
  <c r="AC63" i="1"/>
  <c r="AB63" i="1"/>
  <c r="AA63" i="1"/>
  <c r="Z63" i="1"/>
  <c r="Y63" i="1"/>
  <c r="AD62" i="1"/>
  <c r="AC62" i="1"/>
  <c r="AB62" i="1"/>
  <c r="AA62" i="1"/>
  <c r="Z62" i="1"/>
  <c r="Y62" i="1"/>
  <c r="AD61" i="1"/>
  <c r="AC61" i="1"/>
  <c r="AB61" i="1"/>
  <c r="AA61" i="1"/>
  <c r="Z61" i="1"/>
  <c r="Y61" i="1"/>
  <c r="AD60" i="1"/>
  <c r="AC60" i="1"/>
  <c r="AB60" i="1"/>
  <c r="AA60" i="1"/>
  <c r="Z60" i="1"/>
  <c r="Y60" i="1"/>
  <c r="AD59" i="1"/>
  <c r="AC59" i="1"/>
  <c r="AB59" i="1"/>
  <c r="AA59" i="1"/>
  <c r="Z59" i="1"/>
  <c r="Y59" i="1"/>
  <c r="AD58" i="1"/>
  <c r="AC58" i="1"/>
  <c r="AB58" i="1"/>
  <c r="AA58" i="1"/>
  <c r="Z58" i="1"/>
  <c r="Y58" i="1"/>
  <c r="AD57" i="1"/>
  <c r="AC57" i="1"/>
  <c r="AB57" i="1"/>
  <c r="AA57" i="1"/>
  <c r="Z57" i="1"/>
  <c r="Y57" i="1"/>
  <c r="AD56" i="1"/>
  <c r="AC56" i="1"/>
  <c r="AB56" i="1"/>
  <c r="AA56" i="1"/>
  <c r="Z56" i="1"/>
  <c r="Y56" i="1"/>
  <c r="AD55" i="1"/>
  <c r="AC55" i="1"/>
  <c r="AB55" i="1"/>
  <c r="AA55" i="1"/>
  <c r="Z55" i="1"/>
  <c r="Y55" i="1"/>
  <c r="AD54" i="1"/>
  <c r="AC54" i="1"/>
  <c r="AB54" i="1"/>
  <c r="AA54" i="1"/>
  <c r="Z54" i="1"/>
  <c r="Y54" i="1"/>
  <c r="AD53" i="1"/>
  <c r="AC53" i="1"/>
  <c r="AB53" i="1"/>
  <c r="AA53" i="1"/>
  <c r="Z53" i="1"/>
  <c r="Y53" i="1"/>
  <c r="AD52" i="1"/>
  <c r="AC52" i="1"/>
  <c r="AB52" i="1"/>
  <c r="AA52" i="1"/>
  <c r="Z52" i="1"/>
  <c r="Y52" i="1"/>
  <c r="AD51" i="1"/>
  <c r="AC51" i="1"/>
  <c r="AB51" i="1"/>
  <c r="AA51" i="1"/>
  <c r="Z51" i="1"/>
  <c r="Y51" i="1"/>
  <c r="AD50" i="1"/>
  <c r="AC50" i="1"/>
  <c r="AB50" i="1"/>
  <c r="AA50" i="1"/>
  <c r="Z50" i="1"/>
  <c r="Y50" i="1"/>
  <c r="AD49" i="1"/>
  <c r="AC49" i="1"/>
  <c r="AB49" i="1"/>
  <c r="AA49" i="1"/>
  <c r="Z49" i="1"/>
  <c r="Y49" i="1"/>
  <c r="AD48" i="1"/>
  <c r="AC48" i="1"/>
  <c r="AB48" i="1"/>
  <c r="AA48" i="1"/>
  <c r="Z48" i="1"/>
  <c r="Y48" i="1"/>
  <c r="AD47" i="1"/>
  <c r="AC47" i="1"/>
  <c r="AB47" i="1"/>
  <c r="AA47" i="1"/>
  <c r="Z47" i="1"/>
  <c r="Y47" i="1"/>
  <c r="AD46" i="1"/>
  <c r="AC46" i="1"/>
  <c r="AB46" i="1"/>
  <c r="AA46" i="1"/>
  <c r="Z46" i="1"/>
  <c r="Y46" i="1"/>
  <c r="AD45" i="1"/>
  <c r="AC45" i="1"/>
  <c r="AB45" i="1"/>
  <c r="AA45" i="1"/>
  <c r="Z45" i="1"/>
  <c r="Y45" i="1"/>
  <c r="AD44" i="1"/>
  <c r="AC44" i="1"/>
  <c r="AB44" i="1"/>
  <c r="AA44" i="1"/>
  <c r="Z44" i="1"/>
  <c r="Y44" i="1"/>
  <c r="AD43" i="1"/>
  <c r="AC43" i="1"/>
  <c r="AB43" i="1"/>
  <c r="AA43" i="1"/>
  <c r="Z43" i="1"/>
  <c r="Y43" i="1"/>
  <c r="AD42" i="1"/>
  <c r="AC42" i="1"/>
  <c r="AB42" i="1"/>
  <c r="AA42" i="1"/>
  <c r="Z42" i="1"/>
  <c r="Y42" i="1"/>
  <c r="AD41" i="1"/>
  <c r="AC41" i="1"/>
  <c r="AB41" i="1"/>
  <c r="AA41" i="1"/>
  <c r="Z41" i="1"/>
  <c r="Y41" i="1"/>
  <c r="AD40" i="1"/>
  <c r="AD168" i="1" s="1"/>
  <c r="AD190" i="1" s="1"/>
  <c r="AD212" i="1" s="1"/>
  <c r="AC40" i="1"/>
  <c r="AC168" i="1" s="1"/>
  <c r="AC190" i="1" s="1"/>
  <c r="AC212" i="1" s="1"/>
  <c r="AB40" i="1"/>
  <c r="AA40" i="1"/>
  <c r="AA168" i="1" s="1"/>
  <c r="AA190" i="1" s="1"/>
  <c r="AA212" i="1" s="1"/>
  <c r="Z40" i="1"/>
  <c r="Z168" i="1" s="1"/>
  <c r="Z190" i="1" s="1"/>
  <c r="Z212" i="1" s="1"/>
  <c r="Y40" i="1"/>
  <c r="Y168" i="1" s="1"/>
  <c r="AD39" i="1"/>
  <c r="AD167" i="1" s="1"/>
  <c r="AD189" i="1" s="1"/>
  <c r="AD211" i="1" s="1"/>
  <c r="AC39" i="1"/>
  <c r="AC167" i="1" s="1"/>
  <c r="AC189" i="1" s="1"/>
  <c r="AC211" i="1" s="1"/>
  <c r="AB39" i="1"/>
  <c r="AB167" i="1" s="1"/>
  <c r="AB189" i="1" s="1"/>
  <c r="AB211" i="1" s="1"/>
  <c r="AA39" i="1"/>
  <c r="AA167" i="1" s="1"/>
  <c r="AA189" i="1" s="1"/>
  <c r="AA211" i="1" s="1"/>
  <c r="Z39" i="1"/>
  <c r="Z167" i="1" s="1"/>
  <c r="Z189" i="1" s="1"/>
  <c r="Z211" i="1" s="1"/>
  <c r="Y39" i="1"/>
  <c r="Y167" i="1" s="1"/>
  <c r="X106" i="1"/>
  <c r="U106" i="1"/>
  <c r="T106" i="1"/>
  <c r="S106" i="1"/>
  <c r="R106" i="1"/>
  <c r="Q106" i="1"/>
  <c r="P106" i="1"/>
  <c r="O106" i="1"/>
  <c r="X105" i="1"/>
  <c r="U105" i="1"/>
  <c r="T105" i="1"/>
  <c r="S105" i="1"/>
  <c r="R105" i="1"/>
  <c r="Q105" i="1"/>
  <c r="P105" i="1"/>
  <c r="O105" i="1"/>
  <c r="X104" i="1"/>
  <c r="U104" i="1"/>
  <c r="T104" i="1"/>
  <c r="S104" i="1"/>
  <c r="R104" i="1"/>
  <c r="Q104" i="1"/>
  <c r="P104" i="1"/>
  <c r="O104" i="1"/>
  <c r="X103" i="1"/>
  <c r="U103" i="1"/>
  <c r="T103" i="1"/>
  <c r="S103" i="1"/>
  <c r="R103" i="1"/>
  <c r="Q103" i="1"/>
  <c r="P103" i="1"/>
  <c r="O103" i="1"/>
  <c r="X102" i="1"/>
  <c r="U102" i="1"/>
  <c r="T102" i="1"/>
  <c r="S102" i="1"/>
  <c r="R102" i="1"/>
  <c r="Q102" i="1"/>
  <c r="P102" i="1"/>
  <c r="O102" i="1"/>
  <c r="X101" i="1"/>
  <c r="U101" i="1"/>
  <c r="T101" i="1"/>
  <c r="S101" i="1"/>
  <c r="R101" i="1"/>
  <c r="Q101" i="1"/>
  <c r="P101" i="1"/>
  <c r="O101" i="1"/>
  <c r="X100" i="1"/>
  <c r="U100" i="1"/>
  <c r="T100" i="1"/>
  <c r="S100" i="1"/>
  <c r="R100" i="1"/>
  <c r="Q100" i="1"/>
  <c r="P100" i="1"/>
  <c r="O100" i="1"/>
  <c r="X99" i="1"/>
  <c r="U99" i="1"/>
  <c r="T99" i="1"/>
  <c r="S99" i="1"/>
  <c r="R99" i="1"/>
  <c r="Q99" i="1"/>
  <c r="P99" i="1"/>
  <c r="O99" i="1"/>
  <c r="X98" i="1"/>
  <c r="U98" i="1"/>
  <c r="T98" i="1"/>
  <c r="S98" i="1"/>
  <c r="R98" i="1"/>
  <c r="Q98" i="1"/>
  <c r="P98" i="1"/>
  <c r="O98" i="1"/>
  <c r="X97" i="1"/>
  <c r="U97" i="1"/>
  <c r="T97" i="1"/>
  <c r="S97" i="1"/>
  <c r="R97" i="1"/>
  <c r="Q97" i="1"/>
  <c r="P97" i="1"/>
  <c r="O97" i="1"/>
  <c r="X96" i="1"/>
  <c r="U96" i="1"/>
  <c r="T96" i="1"/>
  <c r="S96" i="1"/>
  <c r="R96" i="1"/>
  <c r="Q96" i="1"/>
  <c r="P96" i="1"/>
  <c r="O96" i="1"/>
  <c r="X95" i="1"/>
  <c r="U95" i="1"/>
  <c r="T95" i="1"/>
  <c r="S95" i="1"/>
  <c r="R95" i="1"/>
  <c r="Q95" i="1"/>
  <c r="P95" i="1"/>
  <c r="O95" i="1"/>
  <c r="X94" i="1"/>
  <c r="U94" i="1"/>
  <c r="T94" i="1"/>
  <c r="S94" i="1"/>
  <c r="R94" i="1"/>
  <c r="Q94" i="1"/>
  <c r="P94" i="1"/>
  <c r="O94" i="1"/>
  <c r="X93" i="1"/>
  <c r="U93" i="1"/>
  <c r="T93" i="1"/>
  <c r="S93" i="1"/>
  <c r="R93" i="1"/>
  <c r="Q93" i="1"/>
  <c r="P93" i="1"/>
  <c r="O93" i="1"/>
  <c r="X92" i="1"/>
  <c r="U92" i="1"/>
  <c r="T92" i="1"/>
  <c r="S92" i="1"/>
  <c r="R92" i="1"/>
  <c r="Q92" i="1"/>
  <c r="P92" i="1"/>
  <c r="O92" i="1"/>
  <c r="X91" i="1"/>
  <c r="U91" i="1"/>
  <c r="T91" i="1"/>
  <c r="S91" i="1"/>
  <c r="R91" i="1"/>
  <c r="Q91" i="1"/>
  <c r="P91" i="1"/>
  <c r="O91" i="1"/>
  <c r="X90" i="1"/>
  <c r="U90" i="1"/>
  <c r="T90" i="1"/>
  <c r="S90" i="1"/>
  <c r="R90" i="1"/>
  <c r="Q90" i="1"/>
  <c r="P90" i="1"/>
  <c r="O90" i="1"/>
  <c r="X89" i="1"/>
  <c r="U89" i="1"/>
  <c r="T89" i="1"/>
  <c r="S89" i="1"/>
  <c r="R89" i="1"/>
  <c r="Q89" i="1"/>
  <c r="P89" i="1"/>
  <c r="O89" i="1"/>
  <c r="X88" i="1"/>
  <c r="U88" i="1"/>
  <c r="T88" i="1"/>
  <c r="S88" i="1"/>
  <c r="R88" i="1"/>
  <c r="Q88" i="1"/>
  <c r="P88" i="1"/>
  <c r="O88" i="1"/>
  <c r="X87" i="1"/>
  <c r="U87" i="1"/>
  <c r="T87" i="1"/>
  <c r="S87" i="1"/>
  <c r="R87" i="1"/>
  <c r="Q87" i="1"/>
  <c r="P87" i="1"/>
  <c r="O87" i="1"/>
  <c r="X86" i="1"/>
  <c r="U86" i="1"/>
  <c r="T86" i="1"/>
  <c r="S86" i="1"/>
  <c r="R86" i="1"/>
  <c r="Q86" i="1"/>
  <c r="P86" i="1"/>
  <c r="O86" i="1"/>
  <c r="X85" i="1"/>
  <c r="U85" i="1"/>
  <c r="T85" i="1"/>
  <c r="S85" i="1"/>
  <c r="R85" i="1"/>
  <c r="Q85" i="1"/>
  <c r="P85" i="1"/>
  <c r="O85" i="1"/>
  <c r="X84" i="1"/>
  <c r="U84" i="1"/>
  <c r="T84" i="1"/>
  <c r="S84" i="1"/>
  <c r="R84" i="1"/>
  <c r="Q84" i="1"/>
  <c r="P84" i="1"/>
  <c r="O84" i="1"/>
  <c r="X83" i="1"/>
  <c r="U83" i="1"/>
  <c r="T83" i="1"/>
  <c r="S83" i="1"/>
  <c r="R83" i="1"/>
  <c r="Q83" i="1"/>
  <c r="P83" i="1"/>
  <c r="O83" i="1"/>
  <c r="X82" i="1"/>
  <c r="U82" i="1"/>
  <c r="T82" i="1"/>
  <c r="S82" i="1"/>
  <c r="R82" i="1"/>
  <c r="Q82" i="1"/>
  <c r="P82" i="1"/>
  <c r="O82" i="1"/>
  <c r="X81" i="1"/>
  <c r="U81" i="1"/>
  <c r="T81" i="1"/>
  <c r="S81" i="1"/>
  <c r="R81" i="1"/>
  <c r="Q81" i="1"/>
  <c r="P81" i="1"/>
  <c r="O81" i="1"/>
  <c r="X80" i="1"/>
  <c r="U80" i="1"/>
  <c r="T80" i="1"/>
  <c r="S80" i="1"/>
  <c r="R80" i="1"/>
  <c r="Q80" i="1"/>
  <c r="P80" i="1"/>
  <c r="O80" i="1"/>
  <c r="X79" i="1"/>
  <c r="U79" i="1"/>
  <c r="T79" i="1"/>
  <c r="S79" i="1"/>
  <c r="R79" i="1"/>
  <c r="Q79" i="1"/>
  <c r="P79" i="1"/>
  <c r="O79" i="1"/>
  <c r="X78" i="1"/>
  <c r="U78" i="1"/>
  <c r="T78" i="1"/>
  <c r="S78" i="1"/>
  <c r="R78" i="1"/>
  <c r="Q78" i="1"/>
  <c r="P78" i="1"/>
  <c r="O78" i="1"/>
  <c r="X77" i="1"/>
  <c r="U77" i="1"/>
  <c r="T77" i="1"/>
  <c r="S77" i="1"/>
  <c r="R77" i="1"/>
  <c r="Q77" i="1"/>
  <c r="P77" i="1"/>
  <c r="O77" i="1"/>
  <c r="X76" i="1"/>
  <c r="U76" i="1"/>
  <c r="T76" i="1"/>
  <c r="S76" i="1"/>
  <c r="R76" i="1"/>
  <c r="Q76" i="1"/>
  <c r="P76" i="1"/>
  <c r="O76" i="1"/>
  <c r="X75" i="1"/>
  <c r="U75" i="1"/>
  <c r="T75" i="1"/>
  <c r="S75" i="1"/>
  <c r="R75" i="1"/>
  <c r="Q75" i="1"/>
  <c r="P75" i="1"/>
  <c r="O75" i="1"/>
  <c r="X74" i="1"/>
  <c r="U74" i="1"/>
  <c r="T74" i="1"/>
  <c r="S74" i="1"/>
  <c r="R74" i="1"/>
  <c r="Q74" i="1"/>
  <c r="P74" i="1"/>
  <c r="O74" i="1"/>
  <c r="X73" i="1"/>
  <c r="U73" i="1"/>
  <c r="T73" i="1"/>
  <c r="S73" i="1"/>
  <c r="R73" i="1"/>
  <c r="Q73" i="1"/>
  <c r="P73" i="1"/>
  <c r="O73" i="1"/>
  <c r="X72" i="1"/>
  <c r="U72" i="1"/>
  <c r="T72" i="1"/>
  <c r="S72" i="1"/>
  <c r="R72" i="1"/>
  <c r="Q72" i="1"/>
  <c r="P72" i="1"/>
  <c r="O72" i="1"/>
  <c r="X71" i="1"/>
  <c r="U71" i="1"/>
  <c r="T71" i="1"/>
  <c r="S71" i="1"/>
  <c r="R71" i="1"/>
  <c r="Q71" i="1"/>
  <c r="P71" i="1"/>
  <c r="O71" i="1"/>
  <c r="X70" i="1"/>
  <c r="U70" i="1"/>
  <c r="T70" i="1"/>
  <c r="S70" i="1"/>
  <c r="R70" i="1"/>
  <c r="Q70" i="1"/>
  <c r="P70" i="1"/>
  <c r="O70" i="1"/>
  <c r="X69" i="1"/>
  <c r="U69" i="1"/>
  <c r="T69" i="1"/>
  <c r="S69" i="1"/>
  <c r="R69" i="1"/>
  <c r="Q69" i="1"/>
  <c r="P69" i="1"/>
  <c r="O69" i="1"/>
  <c r="X68" i="1"/>
  <c r="U68" i="1"/>
  <c r="T68" i="1"/>
  <c r="S68" i="1"/>
  <c r="R68" i="1"/>
  <c r="Q68" i="1"/>
  <c r="P68" i="1"/>
  <c r="O68" i="1"/>
  <c r="X67" i="1"/>
  <c r="U67" i="1"/>
  <c r="T67" i="1"/>
  <c r="S67" i="1"/>
  <c r="R67" i="1"/>
  <c r="Q67" i="1"/>
  <c r="P67" i="1"/>
  <c r="O67" i="1"/>
  <c r="X66" i="1"/>
  <c r="U66" i="1"/>
  <c r="T66" i="1"/>
  <c r="S66" i="1"/>
  <c r="R66" i="1"/>
  <c r="Q66" i="1"/>
  <c r="P66" i="1"/>
  <c r="O66" i="1"/>
  <c r="X65" i="1"/>
  <c r="U65" i="1"/>
  <c r="T65" i="1"/>
  <c r="S65" i="1"/>
  <c r="R65" i="1"/>
  <c r="Q65" i="1"/>
  <c r="P65" i="1"/>
  <c r="O65" i="1"/>
  <c r="X64" i="1"/>
  <c r="U64" i="1"/>
  <c r="T64" i="1"/>
  <c r="S64" i="1"/>
  <c r="R64" i="1"/>
  <c r="Q64" i="1"/>
  <c r="P64" i="1"/>
  <c r="O64" i="1"/>
  <c r="X63" i="1"/>
  <c r="U63" i="1"/>
  <c r="T63" i="1"/>
  <c r="S63" i="1"/>
  <c r="R63" i="1"/>
  <c r="Q63" i="1"/>
  <c r="P63" i="1"/>
  <c r="O63" i="1"/>
  <c r="X62" i="1"/>
  <c r="U62" i="1"/>
  <c r="T62" i="1"/>
  <c r="S62" i="1"/>
  <c r="R62" i="1"/>
  <c r="Q62" i="1"/>
  <c r="P62" i="1"/>
  <c r="O62" i="1"/>
  <c r="X61" i="1"/>
  <c r="U61" i="1"/>
  <c r="T61" i="1"/>
  <c r="S61" i="1"/>
  <c r="R61" i="1"/>
  <c r="Q61" i="1"/>
  <c r="P61" i="1"/>
  <c r="O61" i="1"/>
  <c r="X60" i="1"/>
  <c r="U60" i="1"/>
  <c r="T60" i="1"/>
  <c r="S60" i="1"/>
  <c r="R60" i="1"/>
  <c r="Q60" i="1"/>
  <c r="P60" i="1"/>
  <c r="O60" i="1"/>
  <c r="X59" i="1"/>
  <c r="U59" i="1"/>
  <c r="T59" i="1"/>
  <c r="S59" i="1"/>
  <c r="R59" i="1"/>
  <c r="Q59" i="1"/>
  <c r="P59" i="1"/>
  <c r="O59" i="1"/>
  <c r="X58" i="1"/>
  <c r="U58" i="1"/>
  <c r="T58" i="1"/>
  <c r="S58" i="1"/>
  <c r="R58" i="1"/>
  <c r="Q58" i="1"/>
  <c r="P58" i="1"/>
  <c r="O58" i="1"/>
  <c r="X57" i="1"/>
  <c r="U57" i="1"/>
  <c r="T57" i="1"/>
  <c r="S57" i="1"/>
  <c r="R57" i="1"/>
  <c r="Q57" i="1"/>
  <c r="P57" i="1"/>
  <c r="O57" i="1"/>
  <c r="X56" i="1"/>
  <c r="U56" i="1"/>
  <c r="T56" i="1"/>
  <c r="S56" i="1"/>
  <c r="R56" i="1"/>
  <c r="Q56" i="1"/>
  <c r="P56" i="1"/>
  <c r="O56" i="1"/>
  <c r="X55" i="1"/>
  <c r="U55" i="1"/>
  <c r="T55" i="1"/>
  <c r="S55" i="1"/>
  <c r="R55" i="1"/>
  <c r="Q55" i="1"/>
  <c r="P55" i="1"/>
  <c r="O55" i="1"/>
  <c r="X54" i="1"/>
  <c r="U54" i="1"/>
  <c r="T54" i="1"/>
  <c r="S54" i="1"/>
  <c r="R54" i="1"/>
  <c r="Q54" i="1"/>
  <c r="P54" i="1"/>
  <c r="O54" i="1"/>
  <c r="X53" i="1"/>
  <c r="U53" i="1"/>
  <c r="T53" i="1"/>
  <c r="S53" i="1"/>
  <c r="R53" i="1"/>
  <c r="Q53" i="1"/>
  <c r="P53" i="1"/>
  <c r="O53" i="1"/>
  <c r="X52" i="1"/>
  <c r="U52" i="1"/>
  <c r="T52" i="1"/>
  <c r="S52" i="1"/>
  <c r="R52" i="1"/>
  <c r="Q52" i="1"/>
  <c r="P52" i="1"/>
  <c r="O52" i="1"/>
  <c r="X51" i="1"/>
  <c r="U51" i="1"/>
  <c r="T51" i="1"/>
  <c r="S51" i="1"/>
  <c r="R51" i="1"/>
  <c r="Q51" i="1"/>
  <c r="P51" i="1"/>
  <c r="O51" i="1"/>
  <c r="X50" i="1"/>
  <c r="U50" i="1"/>
  <c r="T50" i="1"/>
  <c r="S50" i="1"/>
  <c r="R50" i="1"/>
  <c r="Q50" i="1"/>
  <c r="P50" i="1"/>
  <c r="O50" i="1"/>
  <c r="X49" i="1"/>
  <c r="U49" i="1"/>
  <c r="T49" i="1"/>
  <c r="S49" i="1"/>
  <c r="R49" i="1"/>
  <c r="Q49" i="1"/>
  <c r="P49" i="1"/>
  <c r="O49" i="1"/>
  <c r="X48" i="1"/>
  <c r="U48" i="1"/>
  <c r="T48" i="1"/>
  <c r="S48" i="1"/>
  <c r="R48" i="1"/>
  <c r="Q48" i="1"/>
  <c r="P48" i="1"/>
  <c r="O48" i="1"/>
  <c r="X47" i="1"/>
  <c r="U47" i="1"/>
  <c r="T47" i="1"/>
  <c r="S47" i="1"/>
  <c r="R47" i="1"/>
  <c r="Q47" i="1"/>
  <c r="P47" i="1"/>
  <c r="O47" i="1"/>
  <c r="X46" i="1"/>
  <c r="U46" i="1"/>
  <c r="T46" i="1"/>
  <c r="S46" i="1"/>
  <c r="R46" i="1"/>
  <c r="Q46" i="1"/>
  <c r="P46" i="1"/>
  <c r="O46" i="1"/>
  <c r="X45" i="1"/>
  <c r="U45" i="1"/>
  <c r="T45" i="1"/>
  <c r="S45" i="1"/>
  <c r="R45" i="1"/>
  <c r="Q45" i="1"/>
  <c r="P45" i="1"/>
  <c r="O45" i="1"/>
  <c r="X44" i="1"/>
  <c r="U44" i="1"/>
  <c r="T44" i="1"/>
  <c r="S44" i="1"/>
  <c r="R44" i="1"/>
  <c r="Q44" i="1"/>
  <c r="P44" i="1"/>
  <c r="O44" i="1"/>
  <c r="X43" i="1"/>
  <c r="U43" i="1"/>
  <c r="T43" i="1"/>
  <c r="S43" i="1"/>
  <c r="R43" i="1"/>
  <c r="Q43" i="1"/>
  <c r="P43" i="1"/>
  <c r="O43" i="1"/>
  <c r="X42" i="1"/>
  <c r="U42" i="1"/>
  <c r="T42" i="1"/>
  <c r="S42" i="1"/>
  <c r="R42" i="1"/>
  <c r="Q42" i="1"/>
  <c r="P42" i="1"/>
  <c r="O42" i="1"/>
  <c r="X41" i="1"/>
  <c r="U41" i="1"/>
  <c r="T41" i="1"/>
  <c r="S41" i="1"/>
  <c r="R41" i="1"/>
  <c r="Q41" i="1"/>
  <c r="P41" i="1"/>
  <c r="O41" i="1"/>
  <c r="X40" i="1"/>
  <c r="U40" i="1"/>
  <c r="T40" i="1"/>
  <c r="S40" i="1"/>
  <c r="R40" i="1"/>
  <c r="Q40" i="1"/>
  <c r="P40" i="1"/>
  <c r="O40" i="1"/>
  <c r="X39" i="1"/>
  <c r="U39" i="1"/>
  <c r="T39" i="1"/>
  <c r="S39" i="1"/>
  <c r="R39" i="1"/>
  <c r="Q39" i="1"/>
  <c r="P39" i="1"/>
  <c r="O39" i="1"/>
  <c r="X38" i="1"/>
  <c r="U38" i="1"/>
  <c r="T38" i="1"/>
  <c r="S38" i="1"/>
  <c r="R38" i="1"/>
  <c r="Q38" i="1"/>
  <c r="P38" i="1"/>
  <c r="O38" i="1"/>
  <c r="X37" i="1"/>
  <c r="U37" i="1"/>
  <c r="T37" i="1"/>
  <c r="S37" i="1"/>
  <c r="R37" i="1"/>
  <c r="Q37" i="1"/>
  <c r="P37" i="1"/>
  <c r="O37" i="1"/>
  <c r="X36" i="1"/>
  <c r="U36" i="1"/>
  <c r="T36" i="1"/>
  <c r="S36" i="1"/>
  <c r="R36" i="1"/>
  <c r="Q36" i="1"/>
  <c r="P36" i="1"/>
  <c r="O36" i="1"/>
  <c r="X35" i="1"/>
  <c r="U35" i="1"/>
  <c r="T35" i="1"/>
  <c r="S35" i="1"/>
  <c r="R35" i="1"/>
  <c r="Q35" i="1"/>
  <c r="P35" i="1"/>
  <c r="O35" i="1"/>
  <c r="X34" i="1"/>
  <c r="U34" i="1"/>
  <c r="T34" i="1"/>
  <c r="S34" i="1"/>
  <c r="R34" i="1"/>
  <c r="Q34" i="1"/>
  <c r="P34" i="1"/>
  <c r="O34" i="1"/>
  <c r="X33" i="1"/>
  <c r="U33" i="1"/>
  <c r="T33" i="1"/>
  <c r="S33" i="1"/>
  <c r="R33" i="1"/>
  <c r="Q33" i="1"/>
  <c r="P33" i="1"/>
  <c r="O33" i="1"/>
  <c r="X32" i="1"/>
  <c r="U32" i="1"/>
  <c r="T32" i="1"/>
  <c r="T168" i="1" s="1"/>
  <c r="S32" i="1"/>
  <c r="R32" i="1"/>
  <c r="Q32" i="1"/>
  <c r="P32" i="1"/>
  <c r="P168" i="1" s="1"/>
  <c r="O32" i="1"/>
  <c r="O168" i="1" s="1"/>
  <c r="X31" i="1"/>
  <c r="X167" i="1" s="1"/>
  <c r="U31" i="1"/>
  <c r="T31" i="1"/>
  <c r="T167" i="1" s="1"/>
  <c r="S31" i="1"/>
  <c r="R31" i="1"/>
  <c r="R167" i="1" s="1"/>
  <c r="Q31" i="1"/>
  <c r="P31" i="1"/>
  <c r="O31" i="1"/>
  <c r="O167" i="1" s="1"/>
  <c r="X168" i="1"/>
  <c r="O19" i="10"/>
  <c r="O18" i="10"/>
  <c r="O16" i="10"/>
  <c r="BI10" i="1"/>
  <c r="BH10" i="1"/>
  <c r="BE10" i="1"/>
  <c r="BD10" i="1"/>
  <c r="BC10" i="1"/>
  <c r="BI9" i="1"/>
  <c r="BH9" i="1"/>
  <c r="BE9" i="1"/>
  <c r="BD9" i="1"/>
  <c r="BC9" i="1"/>
  <c r="BH167" i="1"/>
  <c r="AW10" i="1"/>
  <c r="AV10" i="1"/>
  <c r="AU10" i="1"/>
  <c r="AT10" i="1"/>
  <c r="AS10" i="1"/>
  <c r="AW9" i="1"/>
  <c r="AV9" i="1"/>
  <c r="AU9" i="1"/>
  <c r="AT9" i="1"/>
  <c r="AS9" i="1"/>
  <c r="AR10" i="1"/>
  <c r="AP10" i="1"/>
  <c r="AM10" i="1"/>
  <c r="AL10" i="1"/>
  <c r="AL168" i="1" s="1"/>
  <c r="AK10" i="1"/>
  <c r="AJ10" i="1"/>
  <c r="AI10" i="1"/>
  <c r="AR9" i="1"/>
  <c r="AR167" i="1" s="1"/>
  <c r="AP9" i="1"/>
  <c r="AM9" i="1"/>
  <c r="AL9" i="1"/>
  <c r="AK9" i="1"/>
  <c r="AK167" i="1" s="1"/>
  <c r="AJ9" i="1"/>
  <c r="AI9" i="1"/>
  <c r="U167" i="1"/>
  <c r="S167" i="1"/>
  <c r="Q167" i="1"/>
  <c r="DB168" i="1" l="1"/>
  <c r="BZ168" i="1"/>
  <c r="CY168" i="1"/>
  <c r="I208" i="1"/>
  <c r="CU218" i="1"/>
  <c r="P167" i="1"/>
  <c r="S217" i="1" s="1"/>
  <c r="BX167" i="1"/>
  <c r="BW168" i="1"/>
  <c r="CA168" i="1"/>
  <c r="T8" i="10"/>
  <c r="U8" i="10"/>
  <c r="AB168" i="1"/>
  <c r="AB190" i="1" s="1"/>
  <c r="AB212" i="1" s="1"/>
  <c r="AL167" i="1"/>
  <c r="AM168" i="1"/>
  <c r="S8" i="10"/>
  <c r="BC167" i="1"/>
  <c r="R8" i="10"/>
  <c r="BH186" i="1"/>
  <c r="BE187" i="1"/>
  <c r="AI168" i="1"/>
  <c r="Q9" i="10"/>
  <c r="U9" i="10"/>
  <c r="AI167" i="1"/>
  <c r="Q8" i="10"/>
  <c r="AM167" i="1"/>
  <c r="AJ168" i="1"/>
  <c r="AP168" i="1"/>
  <c r="X8" i="10"/>
  <c r="BC186" i="1"/>
  <c r="BI186" i="1"/>
  <c r="BH187" i="1"/>
  <c r="R9" i="10"/>
  <c r="S9" i="10"/>
  <c r="AJ167" i="1"/>
  <c r="AP167" i="1"/>
  <c r="AK168" i="1"/>
  <c r="AR168" i="1"/>
  <c r="BN167" i="1"/>
  <c r="BO168" i="1"/>
  <c r="BV168" i="1"/>
  <c r="T9" i="10"/>
  <c r="X9" i="10"/>
  <c r="BE168" i="1"/>
  <c r="Y190" i="1"/>
  <c r="Y189" i="1"/>
  <c r="AC221" i="1"/>
  <c r="R168" i="1"/>
  <c r="BH168" i="1"/>
  <c r="Q19" i="10"/>
  <c r="Q23" i="10"/>
  <c r="Q27" i="10"/>
  <c r="Q31" i="10"/>
  <c r="Q35" i="10"/>
  <c r="Q39" i="10"/>
  <c r="Q43" i="10"/>
  <c r="Q47" i="10"/>
  <c r="Q51" i="10"/>
  <c r="Q55" i="10"/>
  <c r="Q59" i="10"/>
  <c r="Q63" i="10"/>
  <c r="Q67" i="10"/>
  <c r="Q71" i="10"/>
  <c r="Q75" i="10"/>
  <c r="Q79" i="10"/>
  <c r="Q83" i="10"/>
  <c r="Q87" i="10"/>
  <c r="Q91" i="10"/>
  <c r="Q95" i="10"/>
  <c r="Q99" i="10"/>
  <c r="Q103" i="10"/>
  <c r="S19" i="10"/>
  <c r="S23" i="10"/>
  <c r="S27" i="10"/>
  <c r="S31" i="10"/>
  <c r="S35" i="10"/>
  <c r="S39" i="10"/>
  <c r="S43" i="10"/>
  <c r="S47" i="10"/>
  <c r="S51" i="10"/>
  <c r="S55" i="10"/>
  <c r="S63" i="10"/>
  <c r="S67" i="10"/>
  <c r="S71" i="10"/>
  <c r="S75" i="10"/>
  <c r="S79" i="10"/>
  <c r="S83" i="10"/>
  <c r="S87" i="10"/>
  <c r="S91" i="10"/>
  <c r="S95" i="10"/>
  <c r="S99" i="10"/>
  <c r="S103" i="10"/>
  <c r="T17" i="10"/>
  <c r="T21" i="10"/>
  <c r="T25" i="10"/>
  <c r="T29" i="10"/>
  <c r="T33" i="10"/>
  <c r="T37" i="10"/>
  <c r="T41" i="10"/>
  <c r="T45" i="10"/>
  <c r="T49" i="10"/>
  <c r="T53" i="10"/>
  <c r="T57" i="10"/>
  <c r="T61" i="10"/>
  <c r="T65" i="10"/>
  <c r="T69" i="10"/>
  <c r="T73" i="10"/>
  <c r="T77" i="10"/>
  <c r="T81" i="10"/>
  <c r="T85" i="10"/>
  <c r="T89" i="10"/>
  <c r="T93" i="10"/>
  <c r="T97" i="10"/>
  <c r="T101" i="10"/>
  <c r="T105" i="10"/>
  <c r="U19" i="10"/>
  <c r="U23" i="10"/>
  <c r="U27" i="10"/>
  <c r="U31" i="10"/>
  <c r="U35" i="10"/>
  <c r="U39" i="10"/>
  <c r="U43" i="10"/>
  <c r="U47" i="10"/>
  <c r="U51" i="10"/>
  <c r="U55" i="10"/>
  <c r="U59" i="10"/>
  <c r="U63" i="10"/>
  <c r="U67" i="10"/>
  <c r="U71" i="10"/>
  <c r="U75" i="10"/>
  <c r="U79" i="10"/>
  <c r="U83" i="10"/>
  <c r="U87" i="10"/>
  <c r="U91" i="10"/>
  <c r="U95" i="10"/>
  <c r="U99" i="10"/>
  <c r="U103" i="10"/>
  <c r="X17" i="10"/>
  <c r="X21" i="10"/>
  <c r="X25" i="10"/>
  <c r="X29" i="10"/>
  <c r="X33" i="10"/>
  <c r="X37" i="10"/>
  <c r="X41" i="10"/>
  <c r="X45" i="10"/>
  <c r="X49" i="10"/>
  <c r="X53" i="10"/>
  <c r="X57" i="10"/>
  <c r="X61" i="10"/>
  <c r="X65" i="10"/>
  <c r="X69" i="10"/>
  <c r="X73" i="10"/>
  <c r="X77" i="10"/>
  <c r="X81" i="10"/>
  <c r="X85" i="10"/>
  <c r="X89" i="10"/>
  <c r="X93" i="10"/>
  <c r="X97" i="10"/>
  <c r="X101" i="10"/>
  <c r="X105" i="10"/>
  <c r="BV167" i="1"/>
  <c r="BP168" i="1"/>
  <c r="BE186" i="1"/>
  <c r="BD187" i="1"/>
  <c r="DP218" i="1"/>
  <c r="DQ218" i="1" s="1"/>
  <c r="T100" i="10"/>
  <c r="T104" i="10"/>
  <c r="U16" i="10"/>
  <c r="U20" i="10"/>
  <c r="U24" i="10"/>
  <c r="U28" i="10"/>
  <c r="U32" i="10"/>
  <c r="U36" i="10"/>
  <c r="U40" i="10"/>
  <c r="U44" i="10"/>
  <c r="U48" i="10"/>
  <c r="U52" i="10"/>
  <c r="U56" i="10"/>
  <c r="U60" i="10"/>
  <c r="U64" i="10"/>
  <c r="U68" i="10"/>
  <c r="U72" i="10"/>
  <c r="U76" i="10"/>
  <c r="U80" i="10"/>
  <c r="U84" i="10"/>
  <c r="U88" i="10"/>
  <c r="U92" i="10"/>
  <c r="U96" i="10"/>
  <c r="U100" i="10"/>
  <c r="U104" i="10"/>
  <c r="X18" i="10"/>
  <c r="X22" i="10"/>
  <c r="X26" i="10"/>
  <c r="X30" i="10"/>
  <c r="X34" i="10"/>
  <c r="X38" i="10"/>
  <c r="X42" i="10"/>
  <c r="X46" i="10"/>
  <c r="X50" i="10"/>
  <c r="X54" i="10"/>
  <c r="X58" i="10"/>
  <c r="X62" i="10"/>
  <c r="X66" i="10"/>
  <c r="X70" i="10"/>
  <c r="X74" i="10"/>
  <c r="X78" i="10"/>
  <c r="X82" i="10"/>
  <c r="X86" i="10"/>
  <c r="X90" i="10"/>
  <c r="X94" i="10"/>
  <c r="X98" i="10"/>
  <c r="X102" i="10"/>
  <c r="S59" i="10"/>
  <c r="Q22" i="10"/>
  <c r="Q26" i="10"/>
  <c r="Q34" i="10"/>
  <c r="Q38" i="10"/>
  <c r="Q46" i="10"/>
  <c r="Q54" i="10"/>
  <c r="Q62" i="10"/>
  <c r="Q70" i="10"/>
  <c r="Q78" i="10"/>
  <c r="Q86" i="10"/>
  <c r="Q94" i="10"/>
  <c r="S20" i="10"/>
  <c r="S24" i="10"/>
  <c r="S36" i="10"/>
  <c r="S44" i="10"/>
  <c r="S52" i="10"/>
  <c r="S56" i="10"/>
  <c r="S60" i="10"/>
  <c r="S64" i="10"/>
  <c r="S68" i="10"/>
  <c r="S72" i="10"/>
  <c r="S76" i="10"/>
  <c r="S80" i="10"/>
  <c r="S84" i="10"/>
  <c r="S88" i="10"/>
  <c r="S92" i="10"/>
  <c r="S96" i="10"/>
  <c r="S100" i="10"/>
  <c r="S104" i="10"/>
  <c r="T16" i="10"/>
  <c r="T20" i="10"/>
  <c r="T24" i="10"/>
  <c r="T28" i="10"/>
  <c r="T32" i="10"/>
  <c r="T36" i="10"/>
  <c r="T40" i="10"/>
  <c r="T44" i="10"/>
  <c r="T48" i="10"/>
  <c r="T52" i="10"/>
  <c r="T56" i="10"/>
  <c r="T60" i="10"/>
  <c r="T64" i="10"/>
  <c r="T68" i="10"/>
  <c r="T72" i="10"/>
  <c r="T76" i="10"/>
  <c r="T80" i="10"/>
  <c r="T84" i="10"/>
  <c r="T88" i="10"/>
  <c r="T92" i="10"/>
  <c r="T96" i="10"/>
  <c r="P6" i="10"/>
  <c r="BD167" i="1"/>
  <c r="BC168" i="1"/>
  <c r="BI168" i="1"/>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Q17" i="10"/>
  <c r="Q21" i="10"/>
  <c r="Q25" i="10"/>
  <c r="Q29" i="10"/>
  <c r="Q33" i="10"/>
  <c r="Q37" i="10"/>
  <c r="Q41" i="10"/>
  <c r="Q45" i="10"/>
  <c r="Q49" i="10"/>
  <c r="Q53" i="10"/>
  <c r="Q57" i="10"/>
  <c r="Q61" i="10"/>
  <c r="Q65" i="10"/>
  <c r="Q69" i="10"/>
  <c r="Q73" i="10"/>
  <c r="Q77" i="10"/>
  <c r="Q81" i="10"/>
  <c r="Q85" i="10"/>
  <c r="Q89" i="10"/>
  <c r="Q93" i="10"/>
  <c r="Q97" i="10"/>
  <c r="Q101" i="10"/>
  <c r="Q105" i="10"/>
  <c r="S17" i="10"/>
  <c r="S21" i="10"/>
  <c r="S25" i="10"/>
  <c r="S29" i="10"/>
  <c r="S33" i="10"/>
  <c r="S37" i="10"/>
  <c r="S41" i="10"/>
  <c r="S45" i="10"/>
  <c r="S49" i="10"/>
  <c r="S53" i="10"/>
  <c r="S57" i="10"/>
  <c r="S61" i="10"/>
  <c r="S65" i="10"/>
  <c r="S69" i="10"/>
  <c r="S73" i="10"/>
  <c r="S77" i="10"/>
  <c r="S81" i="10"/>
  <c r="S85" i="10"/>
  <c r="S89" i="10"/>
  <c r="S93" i="10"/>
  <c r="S97" i="10"/>
  <c r="S101" i="10"/>
  <c r="S105" i="10"/>
  <c r="BP167" i="1"/>
  <c r="BM168" i="1"/>
  <c r="BQ168" i="1"/>
  <c r="T19" i="10"/>
  <c r="T23" i="10"/>
  <c r="T27" i="10"/>
  <c r="T31" i="10"/>
  <c r="T35" i="10"/>
  <c r="T39" i="10"/>
  <c r="T43" i="10"/>
  <c r="T47" i="10"/>
  <c r="T51" i="10"/>
  <c r="T55" i="10"/>
  <c r="T59" i="10"/>
  <c r="T63" i="10"/>
  <c r="T67" i="10"/>
  <c r="T71" i="10"/>
  <c r="T75" i="10"/>
  <c r="T79" i="10"/>
  <c r="T83" i="10"/>
  <c r="T87" i="10"/>
  <c r="T91" i="10"/>
  <c r="T95" i="10"/>
  <c r="T99" i="10"/>
  <c r="T103" i="10"/>
  <c r="U17" i="10"/>
  <c r="U21" i="10"/>
  <c r="U25" i="10"/>
  <c r="U29" i="10"/>
  <c r="U33" i="10"/>
  <c r="U37" i="10"/>
  <c r="U41" i="10"/>
  <c r="U45" i="10"/>
  <c r="U49" i="10"/>
  <c r="U53" i="10"/>
  <c r="U57" i="10"/>
  <c r="U61" i="10"/>
  <c r="U65" i="10"/>
  <c r="U69" i="10"/>
  <c r="U73" i="10"/>
  <c r="U77" i="10"/>
  <c r="U81" i="10"/>
  <c r="U85" i="10"/>
  <c r="U89" i="10"/>
  <c r="U93" i="10"/>
  <c r="U97" i="10"/>
  <c r="U101" i="10"/>
  <c r="U105" i="10"/>
  <c r="X19" i="10"/>
  <c r="X23" i="10"/>
  <c r="X27" i="10"/>
  <c r="X31" i="10"/>
  <c r="X35" i="10"/>
  <c r="X39" i="10"/>
  <c r="X43" i="10"/>
  <c r="X47" i="10"/>
  <c r="X51" i="10"/>
  <c r="X55" i="10"/>
  <c r="X59" i="10"/>
  <c r="X63" i="10"/>
  <c r="X67" i="10"/>
  <c r="X71" i="10"/>
  <c r="X75" i="10"/>
  <c r="X79" i="10"/>
  <c r="X83" i="10"/>
  <c r="X87" i="10"/>
  <c r="X91" i="10"/>
  <c r="X95" i="10"/>
  <c r="X99" i="10"/>
  <c r="X103" i="10"/>
  <c r="AC222" i="1"/>
  <c r="Q18" i="10"/>
  <c r="Q30" i="10"/>
  <c r="Q42" i="10"/>
  <c r="Q50" i="10"/>
  <c r="Q58" i="10"/>
  <c r="Q66" i="10"/>
  <c r="Q74" i="10"/>
  <c r="Q82" i="10"/>
  <c r="Q90" i="10"/>
  <c r="Q98" i="10"/>
  <c r="Q102" i="10"/>
  <c r="S28" i="10"/>
  <c r="S32" i="10"/>
  <c r="S40" i="10"/>
  <c r="S48" i="10"/>
  <c r="BO167" i="1"/>
  <c r="BD168" i="1"/>
  <c r="Q20" i="10"/>
  <c r="Q24" i="10"/>
  <c r="Q28" i="10"/>
  <c r="Q32" i="10"/>
  <c r="Q36" i="10"/>
  <c r="Q40" i="10"/>
  <c r="Q44" i="10"/>
  <c r="Q48" i="10"/>
  <c r="Q52" i="10"/>
  <c r="Q56" i="10"/>
  <c r="Q60" i="10"/>
  <c r="Q64" i="10"/>
  <c r="Q68" i="10"/>
  <c r="Q72" i="10"/>
  <c r="Q76" i="10"/>
  <c r="Q80" i="10"/>
  <c r="Q84" i="10"/>
  <c r="Q88" i="10"/>
  <c r="Q92" i="10"/>
  <c r="Q96" i="10"/>
  <c r="Q100" i="10"/>
  <c r="Q104" i="10"/>
  <c r="S18" i="10"/>
  <c r="S22" i="10"/>
  <c r="S26" i="10"/>
  <c r="S30" i="10"/>
  <c r="S34" i="10"/>
  <c r="S38" i="10"/>
  <c r="S42" i="10"/>
  <c r="S46" i="10"/>
  <c r="S50" i="10"/>
  <c r="S54" i="10"/>
  <c r="S58" i="10"/>
  <c r="S62" i="10"/>
  <c r="S66" i="10"/>
  <c r="S70" i="10"/>
  <c r="S74" i="10"/>
  <c r="S78" i="10"/>
  <c r="S82" i="10"/>
  <c r="S86" i="10"/>
  <c r="S90" i="10"/>
  <c r="S94" i="10"/>
  <c r="S98" i="10"/>
  <c r="S102" i="10"/>
  <c r="BM167" i="1"/>
  <c r="BQ167" i="1"/>
  <c r="BN168" i="1"/>
  <c r="BR168" i="1"/>
  <c r="T18" i="10"/>
  <c r="T22" i="10"/>
  <c r="T26" i="10"/>
  <c r="T30" i="10"/>
  <c r="T34" i="10"/>
  <c r="T38" i="10"/>
  <c r="T42" i="10"/>
  <c r="T46" i="10"/>
  <c r="T50" i="10"/>
  <c r="T54" i="10"/>
  <c r="T58" i="10"/>
  <c r="T62" i="10"/>
  <c r="T66" i="10"/>
  <c r="T70" i="10"/>
  <c r="T74" i="10"/>
  <c r="T78" i="10"/>
  <c r="T82" i="10"/>
  <c r="T86" i="10"/>
  <c r="T90" i="10"/>
  <c r="T94" i="10"/>
  <c r="T98" i="10"/>
  <c r="T102" i="10"/>
  <c r="U18" i="10"/>
  <c r="U22" i="10"/>
  <c r="U26" i="10"/>
  <c r="U30" i="10"/>
  <c r="U34" i="10"/>
  <c r="U38" i="10"/>
  <c r="U42" i="10"/>
  <c r="U46" i="10"/>
  <c r="U50" i="10"/>
  <c r="U54" i="10"/>
  <c r="U58" i="10"/>
  <c r="U62" i="10"/>
  <c r="U66" i="10"/>
  <c r="U70" i="10"/>
  <c r="U74" i="10"/>
  <c r="U78" i="10"/>
  <c r="U82" i="10"/>
  <c r="U86" i="10"/>
  <c r="U90" i="10"/>
  <c r="U94" i="10"/>
  <c r="U98" i="10"/>
  <c r="U102" i="10"/>
  <c r="X16" i="10"/>
  <c r="X20" i="10"/>
  <c r="X24" i="10"/>
  <c r="X28" i="10"/>
  <c r="X32" i="10"/>
  <c r="X36" i="10"/>
  <c r="X40" i="10"/>
  <c r="X44" i="10"/>
  <c r="X48" i="10"/>
  <c r="X52" i="10"/>
  <c r="X56" i="10"/>
  <c r="X60" i="10"/>
  <c r="X64" i="10"/>
  <c r="X68" i="10"/>
  <c r="X72" i="10"/>
  <c r="X76" i="10"/>
  <c r="X80" i="10"/>
  <c r="X84" i="10"/>
  <c r="X88" i="10"/>
  <c r="X92" i="10"/>
  <c r="X96" i="10"/>
  <c r="X100" i="10"/>
  <c r="X104" i="10"/>
  <c r="AL208" i="1"/>
  <c r="CK218" i="1"/>
  <c r="CL218" i="1" s="1"/>
  <c r="CK217" i="1"/>
  <c r="CL217" i="1" s="1"/>
  <c r="DP217" i="1"/>
  <c r="CU217" i="1"/>
  <c r="DI217" i="1"/>
  <c r="DI218" i="1"/>
  <c r="DJ218" i="1" s="1"/>
  <c r="P7" i="10"/>
  <c r="O17" i="10"/>
  <c r="Q168" i="1"/>
  <c r="S168" i="1"/>
  <c r="U168" i="1"/>
  <c r="Q16" i="10"/>
  <c r="S16" i="10"/>
  <c r="BE167" i="1"/>
  <c r="BI167" i="1"/>
  <c r="O187" i="1"/>
  <c r="O190" i="1" s="1"/>
  <c r="AI208" i="1"/>
  <c r="AK208" i="1"/>
  <c r="AM208" i="1"/>
  <c r="H186" i="1" l="1"/>
  <c r="I186" i="1"/>
  <c r="DT167" i="1"/>
  <c r="BI219" i="1"/>
  <c r="BI220" i="1"/>
  <c r="AA9" i="10"/>
  <c r="AA8" i="10"/>
  <c r="AM218" i="1"/>
  <c r="AN218" i="1" s="1"/>
  <c r="AM217" i="1"/>
  <c r="AN217" i="1" s="1"/>
  <c r="Y191" i="1"/>
  <c r="Y211" i="1"/>
  <c r="Y213" i="1" s="1"/>
  <c r="Y212" i="1"/>
  <c r="Y192" i="1"/>
  <c r="BQ218" i="1"/>
  <c r="BR218" i="1" s="1"/>
  <c r="AC218" i="1"/>
  <c r="AD218" i="1" s="1"/>
  <c r="BQ217" i="1"/>
  <c r="BR217" i="1" s="1"/>
  <c r="CA218" i="1"/>
  <c r="CB218" i="1" s="1"/>
  <c r="CA217" i="1"/>
  <c r="CB217" i="1" s="1"/>
  <c r="BI218" i="1"/>
  <c r="BJ218" i="1" s="1"/>
  <c r="AD221" i="1"/>
  <c r="DJ217" i="1"/>
  <c r="DQ217" i="1"/>
  <c r="BI217" i="1"/>
  <c r="AC217" i="1"/>
  <c r="S218" i="1"/>
  <c r="T218" i="1" s="1"/>
  <c r="T217" i="1"/>
  <c r="AD217" i="1" l="1"/>
  <c r="BJ217" i="1"/>
  <c r="DB217" i="1"/>
  <c r="DB218" i="1" l="1"/>
  <c r="DC218" i="1" s="1"/>
  <c r="DT168" i="1"/>
  <c r="DC217" i="1"/>
  <c r="CV217" i="1"/>
  <c r="CV218" i="1"/>
  <c r="CX208" i="1"/>
  <c r="CX187" i="1"/>
  <c r="CX186" i="1"/>
  <c r="BR209" i="1" l="1"/>
  <c r="BR208" i="1"/>
  <c r="BR190" i="1" l="1"/>
  <c r="BR212" i="1" s="1"/>
  <c r="BR189" i="1"/>
  <c r="BR211" i="1" s="1"/>
  <c r="Q198" i="10" l="1"/>
  <c r="Q197" i="10"/>
  <c r="AR209" i="1"/>
  <c r="AP209" i="1"/>
  <c r="AM209" i="1"/>
  <c r="AL209" i="1"/>
  <c r="AK209" i="1"/>
  <c r="AJ209" i="1"/>
  <c r="AI209" i="1"/>
  <c r="X198" i="10"/>
  <c r="X197" i="10"/>
  <c r="AM222" i="1" l="1"/>
  <c r="AN222" i="1" s="1"/>
  <c r="AD222" i="1"/>
  <c r="P198" i="10"/>
  <c r="Z197" i="10"/>
  <c r="R198" i="10"/>
  <c r="O197" i="10"/>
  <c r="Y197" i="10"/>
  <c r="I197" i="10" s="1"/>
  <c r="P197" i="10"/>
  <c r="R197" i="10"/>
  <c r="O198" i="10"/>
  <c r="Y198" i="10"/>
  <c r="J197" i="10" s="1"/>
  <c r="Z198" i="10"/>
  <c r="W197" i="10"/>
  <c r="W198" i="10"/>
  <c r="V197" i="10"/>
  <c r="V198" i="10"/>
  <c r="U197" i="10"/>
  <c r="U198" i="10"/>
  <c r="T198" i="10"/>
  <c r="T197" i="10"/>
  <c r="S197" i="10"/>
  <c r="S198" i="10"/>
  <c r="I206" i="10" l="1"/>
  <c r="H206" i="10"/>
  <c r="H203" i="10"/>
  <c r="H207" i="10" s="1"/>
  <c r="W174" i="10" l="1"/>
  <c r="Z172" i="10" l="1"/>
  <c r="Z176" i="10"/>
  <c r="W172" i="10"/>
  <c r="W176" i="10"/>
  <c r="P105" i="10"/>
  <c r="P104" i="10"/>
  <c r="P103" i="10"/>
  <c r="P102" i="10"/>
  <c r="P101" i="10"/>
  <c r="P100" i="10"/>
  <c r="P99" i="10"/>
  <c r="P98" i="10"/>
  <c r="P97" i="10"/>
  <c r="P96" i="10"/>
  <c r="P95" i="10"/>
  <c r="P94" i="10"/>
  <c r="P93" i="10"/>
  <c r="P92" i="10"/>
  <c r="P91" i="10"/>
  <c r="P90" i="10"/>
  <c r="P51" i="10"/>
  <c r="P50" i="10"/>
  <c r="P49" i="10"/>
  <c r="P48" i="10"/>
  <c r="P47" i="10"/>
  <c r="P46" i="10"/>
  <c r="P45" i="10"/>
  <c r="P44" i="10"/>
  <c r="P43" i="10"/>
  <c r="P42" i="10"/>
  <c r="P41" i="10"/>
  <c r="P40" i="10"/>
  <c r="P39" i="10"/>
  <c r="P38" i="10"/>
  <c r="P37" i="10"/>
  <c r="P36" i="10"/>
  <c r="P35" i="10"/>
  <c r="P34" i="10"/>
  <c r="P33" i="10"/>
  <c r="P32" i="10"/>
  <c r="P31" i="10"/>
  <c r="P30" i="10"/>
  <c r="P29" i="10"/>
  <c r="P28" i="10"/>
  <c r="P27" i="10"/>
  <c r="P26" i="10"/>
  <c r="P25" i="10"/>
  <c r="P24" i="10"/>
  <c r="P23" i="10"/>
  <c r="P22" i="10"/>
  <c r="P21" i="10"/>
  <c r="P20" i="10"/>
  <c r="P19" i="10"/>
  <c r="P18" i="10"/>
  <c r="P65" i="10"/>
  <c r="P64" i="10"/>
  <c r="P63" i="10"/>
  <c r="P62" i="10"/>
  <c r="P61" i="10"/>
  <c r="P60" i="10"/>
  <c r="P59" i="10"/>
  <c r="P58" i="10"/>
  <c r="P57" i="10"/>
  <c r="P56" i="10"/>
  <c r="P55" i="10"/>
  <c r="P54" i="10"/>
  <c r="P53" i="10"/>
  <c r="P52" i="10"/>
  <c r="Q14" i="10"/>
  <c r="R12" i="10"/>
  <c r="Q12" i="10"/>
  <c r="Q10" i="10"/>
  <c r="R53" i="10" l="1"/>
  <c r="R55" i="10"/>
  <c r="R57" i="10"/>
  <c r="R59" i="10"/>
  <c r="R61" i="10"/>
  <c r="R63" i="10"/>
  <c r="R65" i="10"/>
  <c r="R18" i="10"/>
  <c r="R20" i="10"/>
  <c r="R22" i="10"/>
  <c r="R24" i="10"/>
  <c r="R26" i="10"/>
  <c r="R28" i="10"/>
  <c r="R30" i="10"/>
  <c r="R32" i="10"/>
  <c r="R34" i="10"/>
  <c r="R36" i="10"/>
  <c r="R38" i="10"/>
  <c r="R40" i="10"/>
  <c r="R42" i="10"/>
  <c r="R44" i="10"/>
  <c r="R46" i="10"/>
  <c r="R48" i="10"/>
  <c r="R50" i="10"/>
  <c r="R90" i="10"/>
  <c r="R92" i="10"/>
  <c r="R94" i="10"/>
  <c r="R96" i="10"/>
  <c r="R98" i="10"/>
  <c r="R100" i="10"/>
  <c r="R102" i="10"/>
  <c r="R104" i="10"/>
  <c r="R52" i="10"/>
  <c r="R54" i="10"/>
  <c r="R56" i="10"/>
  <c r="R58" i="10"/>
  <c r="R60" i="10"/>
  <c r="R62" i="10"/>
  <c r="R64" i="10"/>
  <c r="R19" i="10"/>
  <c r="R21" i="10"/>
  <c r="R23" i="10"/>
  <c r="R25" i="10"/>
  <c r="R27" i="10"/>
  <c r="R29" i="10"/>
  <c r="R31" i="10"/>
  <c r="R33" i="10"/>
  <c r="R35" i="10"/>
  <c r="R37" i="10"/>
  <c r="R39" i="10"/>
  <c r="R41" i="10"/>
  <c r="R43" i="10"/>
  <c r="R45" i="10"/>
  <c r="R47" i="10"/>
  <c r="R49" i="10"/>
  <c r="R51" i="10"/>
  <c r="R91" i="10"/>
  <c r="R93" i="10"/>
  <c r="R95" i="10"/>
  <c r="R97" i="10"/>
  <c r="R99" i="10"/>
  <c r="R101" i="10"/>
  <c r="R103" i="10"/>
  <c r="R105" i="10"/>
  <c r="P16" i="10"/>
  <c r="R16" i="10"/>
  <c r="P17" i="10"/>
  <c r="R17" i="10"/>
  <c r="P10" i="10"/>
  <c r="P12" i="10"/>
  <c r="R14" i="10"/>
  <c r="T14" i="10"/>
  <c r="Y10" i="10"/>
  <c r="Z10" i="10"/>
  <c r="Y12" i="10"/>
  <c r="X14" i="10"/>
  <c r="O15" i="10"/>
  <c r="R10" i="10"/>
  <c r="T10" i="10"/>
  <c r="X10" i="10"/>
  <c r="O11" i="10"/>
  <c r="X12" i="10"/>
  <c r="O13" i="10"/>
  <c r="P14" i="10"/>
  <c r="Y14" i="10"/>
  <c r="Z14" i="10"/>
  <c r="W10" i="10"/>
  <c r="W12" i="10"/>
  <c r="W14" i="10"/>
  <c r="V10" i="10"/>
  <c r="V12" i="10"/>
  <c r="V14" i="10"/>
  <c r="U10" i="10"/>
  <c r="U12" i="10"/>
  <c r="U14" i="10"/>
  <c r="T12" i="10"/>
  <c r="S12" i="10"/>
  <c r="S10" i="10"/>
  <c r="S14" i="10"/>
  <c r="Z12" i="10"/>
  <c r="O10" i="10"/>
  <c r="P11" i="10"/>
  <c r="Q11" i="10"/>
  <c r="R11" i="10"/>
  <c r="S11" i="10"/>
  <c r="T11" i="10"/>
  <c r="U11" i="10"/>
  <c r="V11" i="10"/>
  <c r="W11" i="10"/>
  <c r="X11" i="10"/>
  <c r="Y11" i="10"/>
  <c r="Z11" i="10"/>
  <c r="O12" i="10"/>
  <c r="P13" i="10"/>
  <c r="Q13" i="10"/>
  <c r="R13" i="10"/>
  <c r="S13" i="10"/>
  <c r="T13" i="10"/>
  <c r="U13" i="10"/>
  <c r="V13" i="10"/>
  <c r="W13" i="10"/>
  <c r="X13" i="10"/>
  <c r="Y13" i="10"/>
  <c r="Z13" i="10"/>
  <c r="O14" i="10"/>
  <c r="P15" i="10"/>
  <c r="Q15" i="10"/>
  <c r="R15" i="10"/>
  <c r="S15" i="10"/>
  <c r="T15" i="10"/>
  <c r="U15" i="10"/>
  <c r="V15" i="10"/>
  <c r="W15" i="10"/>
  <c r="X15" i="10"/>
  <c r="Y15" i="10"/>
  <c r="Z15" i="10"/>
  <c r="AA47" i="10" l="1"/>
  <c r="AA45" i="10"/>
  <c r="AA49" i="10"/>
  <c r="AA43" i="10"/>
  <c r="AA41" i="10"/>
  <c r="AA55" i="10"/>
  <c r="AA91" i="10"/>
  <c r="AA63" i="10"/>
  <c r="AA59" i="10"/>
  <c r="AA56" i="10"/>
  <c r="AA105" i="10"/>
  <c r="AA101" i="10"/>
  <c r="AA97" i="10"/>
  <c r="AA51" i="10"/>
  <c r="AA92" i="10"/>
  <c r="AA90" i="10"/>
  <c r="AA64" i="10"/>
  <c r="AA62" i="10"/>
  <c r="AA60" i="10"/>
  <c r="AA58" i="10"/>
  <c r="AA53" i="10"/>
  <c r="AA52" i="10"/>
  <c r="AA28" i="10"/>
  <c r="AA26" i="10"/>
  <c r="AA24" i="10"/>
  <c r="AA20" i="10"/>
  <c r="AA18" i="10"/>
  <c r="AA16" i="10"/>
  <c r="AA14" i="10"/>
  <c r="AA12" i="10"/>
  <c r="AA10" i="10"/>
  <c r="AA93" i="10"/>
  <c r="AA65" i="10"/>
  <c r="AA61" i="10"/>
  <c r="AA57" i="10"/>
  <c r="AA54" i="10"/>
  <c r="AA103" i="10"/>
  <c r="AA99" i="10"/>
  <c r="AA95" i="10"/>
  <c r="AA104" i="10"/>
  <c r="AA102" i="10"/>
  <c r="AA100" i="10"/>
  <c r="AA98" i="10"/>
  <c r="AA96" i="10"/>
  <c r="AA94" i="10"/>
  <c r="AA50" i="10"/>
  <c r="AA48" i="10"/>
  <c r="AA46" i="10"/>
  <c r="AA44" i="10"/>
  <c r="AA42" i="10"/>
  <c r="AA40" i="10"/>
  <c r="AA38" i="10"/>
  <c r="AA39" i="10"/>
  <c r="AA36" i="10"/>
  <c r="AA37" i="10"/>
  <c r="AA35" i="10"/>
  <c r="AA34" i="10"/>
  <c r="AA33" i="10"/>
  <c r="AA31" i="10"/>
  <c r="AA29" i="10"/>
  <c r="AA27" i="10"/>
  <c r="AA23" i="10"/>
  <c r="AA21" i="10"/>
  <c r="AA19" i="10"/>
  <c r="AA17" i="10"/>
  <c r="AA15" i="10"/>
  <c r="AA11" i="10"/>
  <c r="AA32" i="10"/>
  <c r="AA30" i="10"/>
  <c r="AA22" i="10"/>
  <c r="AA25" i="10"/>
  <c r="AA13" i="10"/>
  <c r="Q180" i="10"/>
  <c r="Q179" i="10"/>
  <c r="Q172" i="10"/>
  <c r="Q173" i="10" l="1"/>
  <c r="Q174" i="10"/>
  <c r="Q175" i="10"/>
  <c r="Q176" i="10"/>
  <c r="Q177" i="10"/>
  <c r="Q178" i="10"/>
  <c r="Q181" i="10"/>
  <c r="Q182" i="10"/>
  <c r="Q183" i="10"/>
  <c r="Q193" i="10"/>
  <c r="Q194" i="10"/>
  <c r="Q196" i="10"/>
  <c r="Q199" i="10"/>
  <c r="Q200" i="10"/>
  <c r="Q201" i="10"/>
  <c r="Q202" i="10"/>
  <c r="Q6" i="10"/>
  <c r="Q7" i="10"/>
  <c r="Q167" i="10" l="1"/>
  <c r="E5" i="12" s="1"/>
  <c r="Q166" i="10"/>
  <c r="E4" i="12" s="1"/>
  <c r="Q184" i="10"/>
  <c r="Q204" i="10"/>
  <c r="Q185" i="10"/>
  <c r="E9" i="12" s="1"/>
  <c r="O6" i="10"/>
  <c r="O166" i="10" s="1"/>
  <c r="Y196" i="10"/>
  <c r="X196" i="10"/>
  <c r="W196" i="10"/>
  <c r="S196" i="10"/>
  <c r="R196" i="10"/>
  <c r="P196" i="10"/>
  <c r="X176" i="10"/>
  <c r="X174" i="10"/>
  <c r="P174" i="10"/>
  <c r="Q187" i="10" l="1"/>
  <c r="E11" i="12" s="1"/>
  <c r="E8" i="12"/>
  <c r="E6" i="12"/>
  <c r="Q188" i="10"/>
  <c r="S174" i="10"/>
  <c r="R174" i="10"/>
  <c r="Z174" i="10"/>
  <c r="S176" i="10"/>
  <c r="Y174" i="10"/>
  <c r="Y172" i="10"/>
  <c r="P176" i="10"/>
  <c r="R176" i="10"/>
  <c r="Y176" i="10"/>
  <c r="Z196" i="10"/>
  <c r="V172" i="10"/>
  <c r="V174" i="10"/>
  <c r="V176" i="10"/>
  <c r="V196" i="10"/>
  <c r="U172" i="10"/>
  <c r="U174" i="10"/>
  <c r="U176" i="10"/>
  <c r="U196" i="10"/>
  <c r="T172" i="10"/>
  <c r="T174" i="10"/>
  <c r="T176" i="10"/>
  <c r="T196" i="10"/>
  <c r="P172" i="10"/>
  <c r="R172" i="10"/>
  <c r="AS186" i="1"/>
  <c r="O195" i="10"/>
  <c r="S172" i="10"/>
  <c r="P195" i="10"/>
  <c r="R195" i="10"/>
  <c r="S195" i="10"/>
  <c r="T195" i="10"/>
  <c r="U195" i="10"/>
  <c r="V195" i="10"/>
  <c r="W195" i="10"/>
  <c r="X195" i="10"/>
  <c r="O196" i="10"/>
  <c r="X172" i="10"/>
  <c r="J195" i="10"/>
  <c r="Y195" i="10"/>
  <c r="Z195" i="10"/>
  <c r="Q207" i="10" l="1"/>
  <c r="E12" i="12"/>
  <c r="I195" i="10"/>
  <c r="O176" i="10"/>
  <c r="O174" i="10"/>
  <c r="O172" i="10"/>
  <c r="O186" i="1"/>
  <c r="AI110" i="8"/>
  <c r="AI107" i="8" s="1"/>
  <c r="AI97" i="8"/>
  <c r="AI94" i="8" s="1"/>
  <c r="AI84" i="8"/>
  <c r="AI81" i="8" s="1"/>
  <c r="AI71" i="8"/>
  <c r="AI68" i="8" s="1"/>
  <c r="AI58" i="8"/>
  <c r="AI55" i="8" s="1"/>
  <c r="AI157" i="8"/>
  <c r="AH157" i="8"/>
  <c r="AI156" i="8"/>
  <c r="AH156" i="8"/>
  <c r="AI155" i="8"/>
  <c r="AH155" i="8"/>
  <c r="AI137" i="8"/>
  <c r="AH137" i="8"/>
  <c r="AI136" i="8"/>
  <c r="AH136" i="8"/>
  <c r="AI135" i="8"/>
  <c r="AH135" i="8"/>
  <c r="AI147" i="8"/>
  <c r="AH147" i="8"/>
  <c r="AI146" i="8"/>
  <c r="AH146" i="8"/>
  <c r="AI145" i="8"/>
  <c r="AH145" i="8"/>
  <c r="AI128" i="8"/>
  <c r="AI125" i="8"/>
  <c r="AI114" i="8"/>
  <c r="AH114" i="8"/>
  <c r="AI113" i="8"/>
  <c r="AH113" i="8"/>
  <c r="AI112" i="8"/>
  <c r="AH112" i="8"/>
  <c r="AI101" i="8"/>
  <c r="AH101" i="8"/>
  <c r="AI100" i="8"/>
  <c r="AH100" i="8"/>
  <c r="AI99" i="8"/>
  <c r="AH99" i="8"/>
  <c r="AI88" i="8"/>
  <c r="AI87" i="8"/>
  <c r="AI86" i="8"/>
  <c r="AI78" i="8"/>
  <c r="AH78" i="8"/>
  <c r="AI77" i="8"/>
  <c r="AH77" i="8"/>
  <c r="AI73" i="8"/>
  <c r="AH73" i="8"/>
  <c r="AI61" i="8"/>
  <c r="AH61" i="8"/>
  <c r="AI60" i="8"/>
  <c r="AH60" i="8"/>
  <c r="AI59" i="8"/>
  <c r="AH59" i="8"/>
  <c r="E13" i="12" l="1"/>
  <c r="O189" i="1"/>
  <c r="DP209" i="1"/>
  <c r="DO209" i="1"/>
  <c r="DN209" i="1"/>
  <c r="DM209" i="1"/>
  <c r="DP208" i="1"/>
  <c r="DO208" i="1"/>
  <c r="DN208" i="1"/>
  <c r="DM208" i="1"/>
  <c r="X202" i="10"/>
  <c r="X201" i="10"/>
  <c r="X200" i="10"/>
  <c r="X199" i="10"/>
  <c r="DB209" i="1"/>
  <c r="DA209" i="1"/>
  <c r="CZ209" i="1"/>
  <c r="CY209" i="1"/>
  <c r="DB208" i="1"/>
  <c r="DA208" i="1"/>
  <c r="CZ208" i="1"/>
  <c r="CY208" i="1"/>
  <c r="CU209" i="1"/>
  <c r="CT209" i="1"/>
  <c r="CS209" i="1"/>
  <c r="CR209" i="1"/>
  <c r="CU208" i="1"/>
  <c r="CT208" i="1"/>
  <c r="CS208" i="1"/>
  <c r="CR208" i="1"/>
  <c r="T209" i="1"/>
  <c r="S209" i="1"/>
  <c r="T208" i="1"/>
  <c r="S208" i="1"/>
  <c r="X208" i="1"/>
  <c r="U208" i="1"/>
  <c r="R208" i="1"/>
  <c r="Q208" i="1"/>
  <c r="P208" i="1"/>
  <c r="O193" i="10"/>
  <c r="X182" i="10"/>
  <c r="X181" i="10"/>
  <c r="X178" i="10"/>
  <c r="X177" i="10"/>
  <c r="X175" i="10"/>
  <c r="X173" i="10"/>
  <c r="O178" i="10"/>
  <c r="O175" i="10"/>
  <c r="DB221" i="1" l="1"/>
  <c r="DT208" i="1"/>
  <c r="CS187" i="1"/>
  <c r="CR187" i="1"/>
  <c r="CT187" i="1"/>
  <c r="O209" i="1"/>
  <c r="Q209" i="1"/>
  <c r="U209" i="1"/>
  <c r="O181" i="10"/>
  <c r="CU187" i="1"/>
  <c r="Z179" i="10"/>
  <c r="Z183" i="10"/>
  <c r="P209" i="1"/>
  <c r="R209" i="1"/>
  <c r="X209" i="1"/>
  <c r="Z200" i="10"/>
  <c r="Z202" i="10"/>
  <c r="O183" i="10"/>
  <c r="Z180" i="10"/>
  <c r="O201" i="10"/>
  <c r="Z199" i="10"/>
  <c r="Z201" i="10"/>
  <c r="W179" i="10"/>
  <c r="CQ187" i="1"/>
  <c r="W180" i="10"/>
  <c r="W183" i="10"/>
  <c r="W199" i="10"/>
  <c r="W200" i="10"/>
  <c r="W201" i="10"/>
  <c r="W202" i="10"/>
  <c r="O179" i="10"/>
  <c r="O199" i="10"/>
  <c r="O208" i="1"/>
  <c r="W193" i="10"/>
  <c r="CQ208" i="1"/>
  <c r="W194" i="10"/>
  <c r="CQ209" i="1"/>
  <c r="CU222" i="1" s="1"/>
  <c r="X193" i="10"/>
  <c r="X194" i="10"/>
  <c r="X204" i="10" s="1"/>
  <c r="CX209" i="1"/>
  <c r="DT209" i="1" s="1"/>
  <c r="Z193" i="10"/>
  <c r="DL208" i="1"/>
  <c r="DP221" i="1" s="1"/>
  <c r="DQ221" i="1" s="1"/>
  <c r="Z194" i="10"/>
  <c r="DL209" i="1"/>
  <c r="DP222" i="1" s="1"/>
  <c r="DQ222" i="1" s="1"/>
  <c r="Z6" i="10"/>
  <c r="Z7" i="10"/>
  <c r="Z167" i="10" s="1"/>
  <c r="O173" i="10"/>
  <c r="O177" i="10"/>
  <c r="O180" i="10"/>
  <c r="O182" i="10"/>
  <c r="W173" i="10"/>
  <c r="W175" i="10"/>
  <c r="W177" i="10"/>
  <c r="W178" i="10"/>
  <c r="W181" i="10"/>
  <c r="W182" i="10"/>
  <c r="X179" i="10"/>
  <c r="X180" i="10"/>
  <c r="X184" i="10" s="1"/>
  <c r="L8" i="12" s="1"/>
  <c r="X183" i="10"/>
  <c r="Z173" i="10"/>
  <c r="Z175" i="10"/>
  <c r="Z177" i="10"/>
  <c r="Z178" i="10"/>
  <c r="Z181" i="10"/>
  <c r="Z182" i="10"/>
  <c r="O194" i="10"/>
  <c r="O200" i="10"/>
  <c r="O202" i="10"/>
  <c r="Z166" i="10" l="1"/>
  <c r="N4" i="12" s="1"/>
  <c r="CU221" i="1"/>
  <c r="CV221" i="1" s="1"/>
  <c r="X185" i="10"/>
  <c r="L9" i="12" s="1"/>
  <c r="S221" i="1"/>
  <c r="T221" i="1" s="1"/>
  <c r="CU220" i="1"/>
  <c r="CU224" i="1" s="1"/>
  <c r="N5" i="12"/>
  <c r="CV222" i="1"/>
  <c r="DB222" i="1"/>
  <c r="X203" i="10"/>
  <c r="W203" i="10"/>
  <c r="S222" i="1"/>
  <c r="T222" i="1" s="1"/>
  <c r="O211" i="1"/>
  <c r="O203" i="10"/>
  <c r="Z204" i="10"/>
  <c r="Z203" i="10"/>
  <c r="CQ190" i="1"/>
  <c r="W204" i="10"/>
  <c r="O204" i="10"/>
  <c r="O184" i="10"/>
  <c r="C8" i="12" s="1"/>
  <c r="C4" i="12"/>
  <c r="W6" i="10"/>
  <c r="W166" i="10" s="1"/>
  <c r="W7" i="10"/>
  <c r="W167" i="10" s="1"/>
  <c r="X6" i="10"/>
  <c r="X166" i="10" s="1"/>
  <c r="X7" i="10"/>
  <c r="X167" i="10" s="1"/>
  <c r="Z184" i="10"/>
  <c r="N8" i="12" s="1"/>
  <c r="W185" i="10"/>
  <c r="K9" i="12" s="1"/>
  <c r="O7" i="10"/>
  <c r="O167" i="10" s="1"/>
  <c r="Z185" i="10"/>
  <c r="N9" i="12" s="1"/>
  <c r="W184" i="10"/>
  <c r="K8" i="12" s="1"/>
  <c r="O185" i="10"/>
  <c r="C9" i="12" s="1"/>
  <c r="CK209" i="1"/>
  <c r="CJ209" i="1"/>
  <c r="CK208" i="1"/>
  <c r="CJ208" i="1"/>
  <c r="CA209" i="1"/>
  <c r="BZ209" i="1"/>
  <c r="BQ209" i="1"/>
  <c r="BP209" i="1"/>
  <c r="BP208" i="1"/>
  <c r="BI209" i="1"/>
  <c r="BH209" i="1"/>
  <c r="BI208" i="1"/>
  <c r="BH208" i="1"/>
  <c r="AV209" i="1"/>
  <c r="AU209" i="1"/>
  <c r="DM186" i="1"/>
  <c r="DN186" i="1"/>
  <c r="DO186" i="1"/>
  <c r="DO189" i="1" s="1"/>
  <c r="DP186" i="1"/>
  <c r="DM187" i="1"/>
  <c r="DP187" i="1"/>
  <c r="DP190" i="1" s="1"/>
  <c r="DP212" i="1" s="1"/>
  <c r="DO187" i="1"/>
  <c r="DO190" i="1" s="1"/>
  <c r="DN187" i="1"/>
  <c r="DA187" i="1"/>
  <c r="DA190" i="1" s="1"/>
  <c r="DA212" i="1" s="1"/>
  <c r="CZ187" i="1"/>
  <c r="DA186" i="1"/>
  <c r="DA189" i="1" s="1"/>
  <c r="DA211" i="1" s="1"/>
  <c r="CZ186" i="1"/>
  <c r="CU190" i="1"/>
  <c r="CU212" i="1" s="1"/>
  <c r="CU186" i="1"/>
  <c r="CU189" i="1" s="1"/>
  <c r="CU211" i="1" s="1"/>
  <c r="CT186" i="1"/>
  <c r="CT189" i="1" s="1"/>
  <c r="CT211" i="1" s="1"/>
  <c r="BZ187" i="1"/>
  <c r="AM187" i="1"/>
  <c r="AM190" i="1" s="1"/>
  <c r="AL187" i="1"/>
  <c r="AL190" i="1" s="1"/>
  <c r="AM186" i="1"/>
  <c r="AM189" i="1" s="1"/>
  <c r="AL186" i="1"/>
  <c r="AL189" i="1" s="1"/>
  <c r="U187" i="1"/>
  <c r="U190" i="1" s="1"/>
  <c r="T187" i="1"/>
  <c r="S187" i="1"/>
  <c r="S190" i="1" s="1"/>
  <c r="U186" i="1"/>
  <c r="U189" i="1" s="1"/>
  <c r="U211" i="1" s="1"/>
  <c r="T186" i="1"/>
  <c r="T189" i="1" s="1"/>
  <c r="S186" i="1"/>
  <c r="S189" i="1" s="1"/>
  <c r="CT190" i="1"/>
  <c r="CT212" i="1" s="1"/>
  <c r="AV168" i="1"/>
  <c r="AU168" i="1"/>
  <c r="AV167" i="1"/>
  <c r="AU167" i="1"/>
  <c r="N6" i="12" l="1"/>
  <c r="T190" i="1"/>
  <c r="T212" i="1" s="1"/>
  <c r="L5" i="12"/>
  <c r="L6" i="12" s="1"/>
  <c r="C5" i="12"/>
  <c r="C6" i="12" s="1"/>
  <c r="K5" i="12"/>
  <c r="K6" i="12" s="1"/>
  <c r="BI190" i="1"/>
  <c r="BI212" i="1" s="1"/>
  <c r="BP190" i="1"/>
  <c r="BP212" i="1" s="1"/>
  <c r="CK187" i="1"/>
  <c r="CK190" i="1" s="1"/>
  <c r="CK212" i="1" s="1"/>
  <c r="DH186" i="1"/>
  <c r="DH187" i="1"/>
  <c r="DI187" i="1"/>
  <c r="DI190" i="1" s="1"/>
  <c r="DI212" i="1" s="1"/>
  <c r="AV208" i="1"/>
  <c r="BP189" i="1"/>
  <c r="BP211" i="1" s="1"/>
  <c r="BQ190" i="1"/>
  <c r="BQ212" i="1" s="1"/>
  <c r="CA187" i="1"/>
  <c r="CA190" i="1" s="1"/>
  <c r="CA212" i="1" s="1"/>
  <c r="CA208" i="1"/>
  <c r="BH189" i="1"/>
  <c r="BH211" i="1" s="1"/>
  <c r="BQ189" i="1"/>
  <c r="DI186" i="1"/>
  <c r="AU208" i="1"/>
  <c r="BQ208" i="1"/>
  <c r="BZ208" i="1"/>
  <c r="BH190" i="1"/>
  <c r="BH212" i="1" s="1"/>
  <c r="Z188" i="10"/>
  <c r="N12" i="12" s="1"/>
  <c r="Z187" i="10"/>
  <c r="AU186" i="1"/>
  <c r="AU189" i="1" s="1"/>
  <c r="BZ186" i="1"/>
  <c r="BZ189" i="1" s="1"/>
  <c r="CA186" i="1"/>
  <c r="CA189" i="1" s="1"/>
  <c r="CJ187" i="1"/>
  <c r="CJ186" i="1"/>
  <c r="CJ189" i="1" s="1"/>
  <c r="CJ211" i="1" s="1"/>
  <c r="CK186" i="1"/>
  <c r="CK189" i="1" s="1"/>
  <c r="CK211" i="1" s="1"/>
  <c r="AU187" i="1"/>
  <c r="AU190" i="1" s="1"/>
  <c r="AU212" i="1" s="1"/>
  <c r="AV186" i="1"/>
  <c r="AV189" i="1" s="1"/>
  <c r="AV187" i="1"/>
  <c r="AV190" i="1" s="1"/>
  <c r="AV212" i="1" s="1"/>
  <c r="S211" i="1"/>
  <c r="AM211" i="1"/>
  <c r="CZ189" i="1"/>
  <c r="CZ211" i="1" s="1"/>
  <c r="CZ190" i="1"/>
  <c r="CZ212" i="1" s="1"/>
  <c r="AL211" i="1"/>
  <c r="BI189" i="1"/>
  <c r="BI211" i="1" s="1"/>
  <c r="AM212" i="1"/>
  <c r="AL212" i="1"/>
  <c r="DO211" i="1"/>
  <c r="DO212" i="1"/>
  <c r="T211" i="1"/>
  <c r="S212" i="1"/>
  <c r="U212" i="1"/>
  <c r="DP189" i="1"/>
  <c r="DP211" i="1" s="1"/>
  <c r="CI209" i="1"/>
  <c r="CH209" i="1"/>
  <c r="CI208" i="1"/>
  <c r="CH208" i="1"/>
  <c r="V177" i="10"/>
  <c r="V175" i="10"/>
  <c r="BY209" i="1"/>
  <c r="BX209" i="1"/>
  <c r="BX187" i="1"/>
  <c r="X187" i="10" l="1"/>
  <c r="L4" i="12"/>
  <c r="Z206" i="10"/>
  <c r="N11" i="12"/>
  <c r="W187" i="10"/>
  <c r="K4" i="12"/>
  <c r="Z207" i="10"/>
  <c r="AV211" i="1"/>
  <c r="W188" i="10"/>
  <c r="K12" i="12" s="1"/>
  <c r="X188" i="10"/>
  <c r="L12" i="12" s="1"/>
  <c r="O188" i="10"/>
  <c r="BZ211" i="1"/>
  <c r="AU211" i="1"/>
  <c r="DH190" i="1"/>
  <c r="DH212" i="1" s="1"/>
  <c r="BX208" i="1"/>
  <c r="BY187" i="1"/>
  <c r="DI189" i="1"/>
  <c r="DI211" i="1" s="1"/>
  <c r="BQ211" i="1"/>
  <c r="DH189" i="1"/>
  <c r="DH211" i="1" s="1"/>
  <c r="BY208" i="1"/>
  <c r="U181" i="10"/>
  <c r="CA211" i="1"/>
  <c r="V178" i="10"/>
  <c r="V182" i="10"/>
  <c r="CG208" i="1"/>
  <c r="CK221" i="1" s="1"/>
  <c r="CL221" i="1" s="1"/>
  <c r="CG209" i="1"/>
  <c r="U179" i="10"/>
  <c r="BW187" i="1"/>
  <c r="U180" i="10"/>
  <c r="U182" i="10"/>
  <c r="U183" i="10"/>
  <c r="U199" i="10"/>
  <c r="U200" i="10"/>
  <c r="U201" i="10"/>
  <c r="U202" i="10"/>
  <c r="O187" i="10"/>
  <c r="C11" i="12" s="1"/>
  <c r="U193" i="10"/>
  <c r="BW208" i="1"/>
  <c r="U194" i="10"/>
  <c r="BW209" i="1"/>
  <c r="CA222" i="1" s="1"/>
  <c r="V180" i="10"/>
  <c r="BZ190" i="1"/>
  <c r="BZ212" i="1" s="1"/>
  <c r="CJ190" i="1"/>
  <c r="CJ212" i="1" s="1"/>
  <c r="V6" i="10"/>
  <c r="V166" i="10" s="1"/>
  <c r="V7" i="10"/>
  <c r="V167" i="10" s="1"/>
  <c r="U6" i="10"/>
  <c r="U166" i="10" s="1"/>
  <c r="U7" i="10"/>
  <c r="U167" i="10" s="1"/>
  <c r="U173" i="10"/>
  <c r="U175" i="10"/>
  <c r="U177" i="10"/>
  <c r="U178" i="10"/>
  <c r="V179" i="10"/>
  <c r="V181" i="10"/>
  <c r="V183" i="10"/>
  <c r="V193" i="10"/>
  <c r="V194" i="10"/>
  <c r="V199" i="10"/>
  <c r="V200" i="10"/>
  <c r="V201" i="10"/>
  <c r="V202" i="10"/>
  <c r="Y181" i="10"/>
  <c r="T173" i="10"/>
  <c r="BO209" i="1"/>
  <c r="S194" i="10"/>
  <c r="BE208" i="1"/>
  <c r="AW209" i="1"/>
  <c r="AT209" i="1"/>
  <c r="AS209" i="1"/>
  <c r="AW208" i="1"/>
  <c r="P89" i="10"/>
  <c r="P88" i="10"/>
  <c r="P87" i="10"/>
  <c r="P86" i="10"/>
  <c r="P85" i="10"/>
  <c r="P84" i="10"/>
  <c r="P83" i="10"/>
  <c r="P82" i="10"/>
  <c r="P81" i="10"/>
  <c r="P80" i="10"/>
  <c r="P79" i="10"/>
  <c r="P78" i="10"/>
  <c r="P77" i="10"/>
  <c r="P76" i="10"/>
  <c r="P75" i="10"/>
  <c r="P74" i="10"/>
  <c r="P73" i="10"/>
  <c r="P72" i="10"/>
  <c r="P71" i="10"/>
  <c r="P70" i="10"/>
  <c r="P69" i="10"/>
  <c r="P68" i="10"/>
  <c r="P177" i="10"/>
  <c r="P175" i="10"/>
  <c r="P173" i="10"/>
  <c r="AT168" i="1" l="1"/>
  <c r="CA221" i="1"/>
  <c r="N13" i="12"/>
  <c r="AT167" i="1"/>
  <c r="AW168" i="1"/>
  <c r="O207" i="10"/>
  <c r="C12" i="12"/>
  <c r="X207" i="10"/>
  <c r="W207" i="10"/>
  <c r="W206" i="10"/>
  <c r="K11" i="12"/>
  <c r="X206" i="10"/>
  <c r="L11" i="12"/>
  <c r="CA220" i="1"/>
  <c r="CA224" i="1" s="1"/>
  <c r="R82" i="10"/>
  <c r="AA82" i="10" s="1"/>
  <c r="R69" i="10"/>
  <c r="AA69" i="10" s="1"/>
  <c r="R89" i="10"/>
  <c r="AA89" i="10" s="1"/>
  <c r="R83" i="10"/>
  <c r="AA83" i="10" s="1"/>
  <c r="R73" i="10"/>
  <c r="AA73" i="10" s="1"/>
  <c r="R77" i="10"/>
  <c r="AA77" i="10" s="1"/>
  <c r="U204" i="10"/>
  <c r="R87" i="10"/>
  <c r="AA87" i="10" s="1"/>
  <c r="J4" i="12"/>
  <c r="J5" i="12"/>
  <c r="AW222" i="1"/>
  <c r="R70" i="10"/>
  <c r="AA70" i="10" s="1"/>
  <c r="R74" i="10"/>
  <c r="AA74" i="10" s="1"/>
  <c r="R78" i="10"/>
  <c r="AA78" i="10" s="1"/>
  <c r="R86" i="10"/>
  <c r="AA86" i="10" s="1"/>
  <c r="R81" i="10"/>
  <c r="AA81" i="10" s="1"/>
  <c r="R85" i="10"/>
  <c r="AW167" i="1"/>
  <c r="R68" i="10"/>
  <c r="AA68" i="10" s="1"/>
  <c r="R72" i="10"/>
  <c r="AA72" i="10" s="1"/>
  <c r="R76" i="10"/>
  <c r="AA76" i="10" s="1"/>
  <c r="R80" i="10"/>
  <c r="AA80" i="10" s="1"/>
  <c r="R84" i="10"/>
  <c r="R88" i="10"/>
  <c r="AA88" i="10" s="1"/>
  <c r="CB222" i="1"/>
  <c r="CK222" i="1"/>
  <c r="CL222" i="1" s="1"/>
  <c r="R71" i="10"/>
  <c r="AA71" i="10" s="1"/>
  <c r="R75" i="10"/>
  <c r="AA75" i="10" s="1"/>
  <c r="R79" i="10"/>
  <c r="AA79" i="10" s="1"/>
  <c r="CB221" i="1"/>
  <c r="P66" i="10"/>
  <c r="P166" i="10" s="1"/>
  <c r="P67" i="10"/>
  <c r="P167" i="10" s="1"/>
  <c r="R66" i="10"/>
  <c r="AS167" i="1"/>
  <c r="R67" i="10"/>
  <c r="AS168" i="1"/>
  <c r="I5" i="12"/>
  <c r="I4" i="12"/>
  <c r="BN209" i="1"/>
  <c r="BN208" i="1"/>
  <c r="BV209" i="1"/>
  <c r="V184" i="10"/>
  <c r="J8" i="12" s="1"/>
  <c r="U203" i="10"/>
  <c r="R181" i="10"/>
  <c r="R182" i="10"/>
  <c r="R183" i="10"/>
  <c r="BE209" i="1"/>
  <c r="S201" i="10"/>
  <c r="Y202" i="10"/>
  <c r="J201" i="10" s="1"/>
  <c r="U184" i="10"/>
  <c r="I8" i="12" s="1"/>
  <c r="P200" i="10"/>
  <c r="P202" i="10"/>
  <c r="AS208" i="1"/>
  <c r="AT208" i="1"/>
  <c r="BD209" i="1"/>
  <c r="S202" i="10"/>
  <c r="Y182" i="10"/>
  <c r="Y183" i="10"/>
  <c r="Y201" i="10"/>
  <c r="I201" i="10" s="1"/>
  <c r="AC219" i="1"/>
  <c r="AC223" i="1" s="1"/>
  <c r="R179" i="10"/>
  <c r="S193" i="10"/>
  <c r="BO208" i="1"/>
  <c r="BV208" i="1"/>
  <c r="Y179" i="10"/>
  <c r="Y199" i="10"/>
  <c r="I199" i="10" s="1"/>
  <c r="Y200" i="10"/>
  <c r="J199" i="10" s="1"/>
  <c r="O206" i="10"/>
  <c r="P199" i="10"/>
  <c r="P201" i="10"/>
  <c r="P193" i="10"/>
  <c r="P194" i="10"/>
  <c r="P178" i="10"/>
  <c r="P180" i="10"/>
  <c r="S179" i="10"/>
  <c r="BC209" i="1"/>
  <c r="T180" i="10"/>
  <c r="Y193" i="10"/>
  <c r="Y194" i="10"/>
  <c r="T193" i="10"/>
  <c r="BM208" i="1"/>
  <c r="T194" i="10"/>
  <c r="BM209" i="1"/>
  <c r="T199" i="10"/>
  <c r="T200" i="10"/>
  <c r="T201" i="10"/>
  <c r="T202" i="10"/>
  <c r="T175" i="10"/>
  <c r="T177" i="10"/>
  <c r="T178" i="10"/>
  <c r="S181" i="10"/>
  <c r="BD208" i="1"/>
  <c r="S199" i="10"/>
  <c r="BC208" i="1"/>
  <c r="S200" i="10"/>
  <c r="V204" i="10"/>
  <c r="V203" i="10"/>
  <c r="U185" i="10"/>
  <c r="I9" i="12" s="1"/>
  <c r="R6" i="10"/>
  <c r="R7" i="10"/>
  <c r="P179" i="10"/>
  <c r="P181" i="10"/>
  <c r="P182" i="10"/>
  <c r="P183" i="10"/>
  <c r="R193" i="10"/>
  <c r="R194" i="10"/>
  <c r="R199" i="10"/>
  <c r="R200" i="10"/>
  <c r="R201" i="10"/>
  <c r="R202" i="10"/>
  <c r="R173" i="10"/>
  <c r="R175" i="10"/>
  <c r="R177" i="10"/>
  <c r="R178" i="10"/>
  <c r="R180" i="10"/>
  <c r="S6" i="10"/>
  <c r="S166" i="10" s="1"/>
  <c r="S7" i="10"/>
  <c r="S167" i="10" s="1"/>
  <c r="S173" i="10"/>
  <c r="S175" i="10"/>
  <c r="S177" i="10"/>
  <c r="S178" i="10"/>
  <c r="S180" i="10"/>
  <c r="S182" i="10"/>
  <c r="S183" i="10"/>
  <c r="T179" i="10"/>
  <c r="T181" i="10"/>
  <c r="T182" i="10"/>
  <c r="T183" i="10"/>
  <c r="T6" i="10"/>
  <c r="T166" i="10" s="1"/>
  <c r="T7" i="10"/>
  <c r="T167" i="10" s="1"/>
  <c r="Y6" i="10"/>
  <c r="Y166" i="10" s="1"/>
  <c r="Y7" i="10"/>
  <c r="Y167" i="10" s="1"/>
  <c r="Y173" i="10"/>
  <c r="Y175" i="10"/>
  <c r="Y177" i="10"/>
  <c r="Y178" i="10"/>
  <c r="Y180" i="10"/>
  <c r="R167" i="10" l="1"/>
  <c r="F5" i="12" s="1"/>
  <c r="F6" i="12" s="1"/>
  <c r="R166" i="10"/>
  <c r="F4" i="12" s="1"/>
  <c r="D5" i="12"/>
  <c r="D6" i="12" s="1"/>
  <c r="AA85" i="10"/>
  <c r="AA84" i="10"/>
  <c r="L13" i="12"/>
  <c r="I6" i="12"/>
  <c r="K13" i="12"/>
  <c r="C13" i="12"/>
  <c r="D4" i="12"/>
  <c r="BQ222" i="1"/>
  <c r="BR222" i="1" s="1"/>
  <c r="V187" i="10"/>
  <c r="AW218" i="1"/>
  <c r="AX218" i="1" s="1"/>
  <c r="AC220" i="1"/>
  <c r="AC224" i="1" s="1"/>
  <c r="AW217" i="1"/>
  <c r="AX217" i="1" s="1"/>
  <c r="AW221" i="1"/>
  <c r="AX221" i="1" s="1"/>
  <c r="DC222" i="1"/>
  <c r="DI222" i="1"/>
  <c r="DJ222" i="1" s="1"/>
  <c r="BI221" i="1"/>
  <c r="BI223" i="1" s="1"/>
  <c r="T203" i="10"/>
  <c r="AX222" i="1"/>
  <c r="BI222" i="1"/>
  <c r="BI224" i="1" s="1"/>
  <c r="BQ221" i="1"/>
  <c r="BR221" i="1" s="1"/>
  <c r="DC221" i="1"/>
  <c r="DI221" i="1"/>
  <c r="DJ221" i="1" s="1"/>
  <c r="AA67" i="10"/>
  <c r="AA66" i="10"/>
  <c r="H5" i="12"/>
  <c r="H4" i="12"/>
  <c r="G5" i="12"/>
  <c r="G4" i="12"/>
  <c r="M4" i="12"/>
  <c r="M5" i="12"/>
  <c r="S204" i="10"/>
  <c r="Y204" i="10"/>
  <c r="S203" i="10"/>
  <c r="J193" i="10"/>
  <c r="J203" i="10" s="1"/>
  <c r="U187" i="10"/>
  <c r="P203" i="10"/>
  <c r="Y203" i="10"/>
  <c r="P184" i="10"/>
  <c r="D8" i="12" s="1"/>
  <c r="T184" i="10"/>
  <c r="H8" i="12" s="1"/>
  <c r="I193" i="10"/>
  <c r="I203" i="10" s="1"/>
  <c r="I207" i="10" s="1"/>
  <c r="P204" i="10"/>
  <c r="AA7" i="10"/>
  <c r="AA6" i="10"/>
  <c r="T204" i="10"/>
  <c r="U188" i="10"/>
  <c r="R204" i="10"/>
  <c r="T185" i="10"/>
  <c r="H9" i="12" s="1"/>
  <c r="R203" i="10"/>
  <c r="P185" i="10"/>
  <c r="D9" i="12" s="1"/>
  <c r="Y185" i="10"/>
  <c r="M9" i="12" s="1"/>
  <c r="S184" i="10"/>
  <c r="G8" i="12" s="1"/>
  <c r="S185" i="10"/>
  <c r="G9" i="12" s="1"/>
  <c r="R185" i="10"/>
  <c r="F9" i="12" s="1"/>
  <c r="V173" i="10"/>
  <c r="V185" i="10" s="1"/>
  <c r="J9" i="12" s="1"/>
  <c r="Y184" i="10"/>
  <c r="M8" i="12" s="1"/>
  <c r="R184" i="10"/>
  <c r="F8" i="12" s="1"/>
  <c r="B108" i="8"/>
  <c r="B121" i="8" s="1"/>
  <c r="B131" i="8" s="1"/>
  <c r="B141" i="8" s="1"/>
  <c r="B151" i="8" s="1"/>
  <c r="B161" i="8" s="1"/>
  <c r="B171" i="8" s="1"/>
  <c r="B181" i="8" s="1"/>
  <c r="B191" i="8" s="1"/>
  <c r="H6" i="12" l="1"/>
  <c r="U206" i="10"/>
  <c r="I11" i="12"/>
  <c r="M6" i="12"/>
  <c r="U207" i="10"/>
  <c r="I12" i="12"/>
  <c r="V206" i="10"/>
  <c r="J11" i="12"/>
  <c r="G6" i="12"/>
  <c r="P187" i="10"/>
  <c r="V188" i="10"/>
  <c r="J12" i="12" s="1"/>
  <c r="J6" i="12"/>
  <c r="P188" i="10"/>
  <c r="BJ222" i="1"/>
  <c r="T187" i="10"/>
  <c r="BJ221" i="1"/>
  <c r="Y187" i="10"/>
  <c r="AA166" i="10"/>
  <c r="AA167" i="10"/>
  <c r="Y188" i="10"/>
  <c r="M12" i="12" s="1"/>
  <c r="S188" i="10"/>
  <c r="T188" i="10"/>
  <c r="AA185" i="10"/>
  <c r="R187" i="10"/>
  <c r="S187" i="10"/>
  <c r="R188" i="10"/>
  <c r="AI159" i="8"/>
  <c r="AH159" i="8"/>
  <c r="AI158" i="8"/>
  <c r="AH158" i="8"/>
  <c r="AI154" i="8"/>
  <c r="AH154" i="8"/>
  <c r="AI153" i="8"/>
  <c r="AH153" i="8"/>
  <c r="AI149" i="8"/>
  <c r="AH149" i="8"/>
  <c r="AI148" i="8"/>
  <c r="AH148" i="8"/>
  <c r="AI144" i="8"/>
  <c r="AH144" i="8"/>
  <c r="AI143" i="8"/>
  <c r="AH143" i="8"/>
  <c r="AI139" i="8"/>
  <c r="AH139" i="8"/>
  <c r="AI138" i="8"/>
  <c r="AH138" i="8"/>
  <c r="AI134" i="8"/>
  <c r="AH134" i="8"/>
  <c r="AI133" i="8"/>
  <c r="AI130" i="8" s="1"/>
  <c r="AH133" i="8"/>
  <c r="A135" i="6"/>
  <c r="AI129" i="8"/>
  <c r="AI124" i="8"/>
  <c r="AI123" i="8"/>
  <c r="AI120" i="8" s="1"/>
  <c r="AI119" i="8"/>
  <c r="AH119" i="8"/>
  <c r="AI115" i="8"/>
  <c r="AH115" i="8"/>
  <c r="AI111" i="8"/>
  <c r="AH111" i="8"/>
  <c r="AH110" i="8"/>
  <c r="AI106" i="8"/>
  <c r="AI102" i="8"/>
  <c r="AH102" i="8"/>
  <c r="AI98" i="8"/>
  <c r="AH98" i="8"/>
  <c r="AH97" i="8"/>
  <c r="AI85" i="8"/>
  <c r="AI80" i="8"/>
  <c r="AH80" i="8"/>
  <c r="AI79" i="8"/>
  <c r="AH79" i="8"/>
  <c r="AI72" i="8"/>
  <c r="AH72" i="8"/>
  <c r="AH71" i="8"/>
  <c r="AI67" i="8"/>
  <c r="AH67" i="8"/>
  <c r="AI63" i="8"/>
  <c r="AH63" i="8"/>
  <c r="AI62" i="8"/>
  <c r="AH62" i="8"/>
  <c r="AH58" i="8"/>
  <c r="I13" i="12" l="1"/>
  <c r="S206" i="10"/>
  <c r="G11" i="12"/>
  <c r="Y206" i="10"/>
  <c r="M11" i="12"/>
  <c r="P207" i="10"/>
  <c r="D12" i="12"/>
  <c r="Y207" i="10"/>
  <c r="T206" i="10"/>
  <c r="H11" i="12"/>
  <c r="V207" i="10"/>
  <c r="R206" i="10"/>
  <c r="F11" i="12"/>
  <c r="R207" i="10"/>
  <c r="F12" i="12"/>
  <c r="T207" i="10"/>
  <c r="H12" i="12"/>
  <c r="P206" i="10"/>
  <c r="D11" i="12"/>
  <c r="S207" i="10"/>
  <c r="G12" i="12"/>
  <c r="AA188" i="10"/>
  <c r="AA187" i="10"/>
  <c r="O12" i="12" l="1"/>
  <c r="P12" i="12" s="1"/>
  <c r="F13" i="12"/>
  <c r="M13" i="12"/>
  <c r="J13" i="12"/>
  <c r="H13" i="12"/>
  <c r="D13" i="12"/>
  <c r="G13" i="12"/>
  <c r="Q187" i="1"/>
  <c r="Q190" i="1" s="1"/>
  <c r="AW187" i="1"/>
  <c r="AW186" i="1"/>
  <c r="AJ187" i="1"/>
  <c r="AJ186" i="1"/>
  <c r="AJ189" i="1" l="1"/>
  <c r="AW189" i="1"/>
  <c r="AW211" i="1" s="1"/>
  <c r="Q212" i="1"/>
  <c r="Q186" i="1"/>
  <c r="Q189" i="1" s="1"/>
  <c r="BN190" i="1"/>
  <c r="BN212" i="1" s="1"/>
  <c r="BN189" i="1"/>
  <c r="BN211" i="1" s="1"/>
  <c r="BD190" i="1"/>
  <c r="BD212" i="1" s="1"/>
  <c r="BD189" i="1"/>
  <c r="BD211" i="1" s="1"/>
  <c r="AW190" i="1"/>
  <c r="AW212" i="1" s="1"/>
  <c r="AJ190" i="1"/>
  <c r="AJ212" i="1" s="1"/>
  <c r="I211" i="1" l="1"/>
  <c r="AJ211" i="1"/>
  <c r="Q211" i="1"/>
  <c r="CS186" i="1" l="1"/>
  <c r="CS189" i="1" l="1"/>
  <c r="CS211" i="1" s="1"/>
  <c r="CS190" i="1"/>
  <c r="CS212" i="1" s="1"/>
  <c r="CI186" i="1" l="1"/>
  <c r="CI187" i="1"/>
  <c r="BY190" i="1"/>
  <c r="BY212" i="1" l="1"/>
  <c r="CI190" i="1"/>
  <c r="CI212" i="1" s="1"/>
  <c r="BY186" i="1"/>
  <c r="CI189" i="1"/>
  <c r="CI211" i="1" s="1"/>
  <c r="BY189" i="1" l="1"/>
  <c r="BY211" i="1" s="1"/>
  <c r="AI187" i="1" l="1"/>
  <c r="AD220" i="1" l="1"/>
  <c r="AD224" i="1"/>
  <c r="AS187" i="1"/>
  <c r="AT187" i="1" l="1"/>
  <c r="AW220" i="1" s="1"/>
  <c r="AW224" i="1" s="1"/>
  <c r="AX220" i="1" l="1"/>
  <c r="AX224" i="1"/>
  <c r="AT186" i="1"/>
  <c r="AW219" i="1" s="1"/>
  <c r="AW223" i="1" s="1"/>
  <c r="AT190" i="1"/>
  <c r="AT189" i="1" l="1"/>
  <c r="AI186" i="1"/>
  <c r="AR187" i="1"/>
  <c r="AP187" i="1"/>
  <c r="AK187" i="1"/>
  <c r="AM220" i="1" l="1"/>
  <c r="AN220" i="1" s="1"/>
  <c r="AD219" i="1"/>
  <c r="AD223" i="1"/>
  <c r="AX219" i="1"/>
  <c r="AX223" i="1"/>
  <c r="AI189" i="1"/>
  <c r="AK186" i="1"/>
  <c r="AR186" i="1"/>
  <c r="AP186" i="1"/>
  <c r="AP189" i="1" s="1"/>
  <c r="AM224" i="1" l="1"/>
  <c r="AN224" i="1" s="1"/>
  <c r="AM219" i="1"/>
  <c r="AR189" i="1"/>
  <c r="AK189" i="1"/>
  <c r="AI211" i="1"/>
  <c r="DF186" i="1"/>
  <c r="DE186" i="1"/>
  <c r="AT212" i="1"/>
  <c r="AR190" i="1"/>
  <c r="AR212" i="1" s="1"/>
  <c r="AK190" i="1"/>
  <c r="AK212" i="1" s="1"/>
  <c r="CH187" i="1"/>
  <c r="CG187" i="1"/>
  <c r="CR186" i="1"/>
  <c r="CQ186" i="1"/>
  <c r="CH186" i="1"/>
  <c r="CG186" i="1"/>
  <c r="DB187" i="1"/>
  <c r="DB190" i="1" s="1"/>
  <c r="CY187" i="1"/>
  <c r="CX190" i="1"/>
  <c r="CX212" i="1" s="1"/>
  <c r="DB186" i="1"/>
  <c r="DB189" i="1" s="1"/>
  <c r="CY186" i="1"/>
  <c r="DM190" i="1"/>
  <c r="DL187" i="1"/>
  <c r="DP220" i="1" s="1"/>
  <c r="DP224" i="1" s="1"/>
  <c r="DL186" i="1"/>
  <c r="DP219" i="1" s="1"/>
  <c r="DN190" i="1"/>
  <c r="BX190" i="1"/>
  <c r="BX186" i="1"/>
  <c r="BW186" i="1"/>
  <c r="DT187" i="1" l="1"/>
  <c r="DT186" i="1"/>
  <c r="CA219" i="1"/>
  <c r="CA223" i="1" s="1"/>
  <c r="CB223" i="1" s="1"/>
  <c r="CK219" i="1"/>
  <c r="AN219" i="1"/>
  <c r="CK220" i="1"/>
  <c r="AI191" i="1"/>
  <c r="DB219" i="1"/>
  <c r="DB223" i="1" s="1"/>
  <c r="DC223" i="1" s="1"/>
  <c r="DP223" i="1"/>
  <c r="DQ223" i="1" s="1"/>
  <c r="DQ219" i="1"/>
  <c r="DB220" i="1"/>
  <c r="DB224" i="1" s="1"/>
  <c r="CU219" i="1"/>
  <c r="CU223" i="1" s="1"/>
  <c r="CR189" i="1"/>
  <c r="CR211" i="1" s="1"/>
  <c r="CB220" i="1"/>
  <c r="CB224" i="1"/>
  <c r="DF189" i="1"/>
  <c r="DF211" i="1" s="1"/>
  <c r="CY189" i="1"/>
  <c r="CY211" i="1" s="1"/>
  <c r="CY190" i="1"/>
  <c r="CX192" i="1" s="1"/>
  <c r="CG189" i="1"/>
  <c r="CG211" i="1" s="1"/>
  <c r="DL190" i="1"/>
  <c r="DL212" i="1" s="1"/>
  <c r="AK211" i="1"/>
  <c r="CX189" i="1"/>
  <c r="DE189" i="1"/>
  <c r="DE211" i="1" s="1"/>
  <c r="CG190" i="1"/>
  <c r="DE187" i="1"/>
  <c r="DF187" i="1"/>
  <c r="DG186" i="1"/>
  <c r="DI219" i="1" s="1"/>
  <c r="DI223" i="1" s="1"/>
  <c r="DB212" i="1"/>
  <c r="DG187" i="1"/>
  <c r="DG190" i="1" s="1"/>
  <c r="CQ212" i="1"/>
  <c r="CR190" i="1"/>
  <c r="CR212" i="1" s="1"/>
  <c r="DB211" i="1"/>
  <c r="BW190" i="1"/>
  <c r="BW212" i="1" s="1"/>
  <c r="CQ189" i="1"/>
  <c r="CQ211" i="1" s="1"/>
  <c r="BW189" i="1"/>
  <c r="BW211" i="1" s="1"/>
  <c r="DM189" i="1"/>
  <c r="DM211" i="1" s="1"/>
  <c r="DM212" i="1"/>
  <c r="DL189" i="1"/>
  <c r="DL211" i="1" s="1"/>
  <c r="BX189" i="1"/>
  <c r="BX211" i="1" s="1"/>
  <c r="BX212" i="1"/>
  <c r="DN189" i="1"/>
  <c r="DN211" i="1" s="1"/>
  <c r="DN212" i="1"/>
  <c r="CH189" i="1"/>
  <c r="CH211" i="1" s="1"/>
  <c r="CH190" i="1"/>
  <c r="CH212" i="1" s="1"/>
  <c r="BE189" i="1"/>
  <c r="BE211" i="1" s="1"/>
  <c r="BO189" i="1"/>
  <c r="BO211" i="1" s="1"/>
  <c r="BV189" i="1"/>
  <c r="BV211" i="1" s="1"/>
  <c r="BE190" i="1"/>
  <c r="BE212" i="1" s="1"/>
  <c r="BO190" i="1"/>
  <c r="BO212" i="1" s="1"/>
  <c r="BV190" i="1"/>
  <c r="BV212" i="1" s="1"/>
  <c r="BQ219" i="1"/>
  <c r="BQ223" i="1" s="1"/>
  <c r="BQ220" i="1"/>
  <c r="BQ224" i="1" s="1"/>
  <c r="BR224" i="1" s="1"/>
  <c r="AT211" i="1"/>
  <c r="AS189" i="1"/>
  <c r="AS211" i="1" s="1"/>
  <c r="AS190" i="1"/>
  <c r="AS212" i="1" s="1"/>
  <c r="AP211" i="1"/>
  <c r="AI190" i="1"/>
  <c r="AI212" i="1" s="1"/>
  <c r="AP190" i="1"/>
  <c r="AP212" i="1" s="1"/>
  <c r="CB219" i="1" l="1"/>
  <c r="CK224" i="1"/>
  <c r="CL224" i="1" s="1"/>
  <c r="CL220" i="1"/>
  <c r="CK223" i="1"/>
  <c r="CL223" i="1" s="1"/>
  <c r="CL219" i="1"/>
  <c r="DI220" i="1"/>
  <c r="DI224" i="1" s="1"/>
  <c r="DC219" i="1"/>
  <c r="CY212" i="1"/>
  <c r="BR220" i="1"/>
  <c r="BJ220" i="1"/>
  <c r="BJ224" i="1"/>
  <c r="BJ219" i="1"/>
  <c r="BJ223" i="1"/>
  <c r="DJ219" i="1"/>
  <c r="DJ223" i="1"/>
  <c r="DF190" i="1"/>
  <c r="DF212" i="1" s="1"/>
  <c r="BR219" i="1"/>
  <c r="BR223" i="1"/>
  <c r="CV219" i="1"/>
  <c r="CV223" i="1"/>
  <c r="CV220" i="1"/>
  <c r="CV224" i="1"/>
  <c r="DL192" i="1"/>
  <c r="CX211" i="1"/>
  <c r="CX213" i="1" s="1"/>
  <c r="CX191" i="1"/>
  <c r="CG212" i="1"/>
  <c r="CG214" i="1" s="1"/>
  <c r="CG192" i="1"/>
  <c r="CQ192" i="1"/>
  <c r="CG191" i="1"/>
  <c r="DG189" i="1"/>
  <c r="DG211" i="1" s="1"/>
  <c r="Y214" i="1"/>
  <c r="BM190" i="1"/>
  <c r="BM212" i="1" s="1"/>
  <c r="BM214" i="1" s="1"/>
  <c r="BM189" i="1"/>
  <c r="BM211" i="1" s="1"/>
  <c r="BM213" i="1" s="1"/>
  <c r="DE190" i="1"/>
  <c r="DE212" i="1" s="1"/>
  <c r="DG212" i="1"/>
  <c r="BW192" i="1"/>
  <c r="BW214" i="1"/>
  <c r="CG213" i="1"/>
  <c r="BW191" i="1"/>
  <c r="DL191" i="1"/>
  <c r="CQ214" i="1"/>
  <c r="DL213" i="1"/>
  <c r="DL214" i="1"/>
  <c r="BW213" i="1"/>
  <c r="BC190" i="1"/>
  <c r="BC212" i="1" s="1"/>
  <c r="BC189" i="1"/>
  <c r="BC211" i="1" s="1"/>
  <c r="BC213" i="1" s="1"/>
  <c r="AS191" i="1"/>
  <c r="AS192" i="1"/>
  <c r="AS214" i="1"/>
  <c r="AS213" i="1"/>
  <c r="AI192" i="1"/>
  <c r="AI214" i="1"/>
  <c r="DT212" i="1" l="1"/>
  <c r="CX214" i="1"/>
  <c r="DC220" i="1"/>
  <c r="DC224" i="1"/>
  <c r="DJ220" i="1"/>
  <c r="DJ224" i="1"/>
  <c r="DE192" i="1"/>
  <c r="DE214" i="1"/>
  <c r="BM191" i="1"/>
  <c r="BM192" i="1"/>
  <c r="CQ213" i="1"/>
  <c r="CQ191" i="1"/>
  <c r="BC214" i="1"/>
  <c r="BC192" i="1"/>
  <c r="BC191" i="1"/>
  <c r="X187" i="1" l="1"/>
  <c r="X190" i="1" s="1"/>
  <c r="R187" i="1" l="1"/>
  <c r="R190" i="1" s="1"/>
  <c r="P187" i="1"/>
  <c r="S220" i="1" l="1"/>
  <c r="T220" i="1" s="1"/>
  <c r="P190" i="1"/>
  <c r="O192" i="1" s="1"/>
  <c r="S224" i="1" l="1"/>
  <c r="T224" i="1" s="1"/>
  <c r="DQ220" i="1"/>
  <c r="DQ224" i="1"/>
  <c r="P186" i="1"/>
  <c r="X186" i="1"/>
  <c r="X189" i="1" s="1"/>
  <c r="R186" i="1"/>
  <c r="R189" i="1" s="1"/>
  <c r="P189" i="1" l="1"/>
  <c r="O191" i="1" s="1"/>
  <c r="S219" i="1"/>
  <c r="X211" i="1"/>
  <c r="X212" i="1"/>
  <c r="P212" i="1"/>
  <c r="R212" i="1"/>
  <c r="R211" i="1"/>
  <c r="P211" i="1" l="1"/>
  <c r="T219" i="1"/>
  <c r="S223" i="1"/>
  <c r="T223" i="1" s="1"/>
  <c r="O212" i="1"/>
  <c r="I212" i="1"/>
  <c r="O214" i="1" l="1"/>
  <c r="O213" i="1"/>
  <c r="I213" i="1"/>
  <c r="DE213" i="1" l="1"/>
  <c r="DE191" i="1" l="1"/>
  <c r="AA207" i="10" l="1"/>
  <c r="H211" i="1"/>
  <c r="Q195" i="10"/>
  <c r="Q203" i="10" s="1"/>
  <c r="Q206" i="10" s="1"/>
  <c r="H212" i="1"/>
  <c r="AR208" i="1"/>
  <c r="AM221" i="1" s="1"/>
  <c r="H213" i="1" l="1"/>
  <c r="AA206" i="10"/>
  <c r="AM223" i="1"/>
  <c r="AN223" i="1" s="1"/>
  <c r="AN221" i="1"/>
  <c r="AR211" i="1"/>
  <c r="AI213" i="1" s="1"/>
</calcChain>
</file>

<file path=xl/sharedStrings.xml><?xml version="1.0" encoding="utf-8"?>
<sst xmlns="http://schemas.openxmlformats.org/spreadsheetml/2006/main" count="8546" uniqueCount="950">
  <si>
    <t>No.</t>
    <phoneticPr fontId="2"/>
  </si>
  <si>
    <t>案件</t>
    <rPh sb="0" eb="2">
      <t>アンケン</t>
    </rPh>
    <phoneticPr fontId="2"/>
  </si>
  <si>
    <t>案件管理コード（DAT)</t>
    <rPh sb="0" eb="2">
      <t>アンケン</t>
    </rPh>
    <rPh sb="2" eb="4">
      <t>カンリ</t>
    </rPh>
    <phoneticPr fontId="2"/>
  </si>
  <si>
    <t>案件管理コード（DIR-BI)</t>
    <rPh sb="0" eb="2">
      <t>アンケン</t>
    </rPh>
    <rPh sb="2" eb="4">
      <t>カンリ</t>
    </rPh>
    <phoneticPr fontId="2"/>
  </si>
  <si>
    <t>備考</t>
    <rPh sb="0" eb="2">
      <t>ビコウ</t>
    </rPh>
    <phoneticPr fontId="2"/>
  </si>
  <si>
    <t>工数（人月）</t>
    <rPh sb="0" eb="2">
      <t>コウスウ</t>
    </rPh>
    <rPh sb="3" eb="5">
      <t>ニンゲツ</t>
    </rPh>
    <phoneticPr fontId="2"/>
  </si>
  <si>
    <t>区分</t>
    <rPh sb="0" eb="2">
      <t>クブン</t>
    </rPh>
    <phoneticPr fontId="2"/>
  </si>
  <si>
    <t>着手日</t>
    <rPh sb="0" eb="2">
      <t>チャクシュ</t>
    </rPh>
    <rPh sb="2" eb="3">
      <t>ビ</t>
    </rPh>
    <phoneticPr fontId="2"/>
  </si>
  <si>
    <t>完了日</t>
    <rPh sb="0" eb="3">
      <t>カンリョウビ</t>
    </rPh>
    <phoneticPr fontId="2"/>
  </si>
  <si>
    <t>進捗
（％）</t>
    <rPh sb="0" eb="2">
      <t>シンチョク</t>
    </rPh>
    <phoneticPr fontId="2"/>
  </si>
  <si>
    <t>プロジェクト</t>
    <phoneticPr fontId="2"/>
  </si>
  <si>
    <t>定型</t>
    <phoneticPr fontId="2"/>
  </si>
  <si>
    <t>保守</t>
    <phoneticPr fontId="2"/>
  </si>
  <si>
    <t>ツール</t>
    <phoneticPr fontId="2"/>
  </si>
  <si>
    <t>その他</t>
  </si>
  <si>
    <t>その他</t>
    <phoneticPr fontId="2"/>
  </si>
  <si>
    <t>Division</t>
    <phoneticPr fontId="2"/>
  </si>
  <si>
    <t>■案件</t>
    <rPh sb="1" eb="3">
      <t>アンケン</t>
    </rPh>
    <phoneticPr fontId="2"/>
  </si>
  <si>
    <t>■その他</t>
    <rPh sb="3" eb="4">
      <t>タ</t>
    </rPh>
    <phoneticPr fontId="2"/>
  </si>
  <si>
    <t>-</t>
    <phoneticPr fontId="2"/>
  </si>
  <si>
    <t>-</t>
    <phoneticPr fontId="2"/>
  </si>
  <si>
    <t>-</t>
    <phoneticPr fontId="2"/>
  </si>
  <si>
    <t>DAT社内作業、DATエベント、トレーニング等</t>
    <phoneticPr fontId="2"/>
  </si>
  <si>
    <t>休暇</t>
    <phoneticPr fontId="2"/>
  </si>
  <si>
    <t>計画</t>
    <rPh sb="0" eb="2">
      <t>ケイカク</t>
    </rPh>
    <phoneticPr fontId="2"/>
  </si>
  <si>
    <t>実績</t>
    <rPh sb="0" eb="2">
      <t>ジッセキ</t>
    </rPh>
    <phoneticPr fontId="2"/>
  </si>
  <si>
    <t>MGT</t>
    <phoneticPr fontId="2"/>
  </si>
  <si>
    <t>-</t>
    <phoneticPr fontId="2"/>
  </si>
  <si>
    <t>管理</t>
    <rPh sb="0" eb="2">
      <t>カンリ</t>
    </rPh>
    <phoneticPr fontId="2"/>
  </si>
  <si>
    <t>■プロジェクト管理</t>
    <rPh sb="7" eb="9">
      <t>カンリ</t>
    </rPh>
    <phoneticPr fontId="2"/>
  </si>
  <si>
    <t>2月</t>
    <rPh sb="1" eb="2">
      <t>ガツ</t>
    </rPh>
    <phoneticPr fontId="2"/>
  </si>
  <si>
    <t>DIR-BI 担当</t>
    <rPh sb="7" eb="9">
      <t>タントウ</t>
    </rPh>
    <phoneticPr fontId="2"/>
  </si>
  <si>
    <t>日次報告書</t>
    <rPh sb="0" eb="5">
      <t>ニチジホウコクショ</t>
    </rPh>
    <phoneticPr fontId="2"/>
  </si>
  <si>
    <t>週次報告</t>
    <rPh sb="0" eb="4">
      <t>シュウジホウコク</t>
    </rPh>
    <phoneticPr fontId="2"/>
  </si>
  <si>
    <t>都築</t>
    <rPh sb="0" eb="1">
      <t>ツヅキ</t>
    </rPh>
    <phoneticPr fontId="2"/>
  </si>
  <si>
    <t>合計</t>
    <phoneticPr fontId="2"/>
  </si>
  <si>
    <t>案件．要員情報</t>
    <phoneticPr fontId="2"/>
  </si>
  <si>
    <t>合計（計画）</t>
    <phoneticPr fontId="2"/>
  </si>
  <si>
    <t>木曜日　14:00～15:00(JST)</t>
    <phoneticPr fontId="2"/>
  </si>
  <si>
    <t>プロジェクト管理、メール送受信、WBS管理、Redmine管理</t>
    <rPh sb="6" eb="8">
      <t>カンリ</t>
    </rPh>
    <rPh sb="12" eb="15">
      <t>ソウジュシン</t>
    </rPh>
    <rPh sb="19" eb="21">
      <t>カンリ</t>
    </rPh>
    <rPh sb="29" eb="31">
      <t>カンリ</t>
    </rPh>
    <phoneticPr fontId="2"/>
  </si>
  <si>
    <t>①案件．要員情報
②課題一覧
③【WB4】開発マニュアル一覧</t>
    <rPh sb="1" eb="3">
      <t>アンケン</t>
    </rPh>
    <rPh sb="4" eb="6">
      <t>ヨウイン</t>
    </rPh>
    <rPh sb="6" eb="8">
      <t>ジョウホウ</t>
    </rPh>
    <rPh sb="10" eb="14">
      <t>カダイイチラン</t>
    </rPh>
    <phoneticPr fontId="2"/>
  </si>
  <si>
    <t>メンバーサポート</t>
    <phoneticPr fontId="2"/>
  </si>
  <si>
    <t>SUPPORT</t>
    <phoneticPr fontId="2"/>
  </si>
  <si>
    <t>①DAT誕生日：0.5時「月次」
②DAT全員会議：2時「月次」
③KPIレポート作成：1時「月次」
④MMレポート作成：0.5時「週次」
⑤日本語能力試験のため準備：0.5時「週次」</t>
    <rPh sb="3" eb="6">
      <t>タンジョウビ</t>
    </rPh>
    <rPh sb="10" eb="11">
      <t>ジ</t>
    </rPh>
    <rPh sb="12" eb="14">
      <t>ゲツジ</t>
    </rPh>
    <rPh sb="20" eb="22">
      <t>ゼンイン</t>
    </rPh>
    <rPh sb="22" eb="24">
      <t>カイギ</t>
    </rPh>
    <rPh sb="26" eb="27">
      <t>ジ</t>
    </rPh>
    <rPh sb="28" eb="30">
      <t>ゲツジ</t>
    </rPh>
    <rPh sb="40" eb="42">
      <t>サクセイ</t>
    </rPh>
    <rPh sb="44" eb="45">
      <t>ジ</t>
    </rPh>
    <rPh sb="46" eb="48">
      <t>ゲツジ</t>
    </rPh>
    <rPh sb="57" eb="59">
      <t>サクセイ</t>
    </rPh>
    <rPh sb="63" eb="64">
      <t>ジ</t>
    </rPh>
    <rPh sb="65" eb="67">
      <t>シュウジ</t>
    </rPh>
    <rPh sb="70" eb="73">
      <t>ニホンゴ</t>
    </rPh>
    <rPh sb="73" eb="75">
      <t>ノウリョク</t>
    </rPh>
    <rPh sb="75" eb="77">
      <t>シケン</t>
    </rPh>
    <rPh sb="80" eb="82">
      <t>ジュンビ</t>
    </rPh>
    <rPh sb="86" eb="87">
      <t>ジ</t>
    </rPh>
    <rPh sb="88" eb="90">
      <t>シュウジ</t>
    </rPh>
    <phoneticPr fontId="2"/>
  </si>
  <si>
    <t>Status</t>
    <phoneticPr fontId="2"/>
  </si>
  <si>
    <t>未着手</t>
    <rPh sb="0" eb="3">
      <t>ミチャクシュ</t>
    </rPh>
    <phoneticPr fontId="2"/>
  </si>
  <si>
    <t>着手中</t>
    <rPh sb="0" eb="2">
      <t>チャクシュ</t>
    </rPh>
    <rPh sb="2" eb="3">
      <t>チュウ</t>
    </rPh>
    <phoneticPr fontId="2"/>
  </si>
  <si>
    <t>完了</t>
    <rPh sb="0" eb="2">
      <t>カンリョウ</t>
    </rPh>
    <phoneticPr fontId="2"/>
  </si>
  <si>
    <t>遅延</t>
    <rPh sb="0" eb="2">
      <t>チエン</t>
    </rPh>
    <phoneticPr fontId="2"/>
  </si>
  <si>
    <t>JAN</t>
  </si>
  <si>
    <t>International New Year's Day</t>
  </si>
  <si>
    <t>FEB</t>
  </si>
  <si>
    <t>Union Day</t>
  </si>
  <si>
    <t>MAR</t>
  </si>
  <si>
    <t>Armed Forces Day</t>
  </si>
  <si>
    <t>APR</t>
    <phoneticPr fontId="6"/>
  </si>
  <si>
    <t>MAY</t>
    <phoneticPr fontId="6"/>
  </si>
  <si>
    <t>JUL</t>
    <phoneticPr fontId="6"/>
  </si>
  <si>
    <t>OCT</t>
    <phoneticPr fontId="6"/>
  </si>
  <si>
    <t>NOV</t>
  </si>
  <si>
    <t>DEC</t>
  </si>
  <si>
    <t>KSW</t>
    <phoneticPr fontId="2"/>
  </si>
  <si>
    <t>YTN</t>
    <phoneticPr fontId="2"/>
  </si>
  <si>
    <t>AMM</t>
    <phoneticPr fontId="2"/>
  </si>
  <si>
    <t>TTA</t>
    <phoneticPr fontId="2"/>
  </si>
  <si>
    <t>KMH</t>
    <phoneticPr fontId="2"/>
  </si>
  <si>
    <t>KMT</t>
    <phoneticPr fontId="2"/>
  </si>
  <si>
    <t>NWKO</t>
    <phoneticPr fontId="2"/>
  </si>
  <si>
    <t>日</t>
    <rPh sb="0" eb="1">
      <t>ニチ</t>
    </rPh>
    <phoneticPr fontId="2"/>
  </si>
  <si>
    <t>土</t>
    <rPh sb="0" eb="1">
      <t>ド</t>
    </rPh>
    <phoneticPr fontId="2"/>
  </si>
  <si>
    <t>月</t>
  </si>
  <si>
    <t>月</t>
    <rPh sb="0" eb="1">
      <t>ゲツ</t>
    </rPh>
    <phoneticPr fontId="2"/>
  </si>
  <si>
    <t>火</t>
  </si>
  <si>
    <t>火</t>
    <rPh sb="0" eb="1">
      <t>カ</t>
    </rPh>
    <phoneticPr fontId="2"/>
  </si>
  <si>
    <t>水</t>
    <rPh sb="0" eb="1">
      <t>スイ</t>
    </rPh>
    <phoneticPr fontId="2"/>
  </si>
  <si>
    <t>木</t>
    <rPh sb="0" eb="1">
      <t>モク</t>
    </rPh>
    <phoneticPr fontId="2"/>
  </si>
  <si>
    <t>金</t>
    <rPh sb="0" eb="1">
      <t>キン</t>
    </rPh>
    <phoneticPr fontId="2"/>
  </si>
  <si>
    <t>L</t>
    <phoneticPr fontId="2"/>
  </si>
  <si>
    <t>L</t>
    <phoneticPr fontId="2"/>
  </si>
  <si>
    <t>HL</t>
    <phoneticPr fontId="2"/>
  </si>
  <si>
    <t>合計（計画）</t>
    <phoneticPr fontId="2"/>
  </si>
  <si>
    <t>合計（実績）</t>
    <phoneticPr fontId="2"/>
  </si>
  <si>
    <t>　年次　人月　DIR-BIタスク</t>
    <rPh sb="1" eb="3">
      <t>ネンジ</t>
    </rPh>
    <rPh sb="4" eb="6">
      <t>ニンゲツ</t>
    </rPh>
    <phoneticPr fontId="2"/>
  </si>
  <si>
    <t>年次　人月　DAT社内作業</t>
    <rPh sb="9" eb="11">
      <t>シャナイ</t>
    </rPh>
    <rPh sb="11" eb="13">
      <t>サギョウ</t>
    </rPh>
    <phoneticPr fontId="2"/>
  </si>
  <si>
    <t>年次　人月　合計</t>
    <rPh sb="6" eb="8">
      <t>ゴウケイ</t>
    </rPh>
    <phoneticPr fontId="2"/>
  </si>
  <si>
    <t>DATチーム会議</t>
    <rPh sb="6" eb="8">
      <t>カイギ</t>
    </rPh>
    <phoneticPr fontId="2"/>
  </si>
  <si>
    <t>2月には都築さんからのトレニンーグがありました。</t>
    <rPh sb="1" eb="2">
      <t>ガツ</t>
    </rPh>
    <rPh sb="4" eb="6">
      <t>ツヅキ</t>
    </rPh>
    <phoneticPr fontId="2"/>
  </si>
  <si>
    <t>ステータス</t>
    <phoneticPr fontId="2"/>
  </si>
  <si>
    <t>ステータス</t>
    <phoneticPr fontId="2"/>
  </si>
  <si>
    <t>計画</t>
    <rPh sb="0" eb="2">
      <t>ケイカク</t>
    </rPh>
    <phoneticPr fontId="2"/>
  </si>
  <si>
    <t>実績</t>
    <rPh sb="0" eb="2">
      <t>ジッセキ</t>
    </rPh>
    <phoneticPr fontId="2"/>
  </si>
  <si>
    <t>合計</t>
    <phoneticPr fontId="2"/>
  </si>
  <si>
    <t>DIR-BIタスク対応　人月　合計</t>
    <rPh sb="9" eb="11">
      <t>タイオウ</t>
    </rPh>
    <rPh sb="12" eb="14">
      <t>ニンゲツ</t>
    </rPh>
    <phoneticPr fontId="2"/>
  </si>
  <si>
    <t>DIR-BIタスク対応　人月　合計</t>
    <phoneticPr fontId="2"/>
  </si>
  <si>
    <t>計画</t>
    <phoneticPr fontId="2"/>
  </si>
  <si>
    <t>実績</t>
    <phoneticPr fontId="2"/>
  </si>
  <si>
    <t>DIR-BIタスク対応　月次　人月　合計</t>
    <rPh sb="12" eb="14">
      <t>ゲツジ</t>
    </rPh>
    <phoneticPr fontId="2"/>
  </si>
  <si>
    <t>DIR-BIタスク対応　月次　人月　合計</t>
    <rPh sb="12" eb="14">
      <t>ゲツジ</t>
    </rPh>
    <rPh sb="18" eb="20">
      <t>ゴウケイ</t>
    </rPh>
    <phoneticPr fontId="2"/>
  </si>
  <si>
    <t>DIR-BIタスク対応人月　+ DAT社内作業人月　合計</t>
    <rPh sb="19" eb="21">
      <t>シャナイ</t>
    </rPh>
    <rPh sb="21" eb="23">
      <t>サギョウ</t>
    </rPh>
    <rPh sb="23" eb="25">
      <t>ニンゲツ</t>
    </rPh>
    <phoneticPr fontId="2"/>
  </si>
  <si>
    <t>DIR-BIタスク対応人月　+ DAT社内作業人月　月次　合計</t>
    <rPh sb="26" eb="28">
      <t>ゲツジ</t>
    </rPh>
    <phoneticPr fontId="2"/>
  </si>
  <si>
    <t>DIR-BIタスク対応人月　+ DAT社内作業人月　月次　合計</t>
    <rPh sb="26" eb="28">
      <t>ゲツジ</t>
    </rPh>
    <rPh sb="29" eb="31">
      <t>ゴウケイ</t>
    </rPh>
    <phoneticPr fontId="2"/>
  </si>
  <si>
    <t>A= Attendance, L= Leave, HL = Half-Leave</t>
    <phoneticPr fontId="2"/>
  </si>
  <si>
    <t>H = Holiday, Sat:Sun=S</t>
    <phoneticPr fontId="2"/>
  </si>
  <si>
    <t>S</t>
    <phoneticPr fontId="2"/>
  </si>
  <si>
    <t>H</t>
    <phoneticPr fontId="2"/>
  </si>
  <si>
    <t>A</t>
    <phoneticPr fontId="2"/>
  </si>
  <si>
    <t>L-Days</t>
    <phoneticPr fontId="2"/>
  </si>
  <si>
    <t>Actual Work Days</t>
    <phoneticPr fontId="2"/>
  </si>
  <si>
    <t>水</t>
  </si>
  <si>
    <t>木</t>
  </si>
  <si>
    <t>金</t>
  </si>
  <si>
    <t>土</t>
  </si>
  <si>
    <t>日</t>
  </si>
  <si>
    <t>JAN</t>
    <phoneticPr fontId="2"/>
  </si>
  <si>
    <t>Coming of Age Day</t>
    <phoneticPr fontId="2"/>
  </si>
  <si>
    <t>Emperor's Birthday</t>
    <phoneticPr fontId="2"/>
  </si>
  <si>
    <t>MAR</t>
    <phoneticPr fontId="2"/>
  </si>
  <si>
    <t>FEB</t>
    <phoneticPr fontId="2"/>
  </si>
  <si>
    <t>Vernal Equniox Day</t>
    <phoneticPr fontId="2"/>
  </si>
  <si>
    <t>APR</t>
    <phoneticPr fontId="2"/>
  </si>
  <si>
    <t>Showa Day</t>
    <phoneticPr fontId="2"/>
  </si>
  <si>
    <t>MAY</t>
    <phoneticPr fontId="2"/>
  </si>
  <si>
    <t>Constitution Memorial Day</t>
    <phoneticPr fontId="2"/>
  </si>
  <si>
    <t>Greenery Day</t>
    <phoneticPr fontId="2"/>
  </si>
  <si>
    <t>Children's Day</t>
    <phoneticPr fontId="2"/>
  </si>
  <si>
    <t>JUL</t>
    <phoneticPr fontId="2"/>
  </si>
  <si>
    <t>Marine Day</t>
    <phoneticPr fontId="2"/>
  </si>
  <si>
    <t>AUG</t>
    <phoneticPr fontId="2"/>
  </si>
  <si>
    <t>Mountain Day</t>
    <phoneticPr fontId="2"/>
  </si>
  <si>
    <t>SEP</t>
    <phoneticPr fontId="2"/>
  </si>
  <si>
    <t>Respect For The Aged Day</t>
    <phoneticPr fontId="2"/>
  </si>
  <si>
    <t>Autumnal Equinox Day</t>
    <phoneticPr fontId="2"/>
  </si>
  <si>
    <t>NOV</t>
    <phoneticPr fontId="6"/>
  </si>
  <si>
    <t>Culture Day</t>
    <phoneticPr fontId="6"/>
  </si>
  <si>
    <t>Laor Thanksgiving Day</t>
    <phoneticPr fontId="2"/>
  </si>
  <si>
    <t>4月</t>
    <phoneticPr fontId="2"/>
  </si>
  <si>
    <t>5月</t>
    <rPh sb="1" eb="2">
      <t>ガツ</t>
    </rPh>
    <phoneticPr fontId="2"/>
  </si>
  <si>
    <t>4月</t>
    <phoneticPr fontId="2"/>
  </si>
  <si>
    <t>6月</t>
    <rPh sb="1" eb="2">
      <t>ガツ</t>
    </rPh>
    <phoneticPr fontId="2"/>
  </si>
  <si>
    <t>7月</t>
    <rPh sb="1" eb="2">
      <t>ガツ</t>
    </rPh>
    <phoneticPr fontId="2"/>
  </si>
  <si>
    <t>8月</t>
    <rPh sb="1" eb="2">
      <t>ガツ</t>
    </rPh>
    <phoneticPr fontId="2"/>
  </si>
  <si>
    <t>9月</t>
    <rPh sb="1" eb="2">
      <t>ガツ</t>
    </rPh>
    <phoneticPr fontId="2"/>
  </si>
  <si>
    <t>10月</t>
    <rPh sb="2" eb="3">
      <t>ガツ</t>
    </rPh>
    <phoneticPr fontId="2"/>
  </si>
  <si>
    <t>11月</t>
    <rPh sb="2" eb="3">
      <t>ガツ</t>
    </rPh>
    <phoneticPr fontId="2"/>
  </si>
  <si>
    <t>12月</t>
    <rPh sb="2" eb="3">
      <t>ガツ</t>
    </rPh>
    <phoneticPr fontId="2"/>
  </si>
  <si>
    <t>1月</t>
    <rPh sb="1" eb="2">
      <t>ガツ</t>
    </rPh>
    <phoneticPr fontId="2"/>
  </si>
  <si>
    <t>3月</t>
    <rPh sb="1" eb="2">
      <t>ガツ</t>
    </rPh>
    <phoneticPr fontId="2"/>
  </si>
  <si>
    <t xml:space="preserve"> 期限</t>
    <rPh sb="1" eb="3">
      <t>キゲン</t>
    </rPh>
    <phoneticPr fontId="2"/>
  </si>
  <si>
    <t>DEC</t>
    <phoneticPr fontId="2"/>
  </si>
  <si>
    <t>New Year's Eve</t>
    <phoneticPr fontId="2"/>
  </si>
  <si>
    <t>コード修正と差分：完了</t>
    <rPh sb="3" eb="5">
      <t>シュウセイ</t>
    </rPh>
    <rPh sb="6" eb="8">
      <t>サブン</t>
    </rPh>
    <rPh sb="9" eb="11">
      <t>カンリョウ</t>
    </rPh>
    <phoneticPr fontId="2"/>
  </si>
  <si>
    <t>結合テスト：完了</t>
    <rPh sb="0" eb="2">
      <t>ケツゴウ</t>
    </rPh>
    <phoneticPr fontId="2"/>
  </si>
  <si>
    <t>UPDATE用資料：完了</t>
    <rPh sb="6" eb="7">
      <t>ヨウ</t>
    </rPh>
    <rPh sb="7" eb="9">
      <t>シリョウ</t>
    </rPh>
    <phoneticPr fontId="2"/>
  </si>
  <si>
    <t>Poptreeチェック：完了</t>
    <rPh sb="12" eb="14">
      <t>カンリョウ</t>
    </rPh>
    <phoneticPr fontId="2"/>
  </si>
  <si>
    <t>PBxxxxxx</t>
    <phoneticPr fontId="2"/>
  </si>
  <si>
    <t>【定型】画面の文言変更</t>
    <phoneticPr fontId="2"/>
  </si>
  <si>
    <t>Fxx</t>
    <phoneticPr fontId="2"/>
  </si>
  <si>
    <t>DIR担当</t>
    <rPh sb="3" eb="5">
      <t>タントウ</t>
    </rPh>
    <phoneticPr fontId="2"/>
  </si>
  <si>
    <t>DIR 担当</t>
    <rPh sb="4" eb="6">
      <t>タントウ</t>
    </rPh>
    <phoneticPr fontId="2"/>
  </si>
  <si>
    <t>案件管理コード（DIR)</t>
    <rPh sb="0" eb="2">
      <t>アンケン</t>
    </rPh>
    <rPh sb="2" eb="4">
      <t>カンリ</t>
    </rPh>
    <phoneticPr fontId="2"/>
  </si>
  <si>
    <t>DIRとの定例会</t>
    <rPh sb="5" eb="8">
      <t>テイレイカイ</t>
    </rPh>
    <phoneticPr fontId="2"/>
  </si>
  <si>
    <t>①DATのWHMシステム
②DIRへの日次報告「THiNCに」</t>
    <rPh sb="19" eb="21">
      <t>ニチジ</t>
    </rPh>
    <rPh sb="21" eb="23">
      <t>ホウコク</t>
    </rPh>
    <phoneticPr fontId="2"/>
  </si>
  <si>
    <t>Health and Sport Day</t>
    <phoneticPr fontId="6"/>
  </si>
  <si>
    <t>TZA</t>
    <phoneticPr fontId="2"/>
  </si>
  <si>
    <t>TSO</t>
    <phoneticPr fontId="2"/>
  </si>
  <si>
    <t>SNNT</t>
    <phoneticPr fontId="2"/>
  </si>
  <si>
    <t>計画
(DIR)</t>
    <rPh sb="0" eb="2">
      <t>ケイカク</t>
    </rPh>
    <phoneticPr fontId="2"/>
  </si>
  <si>
    <t>計画
(DAT)</t>
    <rPh sb="0" eb="2">
      <t>ケイカク</t>
    </rPh>
    <phoneticPr fontId="2"/>
  </si>
  <si>
    <t>(全社)脆弱性対応（2022年）_パス・トラバーサル対応</t>
    <phoneticPr fontId="2"/>
  </si>
  <si>
    <t>HWY</t>
  </si>
  <si>
    <t>SPH</t>
  </si>
  <si>
    <t>KSH</t>
  </si>
  <si>
    <t>TSO</t>
  </si>
  <si>
    <t>SNNT</t>
  </si>
  <si>
    <t>TZA</t>
  </si>
  <si>
    <t>National Foundation Day</t>
    <phoneticPr fontId="2"/>
  </si>
  <si>
    <t>1日　⇒　0.25時</t>
    <rPh sb="1" eb="2">
      <t>ニチ</t>
    </rPh>
    <rPh sb="9" eb="10">
      <t>ジ</t>
    </rPh>
    <phoneticPr fontId="2"/>
  </si>
  <si>
    <t>DAT2022-08-25-01-01</t>
    <phoneticPr fontId="2"/>
  </si>
  <si>
    <t>WB4 Internal Training</t>
    <phoneticPr fontId="2"/>
  </si>
  <si>
    <t>開発レベル②、開発レベル③</t>
    <phoneticPr fontId="2"/>
  </si>
  <si>
    <t>先週</t>
    <phoneticPr fontId="2"/>
  </si>
  <si>
    <t>今週</t>
    <rPh sb="0" eb="2">
      <t>コンシュウ</t>
    </rPh>
    <phoneticPr fontId="2"/>
  </si>
  <si>
    <t>差異</t>
    <rPh sb="0" eb="2">
      <t>サイ</t>
    </rPh>
    <phoneticPr fontId="2"/>
  </si>
  <si>
    <t>案件計画</t>
    <rPh sb="0" eb="2">
      <t>アンケン</t>
    </rPh>
    <rPh sb="2" eb="4">
      <t>ケイカク</t>
    </rPh>
    <phoneticPr fontId="2"/>
  </si>
  <si>
    <t>案件実績</t>
    <rPh sb="0" eb="2">
      <t>アンケン</t>
    </rPh>
    <rPh sb="2" eb="4">
      <t>ジッセキ</t>
    </rPh>
    <phoneticPr fontId="2"/>
  </si>
  <si>
    <t>プロジェクト管理計画</t>
    <phoneticPr fontId="2"/>
  </si>
  <si>
    <t>プロジェクト管理実績</t>
    <phoneticPr fontId="2"/>
  </si>
  <si>
    <t>その他計画</t>
    <phoneticPr fontId="2"/>
  </si>
  <si>
    <t>その他実績</t>
    <phoneticPr fontId="2"/>
  </si>
  <si>
    <t>計画合計</t>
    <phoneticPr fontId="2"/>
  </si>
  <si>
    <t>実績合計</t>
    <phoneticPr fontId="2"/>
  </si>
  <si>
    <t>備考/理由</t>
    <rPh sb="0" eb="2">
      <t>ビコウ</t>
    </rPh>
    <rPh sb="3" eb="5">
      <t>リユウ</t>
    </rPh>
    <phoneticPr fontId="2"/>
  </si>
  <si>
    <t>4月</t>
    <rPh sb="1" eb="2">
      <t>ガツ</t>
    </rPh>
    <phoneticPr fontId="2"/>
  </si>
  <si>
    <t>DIRタスク対応　人月　合計</t>
    <rPh sb="6" eb="8">
      <t>タイオウ</t>
    </rPh>
    <rPh sb="9" eb="11">
      <t>ニンゲツ</t>
    </rPh>
    <phoneticPr fontId="2"/>
  </si>
  <si>
    <t>DIRタスク対応　人月　合計</t>
  </si>
  <si>
    <t>　年次　人月　DIRタスク</t>
    <rPh sb="1" eb="3">
      <t>ネンジ</t>
    </rPh>
    <rPh sb="4" eb="6">
      <t>ニンゲツ</t>
    </rPh>
    <phoneticPr fontId="2"/>
  </si>
  <si>
    <t>DIRタスク対応人月　+ DAT社内作業人月　合計</t>
    <rPh sb="16" eb="18">
      <t>シャナイ</t>
    </rPh>
    <rPh sb="18" eb="20">
      <t>サギョウ</t>
    </rPh>
    <rPh sb="20" eb="22">
      <t>ニンゲツ</t>
    </rPh>
    <phoneticPr fontId="2"/>
  </si>
  <si>
    <t>DAT2023-02-11-003-01</t>
    <phoneticPr fontId="2"/>
  </si>
  <si>
    <t>DAT2023-02-11-002-01</t>
    <phoneticPr fontId="2"/>
  </si>
  <si>
    <t xml:space="preserve"> WB4 DIR Training</t>
    <phoneticPr fontId="2"/>
  </si>
  <si>
    <t>WB4 DIR Training</t>
    <phoneticPr fontId="2"/>
  </si>
  <si>
    <t>①</t>
    <phoneticPr fontId="2"/>
  </si>
  <si>
    <t>案件．要員情報シートについて</t>
    <phoneticPr fontId="2"/>
  </si>
  <si>
    <t>▲今月のため対応された各案件、プロジェクト管理と他のテストの計画と実績人間を報告することです。</t>
    <rPh sb="1" eb="3">
      <t>コンゲツ</t>
    </rPh>
    <rPh sb="6" eb="8">
      <t>タイオウ</t>
    </rPh>
    <rPh sb="11" eb="12">
      <t>カク</t>
    </rPh>
    <rPh sb="12" eb="14">
      <t>アンケン</t>
    </rPh>
    <rPh sb="24" eb="25">
      <t>ホカ</t>
    </rPh>
    <rPh sb="35" eb="37">
      <t>ニンゲン</t>
    </rPh>
    <phoneticPr fontId="2"/>
  </si>
  <si>
    <t>※</t>
    <phoneticPr fontId="2"/>
  </si>
  <si>
    <t>メモ</t>
    <phoneticPr fontId="2"/>
  </si>
  <si>
    <t>列名の説明</t>
    <phoneticPr fontId="2"/>
  </si>
  <si>
    <t>列名</t>
    <phoneticPr fontId="2"/>
  </si>
  <si>
    <t>内容</t>
    <rPh sb="0" eb="2">
      <t>ナイヨウ</t>
    </rPh>
    <phoneticPr fontId="2"/>
  </si>
  <si>
    <t>今週⇒</t>
    <rPh sb="0" eb="2">
      <t>コンシュウ</t>
    </rPh>
    <phoneticPr fontId="2"/>
  </si>
  <si>
    <t>「先週の定例会の日から今週の水曜日までのカウント」</t>
    <rPh sb="4" eb="7">
      <t>テイレイカイ</t>
    </rPh>
    <rPh sb="11" eb="13">
      <t>コンシュウ</t>
    </rPh>
    <phoneticPr fontId="2"/>
  </si>
  <si>
    <t>No.列</t>
    <rPh sb="3" eb="4">
      <t>レツ</t>
    </rPh>
    <phoneticPr fontId="2"/>
  </si>
  <si>
    <t>連番</t>
    <phoneticPr fontId="2"/>
  </si>
  <si>
    <t>来週⇒</t>
    <rPh sb="0" eb="2">
      <t>ライシュウ</t>
    </rPh>
    <phoneticPr fontId="2"/>
  </si>
  <si>
    <t>「今週の定例会の日から来週の水曜日までのカウント」</t>
    <rPh sb="1" eb="3">
      <t>コンシュウ</t>
    </rPh>
    <rPh sb="11" eb="13">
      <t>ライシュウ</t>
    </rPh>
    <phoneticPr fontId="2"/>
  </si>
  <si>
    <t>案件のステータス「未着手、進行中、レビュー待ち、完了」</t>
    <rPh sb="0" eb="2">
      <t>アンケン</t>
    </rPh>
    <phoneticPr fontId="2"/>
  </si>
  <si>
    <t>区分</t>
    <phoneticPr fontId="2"/>
  </si>
  <si>
    <t>案件のカテゴリー</t>
    <rPh sb="0" eb="2">
      <t>アンケン</t>
    </rPh>
    <phoneticPr fontId="2"/>
  </si>
  <si>
    <t>・11月の計画工数の作成方法の説明</t>
  </si>
  <si>
    <t>DIR 担当</t>
    <phoneticPr fontId="2"/>
  </si>
  <si>
    <t>案件依頼しているDIR担当者名</t>
    <phoneticPr fontId="2"/>
  </si>
  <si>
    <t>・11月の計画工数と実績工数の差異の理由</t>
    <phoneticPr fontId="2"/>
  </si>
  <si>
    <t>案件管理コード（DAT)</t>
    <phoneticPr fontId="2"/>
  </si>
  <si>
    <t>DAT側でのWBS管理コード</t>
    <rPh sb="3" eb="4">
      <t>ガワ</t>
    </rPh>
    <rPh sb="9" eb="11">
      <t>カンリ</t>
    </rPh>
    <phoneticPr fontId="2"/>
  </si>
  <si>
    <t>・12月の計画工数（案件毎の内訳情報も）および過不足工数の説明</t>
  </si>
  <si>
    <t>案件管理コード（DIR)</t>
    <phoneticPr fontId="2"/>
  </si>
  <si>
    <t>DIR側からの管理コード</t>
    <rPh sb="3" eb="4">
      <t>ガワ</t>
    </rPh>
    <rPh sb="7" eb="9">
      <t>カンリ</t>
    </rPh>
    <phoneticPr fontId="2"/>
  </si>
  <si>
    <t>案件</t>
    <phoneticPr fontId="2"/>
  </si>
  <si>
    <t>今週中対応された案件名</t>
    <rPh sb="0" eb="2">
      <t>コンシュウ</t>
    </rPh>
    <rPh sb="2" eb="3">
      <t>チュウ</t>
    </rPh>
    <rPh sb="3" eb="5">
      <t>タイオウ</t>
    </rPh>
    <rPh sb="8" eb="11">
      <t>アンケンメイ</t>
    </rPh>
    <phoneticPr fontId="2"/>
  </si>
  <si>
    <t>備考</t>
    <phoneticPr fontId="2"/>
  </si>
  <si>
    <t>リマーク</t>
    <phoneticPr fontId="2"/>
  </si>
  <si>
    <t xml:space="preserve"> </t>
    <phoneticPr fontId="2"/>
  </si>
  <si>
    <t>http://w3ttsvn10/svn/webbroker3_pr/ミャンマーDAT/30_見積り依頼/オンライン開発(2022年9月~2023年2月)についての見積書.xlsx</t>
  </si>
  <si>
    <t>案件の計画工数作成方法の説明</t>
    <rPh sb="0" eb="2">
      <t>アンケン</t>
    </rPh>
    <phoneticPr fontId="2"/>
  </si>
  <si>
    <t>案件名</t>
    <rPh sb="0" eb="2">
      <t>アンケン</t>
    </rPh>
    <phoneticPr fontId="2"/>
  </si>
  <si>
    <t>計画工数作成方法</t>
    <rPh sb="0" eb="2">
      <t>ケイカク</t>
    </rPh>
    <rPh sb="2" eb="4">
      <t>コウスウ</t>
    </rPh>
    <rPh sb="4" eb="6">
      <t>サクセイ</t>
    </rPh>
    <rPh sb="6" eb="8">
      <t>ホウホウ</t>
    </rPh>
    <phoneticPr fontId="2"/>
  </si>
  <si>
    <t>定型案件</t>
    <phoneticPr fontId="2"/>
  </si>
  <si>
    <t>WBSを参考し、案件の範囲とメンバーのスキルに依存して作成しています。</t>
    <rPh sb="4" eb="6">
      <t>サンコウ</t>
    </rPh>
    <rPh sb="11" eb="13">
      <t>ハンイ</t>
    </rPh>
    <rPh sb="23" eb="25">
      <t>イゾン</t>
    </rPh>
    <rPh sb="27" eb="29">
      <t>サクセイ</t>
    </rPh>
    <phoneticPr fontId="2"/>
  </si>
  <si>
    <t xml:space="preserve">◆他のプロジェクトにはFASE Formを提出して対応するプロジェクトがあります。しかし、WB4にはありません。プロジェクトの計画をPMが上記のことなどを向けて作成しています。
</t>
    <rPh sb="1" eb="2">
      <t>ホカ</t>
    </rPh>
    <rPh sb="21" eb="23">
      <t>テイシュツ</t>
    </rPh>
    <rPh sb="25" eb="27">
      <t>タイオウ</t>
    </rPh>
    <rPh sb="63" eb="65">
      <t>ケイカク</t>
    </rPh>
    <rPh sb="69" eb="71">
      <t>ジョウキ</t>
    </rPh>
    <rPh sb="77" eb="78">
      <t>ム</t>
    </rPh>
    <rPh sb="80" eb="82">
      <t>サクセイ</t>
    </rPh>
    <phoneticPr fontId="2"/>
  </si>
  <si>
    <t>◆「(全社)脆弱性対応（2022年）_パス・トラバーサル対応」は徳田様が9月から12月まで各月に４人間として企画しました。</t>
    <rPh sb="37" eb="38">
      <t>ゲツ</t>
    </rPh>
    <rPh sb="42" eb="43">
      <t>ゲツ</t>
    </rPh>
    <rPh sb="45" eb="46">
      <t>カク</t>
    </rPh>
    <rPh sb="46" eb="47">
      <t>ゲツ</t>
    </rPh>
    <rPh sb="49" eb="51">
      <t>ニンゲン</t>
    </rPh>
    <rPh sb="54" eb="56">
      <t>キカク</t>
    </rPh>
    <phoneticPr fontId="2"/>
  </si>
  <si>
    <t xml:space="preserve">◆DIRと月次会議後には、サービス機能テストもする可能性がありますので、イェさんが２月まで各月に４人間として企画しました。
(9月~2月)の計画人間⇒25.18
各月の計画人間　⇒ 4.19 (25.18/6)
</t>
    <rPh sb="5" eb="6">
      <t>ゲツ</t>
    </rPh>
    <rPh sb="6" eb="7">
      <t>ジ</t>
    </rPh>
    <rPh sb="7" eb="9">
      <t>カイギ</t>
    </rPh>
    <rPh sb="9" eb="10">
      <t>アト</t>
    </rPh>
    <rPh sb="17" eb="19">
      <t>キノウ</t>
    </rPh>
    <rPh sb="25" eb="28">
      <t>カノウセイ</t>
    </rPh>
    <rPh sb="42" eb="43">
      <t>ゲツ</t>
    </rPh>
    <rPh sb="64" eb="65">
      <t>ゲツ</t>
    </rPh>
    <rPh sb="67" eb="68">
      <t>ゲツ</t>
    </rPh>
    <rPh sb="72" eb="74">
      <t>ニンゲン</t>
    </rPh>
    <rPh sb="81" eb="83">
      <t>カクゲツ</t>
    </rPh>
    <rPh sb="86" eb="88">
      <t>ニンゲン</t>
    </rPh>
    <phoneticPr fontId="2"/>
  </si>
  <si>
    <t>計画工数と実績工数の差異の理由</t>
    <phoneticPr fontId="2"/>
  </si>
  <si>
    <t>理由</t>
    <rPh sb="0" eb="2">
      <t>リユウ</t>
    </rPh>
    <phoneticPr fontId="2"/>
  </si>
  <si>
    <t>定型案件と
(全社)脆弱性対応（2022年）_パス・トラバーサル対応</t>
    <phoneticPr fontId="2"/>
  </si>
  <si>
    <t>◆DIRから計画を立っていないし、PMが自分で計画したので異なりました。</t>
    <rPh sb="6" eb="8">
      <t>ケイカク</t>
    </rPh>
    <rPh sb="9" eb="10">
      <t>タ</t>
    </rPh>
    <rPh sb="20" eb="22">
      <t>ジブン</t>
    </rPh>
    <rPh sb="23" eb="25">
      <t>ケイカク</t>
    </rPh>
    <rPh sb="29" eb="30">
      <t>コト</t>
    </rPh>
    <phoneticPr fontId="2"/>
  </si>
  <si>
    <t>◆仕事がありますが、様々な理由で (エラーが発生など)停止しているので異なりました。
◆仕事が止まる時、メンバーのスキルアップのため研修しています。</t>
    <rPh sb="1" eb="3">
      <t>シゴト</t>
    </rPh>
    <rPh sb="10" eb="12">
      <t>サマザマ</t>
    </rPh>
    <rPh sb="13" eb="15">
      <t>リユウ</t>
    </rPh>
    <rPh sb="22" eb="24">
      <t>ハッセイ</t>
    </rPh>
    <rPh sb="27" eb="29">
      <t>テイシ</t>
    </rPh>
    <phoneticPr fontId="2"/>
  </si>
  <si>
    <t>▲DATメンバーが対応しているプロジェクト管理タスクは６つあります。</t>
    <rPh sb="9" eb="11">
      <t>タイオウ</t>
    </rPh>
    <phoneticPr fontId="2"/>
  </si>
  <si>
    <t>プロジェクト管理の計画工数作成方法の説明</t>
    <phoneticPr fontId="2"/>
  </si>
  <si>
    <t>タスク名</t>
    <rPh sb="3" eb="4">
      <t>メイ</t>
    </rPh>
    <phoneticPr fontId="2"/>
  </si>
  <si>
    <t>DATチーム会議</t>
    <phoneticPr fontId="2"/>
  </si>
  <si>
    <t>◆毎日30分(0.5 hr)かかります。
◆全メンバーが出席しています。
◆一人⇒(0.5 x Working Day)</t>
    <rPh sb="1" eb="3">
      <t>マイニチ</t>
    </rPh>
    <rPh sb="5" eb="6">
      <t>ブン</t>
    </rPh>
    <rPh sb="22" eb="23">
      <t>ゼン</t>
    </rPh>
    <rPh sb="28" eb="30">
      <t>シュッセキ</t>
    </rPh>
    <rPh sb="38" eb="40">
      <t>ヒトリ</t>
    </rPh>
    <phoneticPr fontId="2"/>
  </si>
  <si>
    <t>DIRとの定例会</t>
    <phoneticPr fontId="2"/>
  </si>
  <si>
    <t>◆毎週1時間かかります。
◆全メンバーが出席しています。
◆一人⇒(１ x week count of a month)</t>
    <rPh sb="1" eb="3">
      <t>マイシュウ</t>
    </rPh>
    <rPh sb="4" eb="6">
      <t>ジカン</t>
    </rPh>
    <phoneticPr fontId="2"/>
  </si>
  <si>
    <t>日次報告書</t>
    <phoneticPr fontId="2"/>
  </si>
  <si>
    <t>◆DATの社内システム(WHM)とThincの日次報告書に報告記入する時間です。
◆毎日30分(0.5 hr)かかります。
◆全メンバーがやっています。
◆一人⇒(0.5 x Working Day)</t>
    <rPh sb="5" eb="7">
      <t>シャナイ</t>
    </rPh>
    <rPh sb="23" eb="27">
      <t>ニチジホウコク</t>
    </rPh>
    <rPh sb="29" eb="31">
      <t>ホウコク</t>
    </rPh>
    <rPh sb="31" eb="33">
      <t>キニュウ</t>
    </rPh>
    <rPh sb="35" eb="37">
      <t>ジカン</t>
    </rPh>
    <rPh sb="42" eb="44">
      <t>マイニチ</t>
    </rPh>
    <rPh sb="46" eb="47">
      <t>ブン</t>
    </rPh>
    <rPh sb="63" eb="64">
      <t>ゼン</t>
    </rPh>
    <rPh sb="78" eb="80">
      <t>ヒトリ</t>
    </rPh>
    <phoneticPr fontId="2"/>
  </si>
  <si>
    <t>週次報告</t>
    <phoneticPr fontId="2"/>
  </si>
  <si>
    <t>◆毎週の水曜日DIRへ送信する週次報告作成時間と毎週の金曜日DAT管理人送信する週次報告作成時間
◆毎週３時間かかります。
◆PMだけやっています。
◆一人⇒(0.5 x Working Day)</t>
    <rPh sb="1" eb="3">
      <t>マイシュウ</t>
    </rPh>
    <rPh sb="4" eb="7">
      <t>スイヨウビ</t>
    </rPh>
    <rPh sb="11" eb="13">
      <t>ソウシン</t>
    </rPh>
    <rPh sb="19" eb="21">
      <t>サクセイ</t>
    </rPh>
    <rPh sb="21" eb="23">
      <t>ジカン</t>
    </rPh>
    <rPh sb="24" eb="26">
      <t>マイシュウ</t>
    </rPh>
    <rPh sb="27" eb="30">
      <t>キンヨウビ</t>
    </rPh>
    <rPh sb="50" eb="52">
      <t>マイシュウ</t>
    </rPh>
    <rPh sb="53" eb="55">
      <t>ジカン</t>
    </rPh>
    <rPh sb="76" eb="78">
      <t>ヒトリ</t>
    </rPh>
    <phoneticPr fontId="2"/>
  </si>
  <si>
    <t>プロジェクト管理、メール送受信、WBS管理、Redmine管理</t>
    <phoneticPr fontId="2"/>
  </si>
  <si>
    <t xml:space="preserve">◆メール送受信時間、WBS作成時間、Redmine管理時間と他の報告作成時間です。
◆毎日PMは３時間、二人のリーダーは30分かかる。
◆(3 x Working Day)+(0.5 x Working Day)+(0.5 x Working Day)
</t>
    <rPh sb="7" eb="9">
      <t>ジカン</t>
    </rPh>
    <rPh sb="13" eb="15">
      <t>サクセイ</t>
    </rPh>
    <rPh sb="30" eb="31">
      <t>ホカ</t>
    </rPh>
    <rPh sb="32" eb="34">
      <t>ホウコク</t>
    </rPh>
    <rPh sb="34" eb="36">
      <t>サクセイ</t>
    </rPh>
    <rPh sb="36" eb="38">
      <t>ジカン</t>
    </rPh>
    <rPh sb="62" eb="63">
      <t>フン</t>
    </rPh>
    <phoneticPr fontId="2"/>
  </si>
  <si>
    <t>◆PMとリーダーが他のメンバーにサポートする時間です。
◆毎日PMと二人のリーダーは1時間かかる。
◆(1 x Working Day)+(1 x Working Day)+(1 x Working Day)</t>
    <rPh sb="9" eb="10">
      <t>ホカ</t>
    </rPh>
    <rPh sb="22" eb="24">
      <t>ジカン</t>
    </rPh>
    <rPh sb="29" eb="31">
      <t>マイニチ</t>
    </rPh>
    <rPh sb="43" eb="45">
      <t>ジカン</t>
    </rPh>
    <phoneticPr fontId="2"/>
  </si>
  <si>
    <t xml:space="preserve">いつものは計画と実績が合っています。
</t>
    <rPh sb="5" eb="7">
      <t>ケイカク</t>
    </rPh>
    <rPh sb="8" eb="10">
      <t>ジッセキ</t>
    </rPh>
    <phoneticPr fontId="2"/>
  </si>
  <si>
    <t>計画は1時間ですが、実際は30分以下かかるので
異なりました。</t>
    <rPh sb="0" eb="2">
      <t>ケイカク</t>
    </rPh>
    <rPh sb="4" eb="6">
      <t>ジカン</t>
    </rPh>
    <rPh sb="10" eb="12">
      <t>ジッサイ</t>
    </rPh>
    <rPh sb="15" eb="16">
      <t>フン</t>
    </rPh>
    <rPh sb="16" eb="18">
      <t>イカ</t>
    </rPh>
    <phoneticPr fontId="2"/>
  </si>
  <si>
    <t>計画を記入していますが、実績は計算する時には下記のプロジェクト管理テクストに追加して計算しています。
そして、週次報告の実績は'0'になっています。</t>
    <rPh sb="0" eb="2">
      <t>ケイカク</t>
    </rPh>
    <rPh sb="3" eb="5">
      <t>キニュウ</t>
    </rPh>
    <rPh sb="12" eb="14">
      <t>ジッセキ</t>
    </rPh>
    <rPh sb="15" eb="17">
      <t>ケイサン</t>
    </rPh>
    <rPh sb="19" eb="20">
      <t>トキ</t>
    </rPh>
    <rPh sb="22" eb="24">
      <t>カキ</t>
    </rPh>
    <rPh sb="38" eb="40">
      <t>ツイカ</t>
    </rPh>
    <rPh sb="60" eb="62">
      <t>ジッセキ</t>
    </rPh>
    <phoneticPr fontId="2"/>
  </si>
  <si>
    <t xml:space="preserve">◆毎日PMのため３時間として予定されていますが、週次報告作成時間を追加し、他の管理タスクがあるため計画と実績が異なります。
◆毎日二人のリーダーのため30分として予定されていますが、管理タクスがない日もあるので計画と実績が異なります。
</t>
    <rPh sb="14" eb="16">
      <t>ヨテイ</t>
    </rPh>
    <rPh sb="28" eb="30">
      <t>サクセイ</t>
    </rPh>
    <rPh sb="30" eb="32">
      <t>ジカン</t>
    </rPh>
    <rPh sb="33" eb="35">
      <t>ツイカ</t>
    </rPh>
    <rPh sb="37" eb="38">
      <t>ホカ</t>
    </rPh>
    <rPh sb="39" eb="41">
      <t>カンリ</t>
    </rPh>
    <rPh sb="49" eb="51">
      <t>ケイカク</t>
    </rPh>
    <rPh sb="52" eb="54">
      <t>ジッセキ</t>
    </rPh>
    <rPh sb="77" eb="78">
      <t>ブン</t>
    </rPh>
    <rPh sb="91" eb="93">
      <t>カンリ</t>
    </rPh>
    <rPh sb="99" eb="100">
      <t>ニチ</t>
    </rPh>
    <phoneticPr fontId="2"/>
  </si>
  <si>
    <t>メンバーはサポートが不要な日もあるので計画と実績が異なります。</t>
    <rPh sb="10" eb="12">
      <t>フヨウ</t>
    </rPh>
    <rPh sb="13" eb="14">
      <t>ヒ</t>
    </rPh>
    <phoneticPr fontId="2"/>
  </si>
  <si>
    <t>▲その他のタクスには案件と管理以外のタクス例えばJinwa研修やDAT社内作業などのタクスです。</t>
    <rPh sb="3" eb="4">
      <t>タ</t>
    </rPh>
    <rPh sb="10" eb="12">
      <t>アンケン</t>
    </rPh>
    <rPh sb="13" eb="15">
      <t>カンリ</t>
    </rPh>
    <rPh sb="15" eb="17">
      <t>イガイ</t>
    </rPh>
    <rPh sb="21" eb="22">
      <t>タト</t>
    </rPh>
    <rPh sb="29" eb="31">
      <t>ケンシュウ</t>
    </rPh>
    <phoneticPr fontId="2"/>
  </si>
  <si>
    <t>WB4 Internal Training</t>
  </si>
  <si>
    <t>新入社員がいる月には計画を作成しています。
今は新入社員がいないので計画は０になりました。</t>
    <rPh sb="0" eb="4">
      <t>シンニュウシャイン</t>
    </rPh>
    <rPh sb="7" eb="8">
      <t>ゲツ</t>
    </rPh>
    <rPh sb="10" eb="12">
      <t>ケイカク</t>
    </rPh>
    <rPh sb="13" eb="15">
      <t>サクセイ</t>
    </rPh>
    <rPh sb="22" eb="23">
      <t>イマ</t>
    </rPh>
    <rPh sb="24" eb="28">
      <t>シンニュウシャイン</t>
    </rPh>
    <rPh sb="34" eb="36">
      <t>ケイカク</t>
    </rPh>
    <phoneticPr fontId="2"/>
  </si>
  <si>
    <t>JINWA Training(Class Hours)</t>
  </si>
  <si>
    <t>DATの社内報告書の計画時間と合わせるため、計画が０になりました。</t>
    <rPh sb="4" eb="6">
      <t>シャナイ</t>
    </rPh>
    <rPh sb="6" eb="9">
      <t>ホウコクショ</t>
    </rPh>
    <rPh sb="10" eb="12">
      <t>ケイカク</t>
    </rPh>
    <rPh sb="12" eb="14">
      <t>ジカン</t>
    </rPh>
    <rPh sb="15" eb="16">
      <t>ア</t>
    </rPh>
    <rPh sb="22" eb="24">
      <t>ケイカク</t>
    </rPh>
    <phoneticPr fontId="2"/>
  </si>
  <si>
    <t>JINWA Training(Practicals)</t>
  </si>
  <si>
    <t>◆メンバー４人が毎日3時間対応しています。
◆一人⇒(３x Working Day)</t>
    <rPh sb="8" eb="10">
      <t>マイニチ</t>
    </rPh>
    <rPh sb="11" eb="13">
      <t>ジカン</t>
    </rPh>
    <rPh sb="13" eb="15">
      <t>タイオウ</t>
    </rPh>
    <phoneticPr fontId="2"/>
  </si>
  <si>
    <t>開発レベル②、開発レベル③</t>
  </si>
  <si>
    <t>◆Offshore 証明書のためやっているタクスです。
◆毎日は２時間かかります。
◆11月にはメンバー５人が開発レベルのタクスを対応しています。
◆一人⇒(２ x Working Day)</t>
    <rPh sb="10" eb="13">
      <t>ショウメイショ</t>
    </rPh>
    <rPh sb="29" eb="31">
      <t>マイニチ</t>
    </rPh>
    <rPh sb="33" eb="35">
      <t>ジカン</t>
    </rPh>
    <rPh sb="45" eb="46">
      <t>ゲツ</t>
    </rPh>
    <rPh sb="53" eb="54">
      <t>ニン</t>
    </rPh>
    <rPh sb="55" eb="57">
      <t>カイハツ</t>
    </rPh>
    <rPh sb="65" eb="67">
      <t>タイオウ</t>
    </rPh>
    <phoneticPr fontId="2"/>
  </si>
  <si>
    <t>計画が計算できないので、０になりました。</t>
    <rPh sb="0" eb="2">
      <t>ケイカク</t>
    </rPh>
    <rPh sb="3" eb="5">
      <t>ケイサン</t>
    </rPh>
    <phoneticPr fontId="2"/>
  </si>
  <si>
    <t>休暇の計画が計算できないので、０になりました。</t>
    <rPh sb="3" eb="5">
      <t>ケイカク</t>
    </rPh>
    <rPh sb="6" eb="8">
      <t>ケイサン</t>
    </rPh>
    <phoneticPr fontId="2"/>
  </si>
  <si>
    <t>今は新入社員がいないので計画は０ですが、案件がない時は後輩メンバーがスキルアップのため過去定型案件やエラーメッセージ修正とかをやっていますので計画と実績が異なります。</t>
    <rPh sb="0" eb="1">
      <t>イマ</t>
    </rPh>
    <rPh sb="2" eb="6">
      <t>シンニュウシャイン</t>
    </rPh>
    <rPh sb="12" eb="14">
      <t>ケイカク</t>
    </rPh>
    <rPh sb="20" eb="22">
      <t>アンケン</t>
    </rPh>
    <rPh sb="25" eb="26">
      <t>トキ</t>
    </rPh>
    <rPh sb="43" eb="45">
      <t>カコ</t>
    </rPh>
    <rPh sb="45" eb="49">
      <t>テイケイアンケン</t>
    </rPh>
    <rPh sb="58" eb="60">
      <t>シュウセイ</t>
    </rPh>
    <phoneticPr fontId="2"/>
  </si>
  <si>
    <t>JINWA Training(Class Hours)</t>
    <phoneticPr fontId="2"/>
  </si>
  <si>
    <t>11月には授業時間が1日あるので計画と実績が異なります。</t>
    <rPh sb="2" eb="3">
      <t>ゲツ</t>
    </rPh>
    <rPh sb="11" eb="12">
      <t>ニチ</t>
    </rPh>
    <phoneticPr fontId="2"/>
  </si>
  <si>
    <t>案件がない時にもJinwa研修を対応しているので計画と実績が異なります。</t>
    <rPh sb="13" eb="15">
      <t>ケンシュウ</t>
    </rPh>
    <rPh sb="16" eb="18">
      <t>タイオウ</t>
    </rPh>
    <phoneticPr fontId="2"/>
  </si>
  <si>
    <t>11月にはDIRの社長と会議があるし、社内トレーニング(C トレーニング)があるので計画と実績が異なります。</t>
    <rPh sb="2" eb="3">
      <t>ゲツ</t>
    </rPh>
    <rPh sb="9" eb="11">
      <t>シャチョウ</t>
    </rPh>
    <rPh sb="12" eb="14">
      <t>カイギ</t>
    </rPh>
    <rPh sb="19" eb="21">
      <t>シャナイ</t>
    </rPh>
    <phoneticPr fontId="2"/>
  </si>
  <si>
    <t>11月にはイェさんは８日と18日に休暇を取ったので計画と実績が異なります。</t>
    <rPh sb="11" eb="12">
      <t>ニチ</t>
    </rPh>
    <rPh sb="15" eb="16">
      <t>ニチ</t>
    </rPh>
    <rPh sb="20" eb="21">
      <t>ト</t>
    </rPh>
    <phoneticPr fontId="2"/>
  </si>
  <si>
    <t>②</t>
    <phoneticPr fontId="2"/>
  </si>
  <si>
    <t>週次報告シートについて</t>
    <phoneticPr fontId="2"/>
  </si>
  <si>
    <t>▲今週のため対応された案件などをリストアップして内訳として説明を報告することです。</t>
    <rPh sb="1" eb="3">
      <t>コンシュウ</t>
    </rPh>
    <rPh sb="6" eb="8">
      <t>タイオウ</t>
    </rPh>
    <rPh sb="11" eb="13">
      <t>アンケン</t>
    </rPh>
    <rPh sb="24" eb="26">
      <t>ウチワケ</t>
    </rPh>
    <rPh sb="29" eb="31">
      <t>セツメイ</t>
    </rPh>
    <rPh sb="32" eb="34">
      <t>ホウコク</t>
    </rPh>
    <phoneticPr fontId="2"/>
  </si>
  <si>
    <t>DIR担当</t>
    <phoneticPr fontId="2"/>
  </si>
  <si>
    <t>案件依頼しているDIR担当者名</t>
    <rPh sb="0" eb="2">
      <t>アンケン</t>
    </rPh>
    <rPh sb="2" eb="4">
      <t>イライ</t>
    </rPh>
    <rPh sb="11" eb="14">
      <t>タントウシャ</t>
    </rPh>
    <rPh sb="14" eb="15">
      <t>メイ</t>
    </rPh>
    <phoneticPr fontId="2"/>
  </si>
  <si>
    <t>日付[F]</t>
    <rPh sb="0" eb="2">
      <t>ヒヅケ</t>
    </rPh>
    <phoneticPr fontId="2"/>
  </si>
  <si>
    <t>今回の期間</t>
    <rPh sb="0" eb="2">
      <t>コンカイ</t>
    </rPh>
    <rPh sb="3" eb="5">
      <t>キカン</t>
    </rPh>
    <phoneticPr fontId="2"/>
  </si>
  <si>
    <t>日付[G]</t>
    <rPh sb="0" eb="2">
      <t>ヒヅケ</t>
    </rPh>
    <phoneticPr fontId="2"/>
  </si>
  <si>
    <t>来週の期間</t>
    <rPh sb="0" eb="2">
      <t>ライシュウ</t>
    </rPh>
    <rPh sb="3" eb="5">
      <t>キカン</t>
    </rPh>
    <phoneticPr fontId="2"/>
  </si>
  <si>
    <t>▲大体プロジェクトの種類として四つあります。報告スタイルは下記の通りになります。</t>
    <rPh sb="1" eb="3">
      <t>ダイタイ</t>
    </rPh>
    <rPh sb="10" eb="12">
      <t>シュルイ</t>
    </rPh>
    <rPh sb="15" eb="16">
      <t>ヨッ</t>
    </rPh>
    <rPh sb="22" eb="24">
      <t>ホウコク</t>
    </rPh>
    <rPh sb="29" eb="31">
      <t>カキ</t>
    </rPh>
    <rPh sb="32" eb="33">
      <t>トオ</t>
    </rPh>
    <phoneticPr fontId="2"/>
  </si>
  <si>
    <t>開発の流れ</t>
    <rPh sb="0" eb="2">
      <t>カイハツ</t>
    </rPh>
    <rPh sb="3" eb="4">
      <t>ナガ</t>
    </rPh>
    <phoneticPr fontId="2"/>
  </si>
  <si>
    <t>調査と開発</t>
    <phoneticPr fontId="2"/>
  </si>
  <si>
    <t>未着手、進行中、レビュー待ち、完了</t>
    <rPh sb="0" eb="3">
      <t>ミチャクシュ</t>
    </rPh>
    <rPh sb="4" eb="7">
      <t>シンコウチュウ</t>
    </rPh>
    <rPh sb="12" eb="13">
      <t>マ</t>
    </rPh>
    <rPh sb="15" eb="17">
      <t>カンリョウ</t>
    </rPh>
    <phoneticPr fontId="2"/>
  </si>
  <si>
    <t>結合テスト</t>
    <phoneticPr fontId="2"/>
  </si>
  <si>
    <t>UPDATE用資料</t>
    <phoneticPr fontId="2"/>
  </si>
  <si>
    <t>poptreeチェック</t>
    <phoneticPr fontId="2"/>
  </si>
  <si>
    <t>バッチ開発作業</t>
    <phoneticPr fontId="2"/>
  </si>
  <si>
    <t>基本設計</t>
    <rPh sb="0" eb="2">
      <t>キホン</t>
    </rPh>
    <rPh sb="2" eb="4">
      <t>セッケイ</t>
    </rPh>
    <phoneticPr fontId="2"/>
  </si>
  <si>
    <t>詳細設計</t>
    <rPh sb="0" eb="2">
      <t>ショウサイ</t>
    </rPh>
    <rPh sb="2" eb="4">
      <t>セッケイ</t>
    </rPh>
    <phoneticPr fontId="2"/>
  </si>
  <si>
    <t>コード開発</t>
    <rPh sb="3" eb="5">
      <t>カイハツ</t>
    </rPh>
    <phoneticPr fontId="2"/>
  </si>
  <si>
    <t>単体テスト</t>
    <rPh sb="0" eb="2">
      <t>タンタイ</t>
    </rPh>
    <phoneticPr fontId="2"/>
  </si>
  <si>
    <t>総合テスト</t>
    <phoneticPr fontId="2"/>
  </si>
  <si>
    <t>アドホックのタスク</t>
    <phoneticPr fontId="2"/>
  </si>
  <si>
    <t>要件確認</t>
    <rPh sb="0" eb="4">
      <t>ヨウケンカクニン</t>
    </rPh>
    <phoneticPr fontId="2"/>
  </si>
  <si>
    <t>調査と開発</t>
    <rPh sb="0" eb="2">
      <t>チョウサ</t>
    </rPh>
    <rPh sb="3" eb="5">
      <t>カイハツ</t>
    </rPh>
    <phoneticPr fontId="2"/>
  </si>
  <si>
    <t>結合テスト</t>
    <rPh sb="0" eb="2">
      <t>ケツゴウ</t>
    </rPh>
    <phoneticPr fontId="2"/>
  </si>
  <si>
    <t>総合テスト</t>
    <rPh sb="0" eb="2">
      <t>ソウゴウ</t>
    </rPh>
    <phoneticPr fontId="2"/>
  </si>
  <si>
    <t>UPDATE用資料</t>
    <rPh sb="6" eb="7">
      <t>ヨウ</t>
    </rPh>
    <rPh sb="7" eb="9">
      <t>シリョウ</t>
    </rPh>
    <phoneticPr fontId="2"/>
  </si>
  <si>
    <t>PR案件</t>
    <phoneticPr fontId="2"/>
  </si>
  <si>
    <t>開発の流れ</t>
  </si>
  <si>
    <t>③</t>
    <phoneticPr fontId="2"/>
  </si>
  <si>
    <t>休暇シートについて</t>
    <phoneticPr fontId="2"/>
  </si>
  <si>
    <t>▲今週、来週のためWB4チームメンバーの休暇情報を報告することです。</t>
    <rPh sb="4" eb="6">
      <t>ライシュウ</t>
    </rPh>
    <rPh sb="20" eb="22">
      <t>キュウカ</t>
    </rPh>
    <rPh sb="22" eb="24">
      <t>ジョウホウ</t>
    </rPh>
    <rPh sb="25" eb="27">
      <t>ホウコク</t>
    </rPh>
    <phoneticPr fontId="2"/>
  </si>
  <si>
    <t>テーブルの説明</t>
    <phoneticPr fontId="2"/>
  </si>
  <si>
    <t>略語</t>
    <phoneticPr fontId="2"/>
  </si>
  <si>
    <t>説明</t>
    <rPh sb="0" eb="2">
      <t>セツメイ</t>
    </rPh>
    <phoneticPr fontId="2"/>
  </si>
  <si>
    <t>出勤</t>
    <phoneticPr fontId="2"/>
  </si>
  <si>
    <t>休暇</t>
    <rPh sb="0" eb="2">
      <t>キュウカ</t>
    </rPh>
    <phoneticPr fontId="2"/>
  </si>
  <si>
    <t>半休</t>
    <phoneticPr fontId="2"/>
  </si>
  <si>
    <t>祝日</t>
    <phoneticPr fontId="2"/>
  </si>
  <si>
    <t>土曜日、日曜日</t>
    <rPh sb="0" eb="3">
      <t>ドヨウビ</t>
    </rPh>
    <rPh sb="4" eb="7">
      <t>ニチヨウビ</t>
    </rPh>
    <phoneticPr fontId="2"/>
  </si>
  <si>
    <t>メンバー名の略語</t>
    <rPh sb="4" eb="5">
      <t>メイ</t>
    </rPh>
    <phoneticPr fontId="2"/>
  </si>
  <si>
    <t>総休暇日数</t>
    <rPh sb="0" eb="1">
      <t>ソウ</t>
    </rPh>
    <rPh sb="1" eb="3">
      <t>キュウカ</t>
    </rPh>
    <rPh sb="3" eb="5">
      <t>ニッスウ</t>
    </rPh>
    <phoneticPr fontId="2"/>
  </si>
  <si>
    <t>Actual Working Days</t>
    <phoneticPr fontId="2"/>
  </si>
  <si>
    <t>総実稼働日数</t>
    <phoneticPr fontId="2"/>
  </si>
  <si>
    <t>④</t>
    <phoneticPr fontId="2"/>
  </si>
  <si>
    <t>祝日シートについて</t>
    <rPh sb="0" eb="2">
      <t>シュクジツ</t>
    </rPh>
    <phoneticPr fontId="2"/>
  </si>
  <si>
    <t>▲ミャンマー側の祝日情報を報告することです。</t>
    <rPh sb="6" eb="7">
      <t>ガワ</t>
    </rPh>
    <rPh sb="8" eb="10">
      <t>シュクジツ</t>
    </rPh>
    <rPh sb="10" eb="12">
      <t>ジョウホウ</t>
    </rPh>
    <rPh sb="13" eb="15">
      <t>ホウコク</t>
    </rPh>
    <phoneticPr fontId="2"/>
  </si>
  <si>
    <t xml:space="preserve">   Total Member - 8</t>
    <phoneticPr fontId="2"/>
  </si>
  <si>
    <t>IKK</t>
    <phoneticPr fontId="2"/>
  </si>
  <si>
    <t>Independence Day</t>
  </si>
  <si>
    <t>Kayin New Year Day</t>
  </si>
  <si>
    <t>Fullmoon Day of Tabaung</t>
  </si>
  <si>
    <t>Thingyan Holiday</t>
  </si>
  <si>
    <t>Full Moon Day of Kasong</t>
  </si>
  <si>
    <t>Martyr’s Day</t>
  </si>
  <si>
    <t>Full Moon Day of Waso</t>
  </si>
  <si>
    <t>Thadingyut Festival</t>
  </si>
  <si>
    <t>Deepavali Holiday *</t>
  </si>
  <si>
    <t>National Day</t>
  </si>
  <si>
    <t>Substitute Day</t>
    <phoneticPr fontId="2"/>
  </si>
  <si>
    <t>AP トレーニングの勉強</t>
    <phoneticPr fontId="2"/>
  </si>
  <si>
    <t xml:space="preserve">   FOC Member - 1</t>
    <phoneticPr fontId="2"/>
  </si>
  <si>
    <t>Contract Member - 7</t>
    <phoneticPr fontId="2"/>
  </si>
  <si>
    <t>プロジェクト</t>
  </si>
  <si>
    <t>定型</t>
  </si>
  <si>
    <t>山田</t>
    <phoneticPr fontId="2"/>
  </si>
  <si>
    <t>KBN</t>
    <phoneticPr fontId="2"/>
  </si>
  <si>
    <t>Contract Member - 8</t>
    <phoneticPr fontId="2"/>
  </si>
  <si>
    <t>03月01日~05日</t>
    <phoneticPr fontId="2"/>
  </si>
  <si>
    <t>11月01日~05日</t>
    <phoneticPr fontId="2"/>
  </si>
  <si>
    <t>Contract MM</t>
    <phoneticPr fontId="2"/>
  </si>
  <si>
    <t>合計案件（計画）</t>
    <phoneticPr fontId="2"/>
  </si>
  <si>
    <t>合計案件（実績）</t>
    <phoneticPr fontId="2"/>
  </si>
  <si>
    <t>Diff</t>
    <phoneticPr fontId="2"/>
  </si>
  <si>
    <t>プロジェクト管理（計画）</t>
    <phoneticPr fontId="2"/>
  </si>
  <si>
    <t>プロジェクト管理（実績）</t>
    <phoneticPr fontId="2"/>
  </si>
  <si>
    <t>■合計</t>
    <phoneticPr fontId="2"/>
  </si>
  <si>
    <t>DIRタスク対応　人月　合計</t>
    <phoneticPr fontId="2"/>
  </si>
  <si>
    <t>今週のため休暇を取ったメンバーはいませんでした。</t>
  </si>
  <si>
    <t>来週のため休暇予定はありません。</t>
    <phoneticPr fontId="2"/>
  </si>
  <si>
    <t xml:space="preserve"> (ミャンマーの新年祝日)</t>
    <phoneticPr fontId="2"/>
  </si>
  <si>
    <t>木</t>
    <phoneticPr fontId="2"/>
  </si>
  <si>
    <t>金</t>
    <phoneticPr fontId="2"/>
  </si>
  <si>
    <t>日</t>
    <phoneticPr fontId="2"/>
  </si>
  <si>
    <t>月</t>
    <phoneticPr fontId="2"/>
  </si>
  <si>
    <t>AMTZ</t>
    <phoneticPr fontId="2"/>
  </si>
  <si>
    <t>NCM</t>
    <phoneticPr fontId="2"/>
  </si>
  <si>
    <t>SMZK</t>
    <phoneticPr fontId="2"/>
  </si>
  <si>
    <t>SYA</t>
    <phoneticPr fontId="2"/>
  </si>
  <si>
    <t>MMH</t>
    <phoneticPr fontId="2"/>
  </si>
  <si>
    <t>MHS</t>
    <phoneticPr fontId="2"/>
  </si>
  <si>
    <t>DIR</t>
  </si>
  <si>
    <t>なし</t>
    <phoneticPr fontId="2"/>
  </si>
  <si>
    <t>なし</t>
  </si>
  <si>
    <t>開発レベル③</t>
  </si>
  <si>
    <t>開発レベル③</t>
    <phoneticPr fontId="2"/>
  </si>
  <si>
    <t>BW1</t>
    <phoneticPr fontId="2"/>
  </si>
  <si>
    <t xml:space="preserve">  A5207110</t>
    <phoneticPr fontId="2"/>
  </si>
  <si>
    <t>【案件依頼】ビルド作業を対応</t>
    <phoneticPr fontId="2"/>
  </si>
  <si>
    <t>~</t>
    <phoneticPr fontId="2"/>
  </si>
  <si>
    <t>ビルド作業を対応 (31/03~04/04) ：完了</t>
    <phoneticPr fontId="2"/>
  </si>
  <si>
    <t>坂野</t>
    <phoneticPr fontId="2"/>
  </si>
  <si>
    <t>PL6</t>
    <phoneticPr fontId="2"/>
  </si>
  <si>
    <t>PBxxxxxxxx</t>
    <phoneticPr fontId="2"/>
  </si>
  <si>
    <t>【PLATE】対面WEB_初期フォーカス改善対応</t>
    <phoneticPr fontId="2"/>
  </si>
  <si>
    <t>初期フォーカスの確認 : 完了</t>
  </si>
  <si>
    <t>Tabキーの挙動確認：完了</t>
    <phoneticPr fontId="2"/>
  </si>
  <si>
    <t>修正後ソースの評価：完了</t>
    <phoneticPr fontId="2"/>
  </si>
  <si>
    <t>TSO/NCM/SYA/MMH/KBN</t>
    <phoneticPr fontId="2"/>
  </si>
  <si>
    <t>山本</t>
    <phoneticPr fontId="2"/>
  </si>
  <si>
    <t>WA2</t>
    <phoneticPr fontId="2"/>
  </si>
  <si>
    <t>【開発依頼】作業の自動化_UATヘルスチェック</t>
    <phoneticPr fontId="2"/>
  </si>
  <si>
    <t>UATヘルスチェック作業の作業フローの調査 : 完了</t>
    <phoneticPr fontId="2"/>
  </si>
  <si>
    <t>実現可能な自動化方法の調査 : 完了</t>
    <phoneticPr fontId="2"/>
  </si>
  <si>
    <t>F180</t>
    <phoneticPr fontId="2"/>
  </si>
  <si>
    <t>PB00201841</t>
    <phoneticPr fontId="2"/>
  </si>
  <si>
    <t>【定型】定時定額の注文画面での文言追加</t>
    <phoneticPr fontId="2"/>
  </si>
  <si>
    <t>調査と開発：完了</t>
    <rPh sb="0" eb="2">
      <t>チョウサ</t>
    </rPh>
    <rPh sb="3" eb="5">
      <t>カイハツ</t>
    </rPh>
    <phoneticPr fontId="2"/>
  </si>
  <si>
    <t>結合テスト：完了</t>
    <phoneticPr fontId="2"/>
  </si>
  <si>
    <t>UPDATE用資料：完了</t>
    <phoneticPr fontId="2"/>
  </si>
  <si>
    <t>Poptreeチェック：完了</t>
    <phoneticPr fontId="2"/>
  </si>
  <si>
    <t>NCM/MHZ</t>
    <phoneticPr fontId="2"/>
  </si>
  <si>
    <t>F181</t>
    <phoneticPr fontId="2"/>
  </si>
  <si>
    <t>PB00201845</t>
    <phoneticPr fontId="2"/>
  </si>
  <si>
    <t>【定型】CFDサービス終了に伴う画面修正</t>
    <phoneticPr fontId="2"/>
  </si>
  <si>
    <t>IKK/MMH</t>
    <phoneticPr fontId="2"/>
  </si>
  <si>
    <t>F182</t>
    <phoneticPr fontId="2"/>
  </si>
  <si>
    <t>PB00201860</t>
    <phoneticPr fontId="2"/>
  </si>
  <si>
    <t>【定型】WB4ログイン画面ロゴ画像の変更</t>
    <phoneticPr fontId="2"/>
  </si>
  <si>
    <t>SMZK/SYA/KBN/MMH/MHS</t>
    <phoneticPr fontId="2"/>
  </si>
  <si>
    <t>デモ画面の調査と開発：完了</t>
    <phoneticPr fontId="2"/>
  </si>
  <si>
    <t>調査：完了</t>
    <rPh sb="0" eb="2">
      <t>チョウサ</t>
    </rPh>
    <phoneticPr fontId="2"/>
  </si>
  <si>
    <t xml:space="preserve">   Total Member - 10</t>
    <phoneticPr fontId="2"/>
  </si>
  <si>
    <t xml:space="preserve">   FOC Member - 2</t>
    <phoneticPr fontId="2"/>
  </si>
  <si>
    <t>PBxxxxxxxx</t>
    <phoneticPr fontId="2"/>
  </si>
  <si>
    <t>PL6</t>
    <phoneticPr fontId="2"/>
  </si>
  <si>
    <t>坂野</t>
    <phoneticPr fontId="2"/>
  </si>
  <si>
    <t>WA2</t>
    <phoneticPr fontId="2"/>
  </si>
  <si>
    <t>山本</t>
    <phoneticPr fontId="2"/>
  </si>
  <si>
    <t>【定型】定時定額の注文画面での文言追加</t>
    <phoneticPr fontId="2"/>
  </si>
  <si>
    <t>【定型】CFDサービス終了に伴う画面修正</t>
    <phoneticPr fontId="2"/>
  </si>
  <si>
    <t>【定型】WB4ログイン画面ロゴ画像の変更</t>
    <phoneticPr fontId="2"/>
  </si>
  <si>
    <t>F180</t>
    <phoneticPr fontId="2"/>
  </si>
  <si>
    <t>F181</t>
  </si>
  <si>
    <t>F182</t>
  </si>
  <si>
    <t>PB00201841</t>
    <phoneticPr fontId="2"/>
  </si>
  <si>
    <t>PB00201845</t>
    <phoneticPr fontId="2"/>
  </si>
  <si>
    <t>PB00201860</t>
    <phoneticPr fontId="2"/>
  </si>
  <si>
    <t>山田</t>
    <phoneticPr fontId="2"/>
  </si>
  <si>
    <t>04月01日~02日</t>
    <phoneticPr fontId="2"/>
  </si>
  <si>
    <t>04月03日~09日</t>
    <phoneticPr fontId="2"/>
  </si>
  <si>
    <t>MSC1</t>
    <phoneticPr fontId="2"/>
  </si>
  <si>
    <t>【MSC】画面設計書最新化対応のお願い</t>
    <phoneticPr fontId="2"/>
  </si>
  <si>
    <t>寺澤</t>
    <phoneticPr fontId="2"/>
  </si>
  <si>
    <t>AH24</t>
    <phoneticPr fontId="2"/>
  </si>
  <si>
    <t>AH26</t>
    <phoneticPr fontId="2"/>
  </si>
  <si>
    <t>田中</t>
  </si>
  <si>
    <t>田中</t>
    <phoneticPr fontId="2"/>
  </si>
  <si>
    <t>【案件依頼】【ツール開発】シェルが稼働しているジョブネットの一覧作成</t>
    <phoneticPr fontId="2"/>
  </si>
  <si>
    <t>【ツール開発】WB4結合環境の状況リスト一覧の作成</t>
    <phoneticPr fontId="2"/>
  </si>
  <si>
    <t>【ツール開発】シェルが稼働しているジョブネットの一覧作成</t>
    <phoneticPr fontId="2"/>
  </si>
  <si>
    <t>調査：完了</t>
    <phoneticPr fontId="2"/>
  </si>
  <si>
    <t>SPH/SNN</t>
    <phoneticPr fontId="2"/>
  </si>
  <si>
    <t>【ツール開発】WB4結合環境の状況リスト一覧の作成</t>
    <phoneticPr fontId="2"/>
  </si>
  <si>
    <t>~</t>
  </si>
  <si>
    <t>AMTZ/IKK/SYA</t>
    <phoneticPr fontId="2"/>
  </si>
  <si>
    <t>水</t>
    <phoneticPr fontId="2"/>
  </si>
  <si>
    <t>初期フォーカスのテスト：停止</t>
    <phoneticPr fontId="2"/>
  </si>
  <si>
    <t>Tabキー挙動のテスト：停止</t>
    <phoneticPr fontId="2"/>
  </si>
  <si>
    <t>ビルド作業を対応 (07/04~11/04) ：完了</t>
    <phoneticPr fontId="2"/>
  </si>
  <si>
    <t>04月07日にDIRから追加のご依頼をいただきました。
DAT側での作業自体は完了いたしました。</t>
    <phoneticPr fontId="2"/>
  </si>
  <si>
    <t>DAT側での作業自体は完了いたしました。</t>
    <phoneticPr fontId="2"/>
  </si>
  <si>
    <t>DIRから残画面の件について、訊和様に依頼を行い確認していただきます。
DAT側での作業自体は完了いたしました。</t>
    <phoneticPr fontId="2"/>
  </si>
  <si>
    <t>F183</t>
    <phoneticPr fontId="2"/>
  </si>
  <si>
    <t>F184</t>
    <phoneticPr fontId="2"/>
  </si>
  <si>
    <t>【定型】(53)820部店の対面WEB利用</t>
    <phoneticPr fontId="2"/>
  </si>
  <si>
    <t>PB00201788</t>
    <phoneticPr fontId="2"/>
  </si>
  <si>
    <t>調査と開発：完了</t>
    <rPh sb="0" eb="2">
      <t>チョウサ</t>
    </rPh>
    <phoneticPr fontId="2"/>
  </si>
  <si>
    <t>開発：完了</t>
    <phoneticPr fontId="2"/>
  </si>
  <si>
    <t>谷口</t>
    <phoneticPr fontId="2"/>
  </si>
  <si>
    <t>PB00201870</t>
    <phoneticPr fontId="2"/>
  </si>
  <si>
    <t>【定型】（信用）担保処分に関する文言変更</t>
    <phoneticPr fontId="2"/>
  </si>
  <si>
    <t>NCM/SYA</t>
    <phoneticPr fontId="2"/>
  </si>
  <si>
    <t>IKK/MHS</t>
    <phoneticPr fontId="2"/>
  </si>
  <si>
    <t>邵</t>
    <phoneticPr fontId="2"/>
  </si>
  <si>
    <t>来週のため祝日はありません。</t>
    <phoneticPr fontId="2"/>
  </si>
  <si>
    <t>04月10日~16日</t>
    <phoneticPr fontId="2"/>
  </si>
  <si>
    <t>04月17日~23日</t>
    <phoneticPr fontId="2"/>
  </si>
  <si>
    <t>F183</t>
    <phoneticPr fontId="2"/>
  </si>
  <si>
    <t>F184</t>
    <phoneticPr fontId="2"/>
  </si>
  <si>
    <t>PB00201870</t>
    <phoneticPr fontId="2"/>
  </si>
  <si>
    <t>ビルド作業を対応 (21/04~25/04) ：完了</t>
    <phoneticPr fontId="2"/>
  </si>
  <si>
    <t>設計の作成：完了</t>
    <phoneticPr fontId="2"/>
  </si>
  <si>
    <t>今週のためミャンマーの祝日はありません。</t>
    <phoneticPr fontId="2"/>
  </si>
  <si>
    <t>04月24日~30日</t>
    <phoneticPr fontId="2"/>
  </si>
  <si>
    <t>AH21</t>
    <phoneticPr fontId="2"/>
  </si>
  <si>
    <t>【ツール開発】HULFTログからの一覧作成</t>
    <phoneticPr fontId="2"/>
  </si>
  <si>
    <t>開発：完了</t>
    <rPh sb="0" eb="2">
      <t>カイハツ</t>
    </rPh>
    <phoneticPr fontId="2"/>
  </si>
  <si>
    <t>単体テスト：完了</t>
    <phoneticPr fontId="2"/>
  </si>
  <si>
    <t>AMTZ/SMZK</t>
    <phoneticPr fontId="2"/>
  </si>
  <si>
    <t>今週の5月1日（木曜日）はミヤンマーの祝日です。</t>
    <phoneticPr fontId="2"/>
  </si>
  <si>
    <t>ビルド作業を対応 (28/04~02/05) ：完了</t>
    <phoneticPr fontId="2"/>
  </si>
  <si>
    <t>05月01日~07日</t>
    <phoneticPr fontId="2"/>
  </si>
  <si>
    <t>WA1</t>
    <phoneticPr fontId="2"/>
  </si>
  <si>
    <t xml:space="preserve">安藤	</t>
    <phoneticPr fontId="2"/>
  </si>
  <si>
    <t>【WB4】【開発依頼】作業の自動化</t>
    <phoneticPr fontId="2"/>
  </si>
  <si>
    <t>安藤</t>
    <phoneticPr fontId="2"/>
  </si>
  <si>
    <t>安藤</t>
    <phoneticPr fontId="2"/>
  </si>
  <si>
    <t>ビルド作業を対応 (05/05~09/05) ：完了</t>
    <phoneticPr fontId="2"/>
  </si>
  <si>
    <t>顧客作成バッチ名の調査 : 完了</t>
    <phoneticPr fontId="2"/>
  </si>
  <si>
    <t>AMTZ/KBN/IKK/SMZK</t>
  </si>
  <si>
    <t>「改良0508」における変更する開発を05月08日に納品いたしました。</t>
    <phoneticPr fontId="2"/>
  </si>
  <si>
    <t>ビルド作業を対応 (12/05~16/05) ：完了</t>
    <phoneticPr fontId="2"/>
  </si>
  <si>
    <t>作業の自動化の開発：完了</t>
    <phoneticPr fontId="2"/>
  </si>
  <si>
    <t>改善のための開発 ：完了</t>
    <phoneticPr fontId="2"/>
  </si>
  <si>
    <t>05月08日~14日</t>
    <phoneticPr fontId="2"/>
  </si>
  <si>
    <t>05月15日~21日</t>
    <phoneticPr fontId="2"/>
  </si>
  <si>
    <t>WT11</t>
    <phoneticPr fontId="2"/>
  </si>
  <si>
    <t>【開発依頼】Windows11動作検証</t>
    <phoneticPr fontId="2"/>
  </si>
  <si>
    <t>TSO/NCM/KBN/SYA</t>
    <phoneticPr fontId="2"/>
  </si>
  <si>
    <t>谷口</t>
    <phoneticPr fontId="2"/>
  </si>
  <si>
    <t>WT11</t>
    <phoneticPr fontId="2"/>
  </si>
  <si>
    <t>【開発依頼】Windows11動作検証</t>
    <phoneticPr fontId="2"/>
  </si>
  <si>
    <t>ビルド作業を対応 (19/05~23/05) ：完了</t>
    <phoneticPr fontId="2"/>
  </si>
  <si>
    <t>追加で機能の開発：完了</t>
    <phoneticPr fontId="2"/>
  </si>
  <si>
    <t>「改善0520」の開発：完了</t>
    <phoneticPr fontId="2"/>
  </si>
  <si>
    <r>
      <t xml:space="preserve">「設計の作成」の計画期限は4月25日です。
設計書は04月25日に納品いたしました。
「作業の自動化の開発」の計画期限は5月19日です。
この開発は05月19日に納品いたしました。
</t>
    </r>
    <r>
      <rPr>
        <b/>
        <sz val="10"/>
        <color theme="1"/>
        <rFont val="Meiryo UI"/>
        <family val="3"/>
        <charset val="128"/>
      </rPr>
      <t>DAT側での作業自体は完了いたしました。</t>
    </r>
    <phoneticPr fontId="2"/>
  </si>
  <si>
    <r>
      <t xml:space="preserve">「開発」の計画期限は5月19日です。
この開発は05月19日に納品いたしました。
</t>
    </r>
    <r>
      <rPr>
        <b/>
        <sz val="10"/>
        <color theme="1"/>
        <rFont val="Meiryo UI"/>
        <family val="3"/>
        <charset val="128"/>
      </rPr>
      <t>DAT側での作業自体は完了いたしました。</t>
    </r>
    <phoneticPr fontId="2"/>
  </si>
  <si>
    <r>
      <t xml:space="preserve">顧客作成バッチ名の調査について、
05月13日に納品いたしました。
</t>
    </r>
    <r>
      <rPr>
        <b/>
        <sz val="10"/>
        <color theme="1"/>
        <rFont val="Meiryo UI"/>
        <family val="3"/>
        <charset val="128"/>
      </rPr>
      <t>DAT側での作業自体は完了いたしました。</t>
    </r>
    <phoneticPr fontId="2"/>
  </si>
  <si>
    <t>BT2</t>
  </si>
  <si>
    <t>BT2</t>
    <phoneticPr fontId="2"/>
  </si>
  <si>
    <t>【全社】プリファレンステーブルの設定値最新化対応</t>
    <phoneticPr fontId="2"/>
  </si>
  <si>
    <t>(44)注文失効件数チェック処理の改善_横展開</t>
    <phoneticPr fontId="2"/>
  </si>
  <si>
    <t>BT1</t>
    <phoneticPr fontId="2"/>
  </si>
  <si>
    <t>仲井</t>
    <phoneticPr fontId="2"/>
  </si>
  <si>
    <t>NCM/MMH/MHS</t>
    <phoneticPr fontId="2"/>
  </si>
  <si>
    <t>BT1</t>
    <phoneticPr fontId="2"/>
  </si>
  <si>
    <t>仲井</t>
    <phoneticPr fontId="2"/>
  </si>
  <si>
    <t>山本</t>
    <phoneticPr fontId="2"/>
  </si>
  <si>
    <t>05月22日~28日</t>
    <phoneticPr fontId="2"/>
  </si>
  <si>
    <t>ビルド作業を対応 (26/05~30/05) ：完了</t>
    <phoneticPr fontId="2"/>
  </si>
  <si>
    <t>05月29日~30日</t>
    <phoneticPr fontId="2"/>
  </si>
  <si>
    <t>06月01日~04日</t>
    <phoneticPr fontId="2"/>
  </si>
  <si>
    <t>テストケース作成 (WB4、PLATE、EPM2、SFA)：完了</t>
    <phoneticPr fontId="2"/>
  </si>
  <si>
    <t xml:space="preserve">「23-1」シートの原因の調査：完了	</t>
    <phoneticPr fontId="2"/>
  </si>
  <si>
    <t>ビルド作業を対応 (02/06~06/06) ：完了</t>
    <phoneticPr fontId="2"/>
  </si>
  <si>
    <t>開発 ：完了</t>
    <phoneticPr fontId="2"/>
  </si>
  <si>
    <t>06月05日~11日</t>
    <phoneticPr fontId="2"/>
  </si>
  <si>
    <t>6月2日に、DIRから「23-1」シートの原因について
調査と開発のご依頼をいただきました。
ソースと単体テストは06月10日に納品いたしました。</t>
    <phoneticPr fontId="2"/>
  </si>
  <si>
    <t>ビルド作業を対応 (09/06~13/06) ：完了</t>
    <phoneticPr fontId="2"/>
  </si>
  <si>
    <t>今週休暇を取ったメンバーはいませんでした。</t>
  </si>
  <si>
    <t>今週ミャンマーの祝日はありません。</t>
  </si>
  <si>
    <t>来週休暇予定はありません。</t>
  </si>
  <si>
    <t>来週祝日はありません。</t>
  </si>
  <si>
    <t>SFA6</t>
    <phoneticPr fontId="2"/>
  </si>
  <si>
    <t>【SFA】画面文言変更対応のお願い</t>
    <phoneticPr fontId="2"/>
  </si>
  <si>
    <t>AMTZ/KBN/MHS</t>
    <phoneticPr fontId="2"/>
  </si>
  <si>
    <t>SFA7</t>
    <phoneticPr fontId="2"/>
  </si>
  <si>
    <t>【SFA】(000050)画面文言変更対応</t>
    <phoneticPr fontId="2"/>
  </si>
  <si>
    <t>SFA_PR層のソース修正：完了</t>
    <phoneticPr fontId="2"/>
  </si>
  <si>
    <t>SFA_DBのソース修正：完了</t>
    <phoneticPr fontId="2"/>
  </si>
  <si>
    <t>SFA_PR層の調査：完了</t>
    <phoneticPr fontId="2"/>
  </si>
  <si>
    <t>SFA_DBの調査：完了</t>
    <phoneticPr fontId="2"/>
  </si>
  <si>
    <t>EPM2_DBの調査：完了</t>
    <phoneticPr fontId="2"/>
  </si>
  <si>
    <t>AMTZ/SMZK/KBN/MMH</t>
    <phoneticPr fontId="2"/>
  </si>
  <si>
    <t>SFA7</t>
  </si>
  <si>
    <t>06月12日~18日</t>
    <phoneticPr fontId="2"/>
  </si>
  <si>
    <t>ビルド作業を対応 (16/06~20/06) ：完了</t>
    <phoneticPr fontId="2"/>
  </si>
  <si>
    <t>修正のテストケースの作成：完了</t>
    <phoneticPr fontId="2"/>
  </si>
  <si>
    <t>修正のテストの実施：完了</t>
    <phoneticPr fontId="2"/>
  </si>
  <si>
    <t>SFA_AP層の調査：完了</t>
    <phoneticPr fontId="2"/>
  </si>
  <si>
    <t>PopTreeチェック：完了</t>
    <phoneticPr fontId="2"/>
  </si>
  <si>
    <t>06月19日~25日</t>
    <phoneticPr fontId="2"/>
  </si>
  <si>
    <t>ビルド作業を対応 (23/06~27/06) ：完了</t>
    <phoneticPr fontId="2"/>
  </si>
  <si>
    <t>詳細設計書の更新 ：完了</t>
    <phoneticPr fontId="2"/>
  </si>
  <si>
    <t>ソース修正：完了</t>
    <phoneticPr fontId="2"/>
  </si>
  <si>
    <t>06月26日~30日</t>
    <phoneticPr fontId="2"/>
  </si>
  <si>
    <t>7月2日に追加のリクエスト（3点）をいただきました。</t>
  </si>
  <si>
    <t>Gazetted Holidays in Myanmar for 2025</t>
    <phoneticPr fontId="6"/>
  </si>
  <si>
    <t>Gazetted Holidays in Japan for 2025</t>
    <phoneticPr fontId="6"/>
  </si>
  <si>
    <t>International New Year’s Day</t>
  </si>
  <si>
    <t>Chinese New Year Day</t>
  </si>
  <si>
    <t>Labour Day</t>
  </si>
  <si>
    <t>JUN</t>
    <phoneticPr fontId="6"/>
  </si>
  <si>
    <t>Eid Holiday*</t>
  </si>
  <si>
    <t>Peasants’ Day</t>
    <phoneticPr fontId="2"/>
  </si>
  <si>
    <t>Full Moon Day of Tazaungmone</t>
    <phoneticPr fontId="2"/>
  </si>
  <si>
    <t>Tazaungmone Holiday</t>
    <phoneticPr fontId="2"/>
  </si>
  <si>
    <t>Christmas Holiday</t>
    <phoneticPr fontId="2"/>
  </si>
  <si>
    <t>Christmas Day</t>
    <phoneticPr fontId="2"/>
  </si>
  <si>
    <t>07月01日~02日</t>
    <phoneticPr fontId="2"/>
  </si>
  <si>
    <t>07月03日~9日</t>
    <phoneticPr fontId="2"/>
  </si>
  <si>
    <t>BT3</t>
    <phoneticPr fontId="2"/>
  </si>
  <si>
    <t>髙木</t>
    <phoneticPr fontId="2"/>
  </si>
  <si>
    <t>w3jy210foの出力メッセージの改善</t>
    <phoneticPr fontId="2"/>
  </si>
  <si>
    <t>AH29</t>
    <phoneticPr fontId="2"/>
  </si>
  <si>
    <t>【開発依頼】ICC本番モジュール取得ツール改善</t>
    <phoneticPr fontId="2"/>
  </si>
  <si>
    <t>結合テストケースの作成：完了</t>
    <phoneticPr fontId="2"/>
  </si>
  <si>
    <t>ビルド作業を対応 (30/06~04/07) ：完了</t>
    <phoneticPr fontId="2"/>
  </si>
  <si>
    <t>追加リクエスト(3点)の調査：完了</t>
    <phoneticPr fontId="2"/>
  </si>
  <si>
    <t>追加リクエスト(3点)の開発：完了</t>
    <phoneticPr fontId="2"/>
  </si>
  <si>
    <t>この開発は07月4日に納品いたしました。</t>
    <phoneticPr fontId="2"/>
  </si>
  <si>
    <t>TSO/SYA</t>
    <phoneticPr fontId="2"/>
  </si>
  <si>
    <t>AMTZ/all members</t>
    <phoneticPr fontId="2"/>
  </si>
  <si>
    <t>TZA/NCM/MMH</t>
    <phoneticPr fontId="2"/>
  </si>
  <si>
    <t>TZA/IKK/NCM</t>
    <phoneticPr fontId="2"/>
  </si>
  <si>
    <t>TSO/SMZK</t>
    <phoneticPr fontId="2"/>
  </si>
  <si>
    <t>ビルド作業を対応 (07/07~11/07) ：完了</t>
    <phoneticPr fontId="2"/>
  </si>
  <si>
    <t>7月15日に追加のリクエスト（2点）をいただきました。</t>
    <phoneticPr fontId="2"/>
  </si>
  <si>
    <t>7月7日に追加のリクエスト（3点）をいただきました。</t>
    <phoneticPr fontId="2"/>
  </si>
  <si>
    <t>結合テストの実施：完了</t>
    <phoneticPr fontId="2"/>
  </si>
  <si>
    <t>PowerShellツールの確認：完了</t>
    <phoneticPr fontId="2"/>
  </si>
  <si>
    <t>Edgeドライバーのバージョン確認の開発 ：完了</t>
    <phoneticPr fontId="2"/>
  </si>
  <si>
    <t>07月10日~16日</t>
    <phoneticPr fontId="2"/>
  </si>
  <si>
    <t>(44)管理者株式銘柄条件設定画面の改善</t>
    <phoneticPr fontId="2"/>
  </si>
  <si>
    <t>PR7</t>
    <phoneticPr fontId="2"/>
  </si>
  <si>
    <t>QA「1-1」の調査：完了</t>
    <phoneticPr fontId="2"/>
  </si>
  <si>
    <t>(0D)(0X)定例会資料作成の自動化</t>
    <phoneticPr fontId="2"/>
  </si>
  <si>
    <t>WA3</t>
    <phoneticPr fontId="2"/>
  </si>
  <si>
    <t>AMTZ/SYA/MHS</t>
    <phoneticPr fontId="2"/>
  </si>
  <si>
    <t>TSO/KBN/MMH</t>
    <phoneticPr fontId="2"/>
  </si>
  <si>
    <t>F185</t>
    <phoneticPr fontId="2"/>
  </si>
  <si>
    <t>PB00201943</t>
    <phoneticPr fontId="2"/>
  </si>
  <si>
    <t>【定型】メールアドレス欄への注釈追加</t>
    <phoneticPr fontId="2"/>
  </si>
  <si>
    <t>追加リクエスト(2点)の調査：完了</t>
    <phoneticPr fontId="2"/>
  </si>
  <si>
    <t>追加リクエスト(2点)の開発：完了</t>
    <phoneticPr fontId="2"/>
  </si>
  <si>
    <t>DAT側での作業自体は完了いたしました。</t>
  </si>
  <si>
    <t>ドライバーの更新処理の開発 ：完了</t>
    <phoneticPr fontId="2"/>
  </si>
  <si>
    <t>追加依頼の調査 ：完了</t>
    <phoneticPr fontId="2"/>
  </si>
  <si>
    <t>注文件数の特定の調査と開発 ：完了</t>
    <phoneticPr fontId="2"/>
  </si>
  <si>
    <t>CPU使用率ファイルダウンロードの調査と開発：完了</t>
    <phoneticPr fontId="2"/>
  </si>
  <si>
    <t>PR8</t>
    <phoneticPr fontId="2"/>
  </si>
  <si>
    <t>【調査依頼】4453_PB00201938_(44)CFD終了対応</t>
    <phoneticPr fontId="2"/>
  </si>
  <si>
    <t>TZA/SMKZ/NCM</t>
    <phoneticPr fontId="2"/>
  </si>
  <si>
    <t>07月17日~23日</t>
    <phoneticPr fontId="2"/>
  </si>
  <si>
    <t>ビルド作業を対応 (21/07~25/07) ：完了</t>
    <phoneticPr fontId="2"/>
  </si>
  <si>
    <t>追加リクエスト(1点)の調査と開発：完了</t>
    <phoneticPr fontId="2"/>
  </si>
  <si>
    <t>データ補完の調査と開発：完了</t>
    <phoneticPr fontId="2"/>
  </si>
  <si>
    <t>PDF化の調査と開発：完了</t>
    <phoneticPr fontId="2"/>
  </si>
  <si>
    <t>07月24日~30日</t>
    <phoneticPr fontId="2"/>
  </si>
  <si>
    <t>ビルド作業を対応 (28/07~01/08) ：完了</t>
    <phoneticPr fontId="2"/>
  </si>
  <si>
    <t>確認画面と完了画面の調査 ：完了</t>
    <phoneticPr fontId="2"/>
  </si>
  <si>
    <t>QA「1-1」のDB調査 ：完了</t>
    <phoneticPr fontId="2"/>
  </si>
  <si>
    <t>ソース修正 ：完了</t>
    <phoneticPr fontId="2"/>
  </si>
  <si>
    <t>08月01日~06日</t>
    <phoneticPr fontId="2"/>
  </si>
  <si>
    <t>07月31日</t>
    <phoneticPr fontId="2"/>
  </si>
  <si>
    <t>追加リクエスト(預り資産画面表示画面)の調査と開発：完了</t>
    <phoneticPr fontId="2"/>
  </si>
  <si>
    <t>ビルド作業を対応 (04/08~08/08) ：完了</t>
    <phoneticPr fontId="2"/>
  </si>
  <si>
    <t>Windows10の打鍵作業 (SFA、EPM2、PLATE)：完了</t>
    <phoneticPr fontId="2"/>
  </si>
  <si>
    <t>Windows11の打鍵作業 (SFA、EPM2、PLATE)：完了</t>
    <phoneticPr fontId="2"/>
  </si>
  <si>
    <t>要件2、3テストケースの作成：完了</t>
    <phoneticPr fontId="2"/>
  </si>
  <si>
    <t>設計書の調査：完了</t>
    <phoneticPr fontId="2"/>
  </si>
  <si>
    <t>08月07日~13日</t>
    <phoneticPr fontId="2"/>
  </si>
  <si>
    <t>ビルド作業を対応 (11/08~15/08) ：完了</t>
    <phoneticPr fontId="2"/>
  </si>
  <si>
    <t>08月14日~20日</t>
    <phoneticPr fontId="2"/>
  </si>
  <si>
    <t>ビルド作業を対応 (18/08~22/08) ：完了</t>
    <phoneticPr fontId="2"/>
  </si>
  <si>
    <t>Windows10の打鍵作業 (WB4)：完了</t>
    <phoneticPr fontId="2"/>
  </si>
  <si>
    <t>Windows11の打鍵作業 (WB4)：完了</t>
    <phoneticPr fontId="2"/>
  </si>
  <si>
    <t>F186</t>
    <phoneticPr fontId="2"/>
  </si>
  <si>
    <t>【定型】WEB口座開設画面の外国籍文言追加（再アップロード画面）</t>
    <phoneticPr fontId="2"/>
  </si>
  <si>
    <t>PB00201962</t>
    <phoneticPr fontId="2"/>
  </si>
  <si>
    <t>08月21日~27日</t>
    <phoneticPr fontId="2"/>
  </si>
  <si>
    <t>TSO/SMZK/KBN/SYA</t>
    <phoneticPr fontId="2"/>
  </si>
  <si>
    <t>ビルド作業を対応 (25/08~29/08) ：完了</t>
    <phoneticPr fontId="2"/>
  </si>
  <si>
    <t>要件2、3テストケースの実施：完了</t>
    <phoneticPr fontId="2"/>
  </si>
  <si>
    <t>設計書の修正：完了</t>
    <phoneticPr fontId="2"/>
  </si>
  <si>
    <t>BT4</t>
    <phoneticPr fontId="2"/>
  </si>
  <si>
    <t>PR9</t>
    <phoneticPr fontId="2"/>
  </si>
  <si>
    <t>F187</t>
    <phoneticPr fontId="2"/>
  </si>
  <si>
    <t>F188</t>
    <phoneticPr fontId="2"/>
  </si>
  <si>
    <t>【開発依頼】シリアルナンバー初期化</t>
    <phoneticPr fontId="2"/>
  </si>
  <si>
    <t>4429_PBxxxxxxxx</t>
    <phoneticPr fontId="2"/>
  </si>
  <si>
    <t>德田</t>
    <phoneticPr fontId="2"/>
  </si>
  <si>
    <t>【開発依頼】WB4クロスサイトスクリプティング対応</t>
    <phoneticPr fontId="2"/>
  </si>
  <si>
    <t>4246_PBxxxxxxxx</t>
    <phoneticPr fontId="2"/>
  </si>
  <si>
    <t>【定型】WB4トップページサポート欄の文言変更</t>
    <phoneticPr fontId="2"/>
  </si>
  <si>
    <t>PB00201966</t>
    <phoneticPr fontId="2"/>
  </si>
  <si>
    <t>【定型】PIダイレクト指定登録画面の注意書き文言変更</t>
    <phoneticPr fontId="2"/>
  </si>
  <si>
    <t>PB00201964</t>
    <phoneticPr fontId="2"/>
  </si>
  <si>
    <t>德永</t>
    <phoneticPr fontId="2"/>
  </si>
  <si>
    <t>TSO/MMH</t>
    <phoneticPr fontId="2"/>
  </si>
  <si>
    <t>ALL</t>
    <phoneticPr fontId="2"/>
  </si>
  <si>
    <t>F189</t>
    <phoneticPr fontId="2"/>
  </si>
  <si>
    <t>【定型】NEOTRADE W(クイック入金画面)の文言修正依頼</t>
    <phoneticPr fontId="2"/>
  </si>
  <si>
    <t>PB00201969</t>
    <phoneticPr fontId="2"/>
  </si>
  <si>
    <t>SMZK/KBN</t>
    <phoneticPr fontId="2"/>
  </si>
  <si>
    <t>08月28日~29日</t>
    <phoneticPr fontId="2"/>
  </si>
  <si>
    <t>F188</t>
  </si>
  <si>
    <t>F189</t>
  </si>
  <si>
    <t>09月01日~03日</t>
    <phoneticPr fontId="2"/>
  </si>
  <si>
    <t>09月04日~10日</t>
    <phoneticPr fontId="2"/>
  </si>
  <si>
    <t>ビルド作業を対応 (01/09~05/09) ：完了</t>
    <phoneticPr fontId="2"/>
  </si>
  <si>
    <t>BT5</t>
    <phoneticPr fontId="2"/>
  </si>
  <si>
    <t>4474_PBxxxxxxxx</t>
    <phoneticPr fontId="2"/>
  </si>
  <si>
    <t>【定型】WOLFDBのテーブルバックアップ取得処理の追加</t>
    <phoneticPr fontId="2"/>
  </si>
  <si>
    <t>TSO/SMZK/MMH</t>
    <phoneticPr fontId="2"/>
  </si>
  <si>
    <t>PR10</t>
    <phoneticPr fontId="2"/>
  </si>
  <si>
    <t>コード修正と単体テスト（44）：完了</t>
    <phoneticPr fontId="2"/>
  </si>
  <si>
    <t>コード修正と単体テスト（52）：完了</t>
    <phoneticPr fontId="2"/>
  </si>
  <si>
    <t>コード修正と単体テスト（0X）：完了</t>
    <phoneticPr fontId="2"/>
  </si>
  <si>
    <t>【定型】(0G)投信銘柄条件登録画面の改善</t>
    <phoneticPr fontId="2"/>
  </si>
  <si>
    <t>飯田</t>
    <phoneticPr fontId="2"/>
  </si>
  <si>
    <t>ビルド作業を対応 (15/09~19/09) ：完了</t>
    <phoneticPr fontId="2"/>
  </si>
  <si>
    <t>09月11日~17日</t>
    <phoneticPr fontId="2"/>
  </si>
  <si>
    <t>09月18日~24日</t>
    <phoneticPr fontId="2"/>
  </si>
  <si>
    <t>管理No.10の追加リクエストの調査：完了</t>
  </si>
  <si>
    <t>詳細設計書の作成：完了</t>
    <phoneticPr fontId="2"/>
  </si>
  <si>
    <t>09月25日~30日</t>
    <phoneticPr fontId="2"/>
  </si>
  <si>
    <t>10月01日</t>
    <phoneticPr fontId="2"/>
  </si>
  <si>
    <t>管理No.10の追加リクエストの開発：完了</t>
    <phoneticPr fontId="2"/>
  </si>
  <si>
    <t>設計書の変更：完了</t>
    <phoneticPr fontId="2"/>
  </si>
  <si>
    <t>コード修正と単体テスト（46）：完了</t>
    <phoneticPr fontId="2"/>
  </si>
  <si>
    <t>コード修正と単体テスト（09）：完了</t>
    <phoneticPr fontId="2"/>
  </si>
  <si>
    <t>火</t>
    <phoneticPr fontId="2"/>
  </si>
  <si>
    <t>来週の10月5日（日曜日）から10月７日（火曜日）まではミヤンマーの祝日です。</t>
    <phoneticPr fontId="2"/>
  </si>
  <si>
    <t>ビルド作業を対応 (29/09~03/10) ：完了</t>
    <phoneticPr fontId="2"/>
  </si>
  <si>
    <t>10月02日~08日</t>
    <phoneticPr fontId="2"/>
  </si>
  <si>
    <t>F190</t>
    <phoneticPr fontId="2"/>
  </si>
  <si>
    <t>【定型】信用口座開設申込画面のエラーメッセージ文言変更</t>
    <phoneticPr fontId="2"/>
  </si>
  <si>
    <t>PB00201985</t>
    <phoneticPr fontId="2"/>
  </si>
  <si>
    <t>SMZK/MMH</t>
    <phoneticPr fontId="2"/>
  </si>
  <si>
    <t>10月09日~15日</t>
    <phoneticPr fontId="2"/>
  </si>
  <si>
    <t>追加リクエストの開発：完了</t>
    <phoneticPr fontId="2"/>
  </si>
  <si>
    <t>F191</t>
    <phoneticPr fontId="2"/>
  </si>
  <si>
    <t>PB00201987</t>
    <phoneticPr fontId="2"/>
  </si>
  <si>
    <t>【定型】投信手数料文言変更（Succe-s、NaitoWeb）</t>
    <phoneticPr fontId="2"/>
  </si>
  <si>
    <t>F191</t>
  </si>
  <si>
    <t>PB00201987</t>
    <phoneticPr fontId="2"/>
  </si>
  <si>
    <t>【定型】投信手数料文言変更（Succe-s、NaitoWeb）</t>
    <phoneticPr fontId="2"/>
  </si>
  <si>
    <t>NCM/MHS</t>
    <phoneticPr fontId="2"/>
  </si>
  <si>
    <t>SQLの実行処理：完了</t>
    <phoneticPr fontId="2"/>
  </si>
  <si>
    <t>BT6</t>
    <phoneticPr fontId="2"/>
  </si>
  <si>
    <t>【見積依頼】取引履歴アンマッチメール未送信の改善対応</t>
    <phoneticPr fontId="2"/>
  </si>
  <si>
    <t>AMTZ/IKK/NCM</t>
    <phoneticPr fontId="2"/>
  </si>
  <si>
    <t>WA4</t>
    <phoneticPr fontId="2"/>
  </si>
  <si>
    <t>【開発依頼】5-2【MN証券、SP社】トランザクション件数自動化</t>
    <phoneticPr fontId="2"/>
  </si>
  <si>
    <t>ビルド作業を対応 (13/10~17/10) ：完了</t>
    <phoneticPr fontId="2"/>
  </si>
  <si>
    <t>コード修正と単体テスト（0G_pc）：完了</t>
    <phoneticPr fontId="2"/>
  </si>
  <si>
    <t>コード修正と単体テスト（0H_sp）：完了</t>
    <phoneticPr fontId="2"/>
  </si>
  <si>
    <t>①で取得したファイルの解凍の調査と開発 ：完了</t>
    <phoneticPr fontId="2"/>
  </si>
  <si>
    <t>成果物ファイルの作成の調査と開発 ：完了</t>
    <phoneticPr fontId="2"/>
  </si>
  <si>
    <t>対象のメールからのファイル取得の調査と開発：完了</t>
    <phoneticPr fontId="2"/>
  </si>
  <si>
    <t>10月16日~22日</t>
    <phoneticPr fontId="2"/>
  </si>
  <si>
    <t>F192</t>
    <phoneticPr fontId="2"/>
  </si>
  <si>
    <t>PB00201990</t>
    <phoneticPr fontId="2"/>
  </si>
  <si>
    <t>【定型】(46)【外国株式】ハードリミット登録依頼</t>
    <phoneticPr fontId="2"/>
  </si>
  <si>
    <t>AMTZ/SYA</t>
    <phoneticPr fontId="2"/>
  </si>
  <si>
    <t>【SFA】(20251020)タッチ情報_顧客ニーズ登録エラー</t>
    <phoneticPr fontId="2"/>
  </si>
  <si>
    <t>SFA8</t>
    <phoneticPr fontId="2"/>
  </si>
  <si>
    <t>PR11</t>
    <phoneticPr fontId="2"/>
  </si>
  <si>
    <t>【開発依頼】管理者　株式銘柄条件設定の入力チェックの改善</t>
    <phoneticPr fontId="2"/>
  </si>
  <si>
    <t>4505_PBxxxxxxxx</t>
    <phoneticPr fontId="2"/>
  </si>
  <si>
    <t>平石</t>
    <phoneticPr fontId="2"/>
  </si>
  <si>
    <t>TSO/MHS</t>
    <phoneticPr fontId="2"/>
  </si>
  <si>
    <t>トランザクション件数の記載の調査と開発 ：完了</t>
    <phoneticPr fontId="2"/>
  </si>
  <si>
    <t>成果物ファイルと添付ファイルの保存の調査と開発 ：完了</t>
    <phoneticPr fontId="2"/>
  </si>
  <si>
    <t>メールの作成の調査と開発 ：完了</t>
    <phoneticPr fontId="2"/>
  </si>
  <si>
    <t>基本設計の作成：完了</t>
    <phoneticPr fontId="2"/>
  </si>
  <si>
    <t>PR画面のコード修正：完了</t>
    <phoneticPr fontId="2"/>
  </si>
  <si>
    <t>10月23日~29日</t>
    <phoneticPr fontId="2"/>
  </si>
  <si>
    <t>ビルド作業を対応 (27/10~31/10) ：完了</t>
    <phoneticPr fontId="2"/>
  </si>
  <si>
    <t>今週の11月3日（月曜日）から11月4日（火曜日）まではミヤンマーの祝日です。</t>
    <phoneticPr fontId="2"/>
  </si>
  <si>
    <t>10月30日~31日</t>
    <phoneticPr fontId="2"/>
  </si>
  <si>
    <t>10月のテストデータに開発全体にわたるテスト : 完了</t>
    <phoneticPr fontId="2"/>
  </si>
  <si>
    <t>単体テスト ：完了</t>
    <phoneticPr fontId="2"/>
  </si>
  <si>
    <t>11月06日~12日</t>
    <phoneticPr fontId="2"/>
  </si>
  <si>
    <t>追加修正のご依頼は、11月13日に受領いたしました。</t>
    <phoneticPr fontId="2"/>
  </si>
  <si>
    <t>追加修正のコード修正 ：完了</t>
    <phoneticPr fontId="2"/>
  </si>
  <si>
    <t>追加修正の単体テスト ：完了</t>
    <phoneticPr fontId="2"/>
  </si>
  <si>
    <t>11月13日~19日</t>
    <phoneticPr fontId="2"/>
  </si>
  <si>
    <t>小数点入力変更対象会社と資源の一覧作成 ：完了</t>
    <phoneticPr fontId="2"/>
  </si>
  <si>
    <t>11月20日~26日</t>
    <phoneticPr fontId="2"/>
  </si>
  <si>
    <t>コード修正と単体テスト（0C）：完了</t>
    <phoneticPr fontId="2"/>
  </si>
  <si>
    <t>コード修正と単体テスト（0F）：完了</t>
    <phoneticPr fontId="2"/>
  </si>
  <si>
    <t>追加修正のご依頼は、11月25日に受領いたしました。</t>
    <phoneticPr fontId="2"/>
  </si>
  <si>
    <t>11月27日~30日</t>
    <phoneticPr fontId="2"/>
  </si>
  <si>
    <t>PR開発フローについての学習と過去案件練習 : 完了</t>
    <phoneticPr fontId="2"/>
  </si>
  <si>
    <t>ビルド作業を対応 (24/11~28/11) ：完了</t>
    <phoneticPr fontId="2"/>
  </si>
  <si>
    <t>結合テスト（0C）：完了</t>
    <phoneticPr fontId="2"/>
  </si>
  <si>
    <t>ビルド作業を対応 (10/11~14/11) ：完了</t>
    <phoneticPr fontId="2"/>
  </si>
  <si>
    <t>12月01日~03日</t>
    <phoneticPr fontId="2"/>
  </si>
  <si>
    <t xml:space="preserve">   Total Member -7</t>
    <phoneticPr fontId="2"/>
  </si>
  <si>
    <t>Contract Member - 5</t>
    <phoneticPr fontId="2"/>
  </si>
  <si>
    <t>F193</t>
    <phoneticPr fontId="2"/>
  </si>
  <si>
    <t>F194</t>
  </si>
  <si>
    <t>F194</t>
    <phoneticPr fontId="2"/>
  </si>
  <si>
    <t>PB00202006_(46)【外国株式】ハードリミット登録依頼</t>
    <phoneticPr fontId="2"/>
  </si>
  <si>
    <t>PB00202008_(46)【外国株式】ハードリミット登録依頼</t>
    <phoneticPr fontId="2"/>
  </si>
  <si>
    <t>PB00202006</t>
    <phoneticPr fontId="2"/>
  </si>
  <si>
    <t>PB00202008</t>
    <phoneticPr fontId="2"/>
  </si>
  <si>
    <t>SMZK/SYA</t>
    <phoneticPr fontId="2"/>
  </si>
  <si>
    <t>NCM/MMH</t>
    <phoneticPr fontId="2"/>
  </si>
  <si>
    <t>結合テスト（0F）：完了</t>
    <phoneticPr fontId="2"/>
  </si>
  <si>
    <t>12月04日~10日</t>
    <phoneticPr fontId="2"/>
  </si>
  <si>
    <t>単体テスト仕様書の作成　(想定される異常終了の確認) ：完了</t>
    <phoneticPr fontId="2"/>
  </si>
  <si>
    <t>結合テスト（0X）：完了</t>
    <phoneticPr fontId="2"/>
  </si>
  <si>
    <t>山田</t>
  </si>
  <si>
    <t>F195</t>
    <phoneticPr fontId="2"/>
  </si>
  <si>
    <t>【定型】ログイン画面のGoogleanalytics計測タグ変更</t>
    <phoneticPr fontId="2"/>
  </si>
  <si>
    <t>PB00202011</t>
    <phoneticPr fontId="2"/>
  </si>
  <si>
    <t>PR12</t>
    <phoneticPr fontId="2"/>
  </si>
  <si>
    <t>【WB4】【調査依頼】(0D)WB4のURL使用箇所一覧</t>
    <phoneticPr fontId="2"/>
  </si>
  <si>
    <t>SFA9</t>
    <phoneticPr fontId="2"/>
  </si>
  <si>
    <t>【SFA】(000051)画面文言変更対応 調査・見積依頼</t>
    <phoneticPr fontId="2"/>
  </si>
  <si>
    <t>TSO/NCM/SYA</t>
    <phoneticPr fontId="2"/>
  </si>
  <si>
    <t>ビルド作業を対応 (08/12~12/12) ：完了</t>
    <phoneticPr fontId="2"/>
  </si>
  <si>
    <t>単体テストの実施　(想定される異常終了の確認) ：完了</t>
    <phoneticPr fontId="2"/>
  </si>
  <si>
    <t>TSO/SMZK/SYA/MMH</t>
    <phoneticPr fontId="2"/>
  </si>
  <si>
    <t>URL使用箇所一覧のgrep調査の作成：完了</t>
    <phoneticPr fontId="2"/>
  </si>
  <si>
    <t>URL使用箇所一覧の画面調査の作成：完了</t>
    <phoneticPr fontId="2"/>
  </si>
  <si>
    <t>F196</t>
    <phoneticPr fontId="2"/>
  </si>
  <si>
    <t>PB00202019</t>
    <phoneticPr fontId="2"/>
  </si>
  <si>
    <t>【定型】WB4投資家（Succe-sTrade）年末NISA文言追加</t>
    <phoneticPr fontId="2"/>
  </si>
  <si>
    <t>12月11日~17日</t>
    <phoneticPr fontId="2"/>
  </si>
  <si>
    <t>結合テスト（44）：完了</t>
    <phoneticPr fontId="2"/>
  </si>
  <si>
    <t>Gazetted Holidays in Japan for 2026</t>
    <phoneticPr fontId="6"/>
  </si>
  <si>
    <t>Gazetted Holidays in Myanmar for 2026</t>
    <phoneticPr fontId="6"/>
  </si>
  <si>
    <t>AMTZ/NCM/MMH</t>
    <phoneticPr fontId="2"/>
  </si>
  <si>
    <t>F195</t>
  </si>
  <si>
    <t>PR12</t>
  </si>
  <si>
    <t>F196</t>
  </si>
  <si>
    <t>SFA9</t>
  </si>
  <si>
    <t>PB00202019_【定型】WB4投資家（Succe-sTrade）年末NISA文言追加</t>
    <phoneticPr fontId="2"/>
  </si>
  <si>
    <t>【WB4】【調査依頼】(0D)WB4のURL使用箇所一覧</t>
  </si>
  <si>
    <t>【SFA】(000051)画面文言変更対応 調査・見積依頼</t>
  </si>
  <si>
    <t>【定型】ログイン画面のGoogleanalytics計測タグ変更</t>
  </si>
  <si>
    <t>PB00202011</t>
  </si>
  <si>
    <t>12月18日~24日</t>
    <phoneticPr fontId="2"/>
  </si>
  <si>
    <t>結合テスト（46）：完了</t>
    <phoneticPr fontId="2"/>
  </si>
  <si>
    <t>コード修正と単体テスト（P0_P0）：完了</t>
    <phoneticPr fontId="2"/>
  </si>
  <si>
    <t>戻し作業のテスト：完了</t>
    <phoneticPr fontId="2"/>
  </si>
  <si>
    <t>追加修正のご依頼は、12月22日に受領いたしました。</t>
    <phoneticPr fontId="2"/>
  </si>
  <si>
    <t>AMTZ/NCM</t>
    <phoneticPr fontId="2"/>
  </si>
  <si>
    <t>ビルド作業を対応 (22/12~26/12) ：完了</t>
    <phoneticPr fontId="2"/>
  </si>
  <si>
    <t>結合テスト（P0_P0）：完了</t>
    <phoneticPr fontId="2"/>
  </si>
  <si>
    <t>0D, 0C, 0F, 0X , 44, 46 と P0_P0のコード修正と単体テストと結合テストは完了です。</t>
    <phoneticPr fontId="2"/>
  </si>
  <si>
    <t>今週の12月25日（木曜日）から12月26日（金曜日）まではミヤンマーの祝日です。</t>
    <phoneticPr fontId="2"/>
  </si>
  <si>
    <t>来週の01月01日（木曜日）から01月02日（金曜日）まではミヤンマーの祝日です。</t>
    <phoneticPr fontId="2"/>
  </si>
  <si>
    <t>12月25日~31日</t>
    <phoneticPr fontId="2"/>
  </si>
  <si>
    <t>Thingyan Holiday</t>
    <phoneticPr fontId="2"/>
  </si>
  <si>
    <t>Union Day</t>
    <phoneticPr fontId="2"/>
  </si>
  <si>
    <t>Union Day Holiday</t>
    <phoneticPr fontId="2"/>
  </si>
  <si>
    <t>Chinese New Year Day Holiday</t>
    <phoneticPr fontId="2"/>
  </si>
  <si>
    <t>Labour Day</t>
    <phoneticPr fontId="2"/>
  </si>
  <si>
    <t>2026/xx/xx</t>
    <phoneticPr fontId="2"/>
  </si>
  <si>
    <t>Full Moon Day of Waso</t>
    <phoneticPr fontId="2"/>
  </si>
  <si>
    <t>National Day</t>
    <phoneticPr fontId="2"/>
  </si>
  <si>
    <t>National Holiday</t>
  </si>
  <si>
    <t>AP開発フローについての学習と過去案件練習 : 完了</t>
    <phoneticPr fontId="2"/>
  </si>
  <si>
    <t>PB00202027</t>
    <phoneticPr fontId="2"/>
  </si>
  <si>
    <t>【定型】信用取引金利変更依頼（制度・一般）</t>
    <phoneticPr fontId="2"/>
  </si>
  <si>
    <t>F197</t>
    <phoneticPr fontId="2"/>
  </si>
  <si>
    <t>F197</t>
  </si>
  <si>
    <t>01月01日~07日</t>
    <phoneticPr fontId="2"/>
  </si>
  <si>
    <t>ビルド作業を対応 (05/01~09/01) ：完了</t>
    <phoneticPr fontId="2"/>
  </si>
  <si>
    <t>PL7</t>
    <phoneticPr fontId="2"/>
  </si>
  <si>
    <t>【対応依頼】【PLATE】画面開放（GI316）</t>
    <phoneticPr fontId="2"/>
  </si>
  <si>
    <t>01月08日~14日</t>
    <phoneticPr fontId="2"/>
  </si>
  <si>
    <t>【対応依頼】【PLATE】PLATE AUTOマニュアル修正</t>
    <phoneticPr fontId="2"/>
  </si>
  <si>
    <t>PA5</t>
    <phoneticPr fontId="2"/>
  </si>
  <si>
    <t>ST環境への反映：完了</t>
  </si>
  <si>
    <t>ST環境でのテスト：完了</t>
  </si>
  <si>
    <t>PTE環境への反映：完了</t>
  </si>
  <si>
    <t>PTE環境でのテスト：完了</t>
    <phoneticPr fontId="2"/>
  </si>
  <si>
    <t>開発資源の作成：完了</t>
    <phoneticPr fontId="2"/>
  </si>
  <si>
    <t>調査（PR（46））：完了</t>
    <rPh sb="0" eb="2">
      <t>チョウサ</t>
    </rPh>
    <phoneticPr fontId="2"/>
  </si>
  <si>
    <t>調査（PR（共通）・AP・BATCH）：完了</t>
    <phoneticPr fontId="2"/>
  </si>
  <si>
    <t>AMTZ/SMZK/NCM/MMH</t>
    <phoneticPr fontId="2"/>
  </si>
  <si>
    <t>AMTZ/SMZK/NCM</t>
    <phoneticPr fontId="2"/>
  </si>
  <si>
    <t>TSO/SYA/NCM</t>
    <phoneticPr fontId="2"/>
  </si>
  <si>
    <t>PR13</t>
    <phoneticPr fontId="2"/>
  </si>
  <si>
    <t>【調査依頼】4569_【SBIネオ】配当金受取方式変更画面の改善</t>
    <phoneticPr fontId="2"/>
  </si>
  <si>
    <t>01月15日~21日</t>
    <phoneticPr fontId="2"/>
  </si>
  <si>
    <t>会社(44)の事象の調査：完了</t>
    <phoneticPr fontId="2"/>
  </si>
  <si>
    <t>同様の事象の調査：完了</t>
    <phoneticPr fontId="2"/>
  </si>
  <si>
    <t>管理者画面の挙動確認：完了</t>
    <phoneticPr fontId="2"/>
  </si>
  <si>
    <t>表示方法の検討：完了</t>
    <phoneticPr fontId="2"/>
  </si>
  <si>
    <t>WA5</t>
    <phoneticPr fontId="2"/>
  </si>
  <si>
    <t>【見積依頼】【EPM2】J-IRISS運営終了に伴う内部者情報照合ツール改修</t>
    <phoneticPr fontId="2"/>
  </si>
  <si>
    <t>単体テスト：未着手</t>
  </si>
  <si>
    <t>Batch開発フローについての学習と過去案件練習 : 完了</t>
    <phoneticPr fontId="2"/>
  </si>
  <si>
    <t>SFA開発フローについての学習と過去案件練習 : 進行中</t>
    <phoneticPr fontId="2"/>
  </si>
  <si>
    <t>SFA開発フローについての学習と過去案件練習 : 継続</t>
    <phoneticPr fontId="2"/>
  </si>
  <si>
    <t>ビルド作業を対応 (19/01~23/01) ：完了</t>
    <phoneticPr fontId="2"/>
  </si>
  <si>
    <t>結合テスト：未着手</t>
    <phoneticPr fontId="2"/>
  </si>
  <si>
    <t>基本設計：完了</t>
    <phoneticPr fontId="2"/>
  </si>
  <si>
    <t>01月22日~28日</t>
    <phoneticPr fontId="2"/>
  </si>
  <si>
    <t>4月</t>
  </si>
  <si>
    <t>5月</t>
  </si>
  <si>
    <t>6月</t>
  </si>
  <si>
    <t>7月</t>
  </si>
  <si>
    <t>8月</t>
  </si>
  <si>
    <t>9月</t>
  </si>
  <si>
    <t>10月</t>
  </si>
  <si>
    <t>11月</t>
  </si>
  <si>
    <t>12月</t>
  </si>
  <si>
    <t>1月</t>
  </si>
  <si>
    <t>2月</t>
  </si>
  <si>
    <t>3月</t>
  </si>
  <si>
    <t>委託率 (%)</t>
    <phoneticPr fontId="2"/>
  </si>
  <si>
    <t>生産性 (%)</t>
    <phoneticPr fontId="2"/>
  </si>
  <si>
    <t>■委託と生産性</t>
    <phoneticPr fontId="2"/>
  </si>
  <si>
    <t>WA6</t>
    <phoneticPr fontId="2"/>
  </si>
  <si>
    <t>【開発依頼】作業の自動化・効率化_エラーメッセージ一覧作成</t>
    <phoneticPr fontId="2"/>
  </si>
  <si>
    <t>PBxxxxxxxx</t>
  </si>
  <si>
    <t>TSO/SYA/MMH</t>
    <phoneticPr fontId="2"/>
  </si>
  <si>
    <t>F198</t>
    <phoneticPr fontId="2"/>
  </si>
  <si>
    <t>PB00202041</t>
    <phoneticPr fontId="2"/>
  </si>
  <si>
    <t>【定型】取引制限画面文言の変更について</t>
    <phoneticPr fontId="2"/>
  </si>
  <si>
    <t>追加修正のご依頼は、01月20日に受領いたしました。
DAT側での作業自体は完了いたしました。</t>
    <phoneticPr fontId="2"/>
  </si>
  <si>
    <t>96ファイルの入力値の比較：完了</t>
    <phoneticPr fontId="2"/>
  </si>
  <si>
    <t>修正要否と修正箇所の確認：完了</t>
    <phoneticPr fontId="2"/>
  </si>
  <si>
    <t>詳細設計：完了</t>
    <phoneticPr fontId="2"/>
  </si>
  <si>
    <t>調査（エラーメッセージの検索））：完了</t>
    <rPh sb="0" eb="2">
      <t>チョウサ</t>
    </rPh>
    <rPh sb="12" eb="14">
      <t>ケンサク</t>
    </rPh>
    <phoneticPr fontId="2"/>
  </si>
  <si>
    <t>調査（表示画面の調査）：完了</t>
    <phoneticPr fontId="2"/>
  </si>
  <si>
    <t>調査結果が納品いたしました。</t>
    <phoneticPr fontId="2"/>
  </si>
  <si>
    <t>SFA10</t>
    <phoneticPr fontId="2"/>
  </si>
  <si>
    <t>ソース修正：未着手</t>
    <phoneticPr fontId="2"/>
  </si>
  <si>
    <t>【SFA】(000052)レベルアップ対応</t>
    <phoneticPr fontId="2"/>
  </si>
  <si>
    <t>(46)WB4管理者の口座開設申込検索画面注記文言の追加</t>
    <phoneticPr fontId="2"/>
  </si>
  <si>
    <t>基本設計と詳細設計が納品いたしました。</t>
    <phoneticPr fontId="2"/>
  </si>
  <si>
    <t>F199</t>
    <phoneticPr fontId="2"/>
  </si>
  <si>
    <t>01月29日~30日</t>
    <phoneticPr fontId="2"/>
  </si>
  <si>
    <t>02月01日~04日</t>
    <phoneticPr fontId="2"/>
  </si>
  <si>
    <t>ビルド作業を対応 (02/02~02/06) ：完了</t>
    <phoneticPr fontId="2"/>
  </si>
  <si>
    <t>F200</t>
    <phoneticPr fontId="2"/>
  </si>
  <si>
    <t>調査（画面文言変更）：完了</t>
    <phoneticPr fontId="2"/>
  </si>
  <si>
    <t>【定型】NISA簿価残高画面変更依頼</t>
    <phoneticPr fontId="2"/>
  </si>
  <si>
    <t>PB00202046</t>
    <phoneticPr fontId="2"/>
  </si>
  <si>
    <t>02月05日~11日</t>
    <phoneticPr fontId="2"/>
  </si>
  <si>
    <t>調査（画面チェック）：完了</t>
    <phoneticPr fontId="2"/>
  </si>
  <si>
    <t>20260219～　20260225</t>
    <phoneticPr fontId="2"/>
  </si>
  <si>
    <t>PopTree起票：完了</t>
    <phoneticPr fontId="2"/>
  </si>
  <si>
    <t>デモ画面の修正：継続</t>
    <phoneticPr fontId="2"/>
  </si>
  <si>
    <t>PR14</t>
    <phoneticPr fontId="2"/>
  </si>
  <si>
    <t>(0D)投信銘柄条件登録画面のボタン機能改善</t>
    <phoneticPr fontId="2"/>
  </si>
  <si>
    <t>02月12日~18日</t>
    <phoneticPr fontId="2"/>
  </si>
  <si>
    <t>来週の03月02日（月曜日）まではミヤンマーの祝日です。</t>
    <phoneticPr fontId="2"/>
  </si>
  <si>
    <t>来週のため、エイミャさんは出産のため、2026年3月3日（火曜日）から2026年6月15日（月曜日）までの期間、産休をいただきます。</t>
    <phoneticPr fontId="2"/>
  </si>
  <si>
    <t>プロジェクトを円滑に進めるために、スキルのあるFOCメンバーを2名追加し、実際のプロジェクトに割り当てる予定です。</t>
    <phoneticPr fontId="2"/>
  </si>
  <si>
    <t>WB4チームの生産性については、現在の生産性を維持いたします。</t>
    <phoneticPr fontId="2"/>
  </si>
  <si>
    <t>20260226～　20260304</t>
    <phoneticPr fontId="2"/>
  </si>
  <si>
    <t>ビルド作業を対応 (02/16~02/20) ：完了</t>
    <phoneticPr fontId="2"/>
  </si>
  <si>
    <t>単体テスト：進行中</t>
    <phoneticPr fontId="2"/>
  </si>
  <si>
    <t>単体テスト：継続</t>
    <phoneticPr fontId="2"/>
  </si>
  <si>
    <t>バックアップファイルの取得の調査：完了</t>
    <phoneticPr fontId="2"/>
  </si>
  <si>
    <t>アーカイブの抽出の調査：完了</t>
    <phoneticPr fontId="2"/>
  </si>
  <si>
    <t>データのインポートの調査：完了</t>
    <phoneticPr fontId="2"/>
  </si>
  <si>
    <t>デモ画面の修正：完了</t>
    <phoneticPr fontId="2"/>
  </si>
  <si>
    <t>不具合①の調査：完了</t>
    <phoneticPr fontId="2"/>
  </si>
  <si>
    <t>不具合②の調査：完了</t>
    <phoneticPr fontId="2"/>
  </si>
  <si>
    <t>TZA/TZO</t>
    <phoneticPr fontId="2"/>
  </si>
  <si>
    <t>02月19日~25日</t>
    <phoneticPr fontId="2"/>
  </si>
  <si>
    <t>ビルド作業を対応 (03/03~03/06) ：継続</t>
    <phoneticPr fontId="2"/>
  </si>
  <si>
    <t>修正の実施：完了</t>
    <phoneticPr fontId="2"/>
  </si>
  <si>
    <t>再度同じ調査のご依頼を、2月4日に受領いたしました。
96ファイルの比較結果と修正を実施し、納品いたしました。
現在、DIR担当者によるレビューを行っております。</t>
    <phoneticPr fontId="2"/>
  </si>
  <si>
    <t>①～⑤の開発とテストは完了いたしましたが、
現在、DIR担当者と協議を行い、テストフェーズで定期的に実行される
Jenkinsジョブとして設定する方向で進めております。</t>
    <phoneticPr fontId="2"/>
  </si>
  <si>
    <t>エラーメッセージの抽出の調査：完了</t>
    <phoneticPr fontId="2"/>
  </si>
  <si>
    <t>ファイルの出力の調査：完了</t>
    <phoneticPr fontId="2"/>
  </si>
  <si>
    <t>開発：継続</t>
    <phoneticPr fontId="2"/>
  </si>
  <si>
    <t>ソース修正：継続</t>
    <phoneticPr fontId="2"/>
  </si>
  <si>
    <t>開発：進行中</t>
    <phoneticPr fontId="2"/>
  </si>
  <si>
    <t>デモ画面の修正：進行中</t>
    <phoneticPr fontId="2"/>
  </si>
  <si>
    <t>コード修正：完了</t>
    <phoneticPr fontId="2"/>
  </si>
  <si>
    <t>不具合①と②の調査結果とコード修正はDIR担当者のレビュー中です。</t>
    <phoneticPr fontId="2"/>
  </si>
  <si>
    <t>また、プロジェクトのレビューについては、ティンザーさんとサン・タンさんがすべてのプロジェクトの詳細を確認いたしますので、</t>
    <phoneticPr fontId="2"/>
  </si>
  <si>
    <t>調査結果はDIR担当者のレビュー中です。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</si>
</sst>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m&quot;月&quot;d&quot;日&quot;;@"/>
    <numFmt numFmtId="177" formatCode="yyyy\-mm\-dd"/>
    <numFmt numFmtId="178" formatCode="0.000"/>
    <numFmt numFmtId="179" formatCode="#,##0.00_ ;[Red]\-#,##0.00\ "/>
    <numFmt numFmtId="180" formatCode="#,##0.0_ ;[Red]\-#,##0.0\ "/>
    <numFmt numFmtId="181" formatCode="0.00_ "/>
  </numFmts>
  <fonts count="60"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0"/>
      <color theme="1"/>
      <name val="Meiryo UI"/>
      <family val="3"/>
      <charset val="128"/>
    </font>
    <font>
      <sz val="11"/>
      <color theme="1"/>
      <name val="游ゴシック"/>
      <family val="3"/>
      <charset val="128"/>
      <scheme val="minor"/>
    </font>
    <font>
      <sz val="11"/>
      <color indexed="8"/>
      <name val="ＭＳ Ｐゴシック"/>
      <family val="3"/>
      <charset val="128"/>
    </font>
    <font>
      <sz val="6"/>
      <name val="ＭＳ Ｐゴシック"/>
      <family val="3"/>
      <charset val="128"/>
    </font>
    <font>
      <sz val="11"/>
      <name val="ＭＳ Ｐゴシック"/>
      <family val="3"/>
      <charset val="128"/>
    </font>
    <font>
      <b/>
      <sz val="15"/>
      <color theme="1"/>
      <name val="Meiryo UI"/>
      <family val="3"/>
      <charset val="128"/>
    </font>
    <font>
      <b/>
      <sz val="10"/>
      <color theme="1"/>
      <name val="Meiryo UI"/>
      <family val="3"/>
      <charset val="128"/>
    </font>
    <font>
      <b/>
      <sz val="12"/>
      <color theme="1"/>
      <name val="Meiryo UI"/>
      <family val="3"/>
      <charset val="128"/>
    </font>
    <font>
      <b/>
      <sz val="13"/>
      <color theme="1"/>
      <name val="Meiryo UI"/>
      <family val="3"/>
      <charset val="128"/>
    </font>
    <font>
      <sz val="10"/>
      <name val="Meiryo UI"/>
      <family val="3"/>
      <charset val="128"/>
    </font>
    <font>
      <b/>
      <sz val="10"/>
      <name val="Meiryo UI"/>
      <family val="3"/>
      <charset val="128"/>
    </font>
    <font>
      <b/>
      <sz val="10"/>
      <color theme="0"/>
      <name val="Meiryo UI"/>
      <family val="3"/>
      <charset val="128"/>
    </font>
    <font>
      <u/>
      <sz val="11"/>
      <color theme="10"/>
      <name val="游ゴシック"/>
      <family val="2"/>
      <charset val="128"/>
      <scheme val="minor"/>
    </font>
    <font>
      <u/>
      <sz val="10"/>
      <color theme="10"/>
      <name val="Meiryo UI"/>
      <family val="3"/>
      <charset val="128"/>
    </font>
    <font>
      <sz val="11"/>
      <color theme="1"/>
      <name val="Meiryo UI"/>
      <family val="3"/>
      <charset val="128"/>
    </font>
    <font>
      <u/>
      <sz val="11"/>
      <color theme="10"/>
      <name val="Meiryo UI"/>
      <family val="3"/>
      <charset val="128"/>
    </font>
    <font>
      <sz val="10"/>
      <color rgb="FFFF0000"/>
      <name val="Meiryo UI"/>
      <family val="3"/>
      <charset val="128"/>
    </font>
    <font>
      <sz val="10"/>
      <color theme="9" tint="-0.249977111117893"/>
      <name val="Meiryo UI"/>
      <family val="3"/>
      <charset val="128"/>
    </font>
    <font>
      <sz val="10"/>
      <color theme="5" tint="-0.249977111117893"/>
      <name val="Meiryo UI"/>
      <family val="3"/>
      <charset val="128"/>
    </font>
    <font>
      <b/>
      <sz val="10"/>
      <color rgb="FFFF0000"/>
      <name val="Meiryo UI"/>
      <family val="3"/>
      <charset val="128"/>
    </font>
    <font>
      <sz val="10"/>
      <color theme="4" tint="-0.249977111117893"/>
      <name val="Meiryo UI"/>
      <family val="3"/>
      <charset val="128"/>
    </font>
    <font>
      <sz val="14"/>
      <color theme="4" tint="-0.249977111117893"/>
      <name val="Meiryo UI"/>
      <family val="3"/>
      <charset val="128"/>
    </font>
    <font>
      <b/>
      <sz val="9"/>
      <color rgb="FF1102D6"/>
      <name val="Meiryo UI"/>
      <family val="3"/>
      <charset val="128"/>
    </font>
    <font>
      <b/>
      <sz val="11"/>
      <color theme="5" tint="-0.249977111117893"/>
      <name val="Meiryo UI"/>
      <family val="3"/>
      <charset val="128"/>
    </font>
    <font>
      <b/>
      <sz val="11"/>
      <color theme="9" tint="-0.249977111117893"/>
      <name val="Meiryo UI"/>
      <family val="3"/>
      <charset val="128"/>
    </font>
    <font>
      <b/>
      <sz val="11"/>
      <color theme="4" tint="-0.249977111117893"/>
      <name val="Meiryo UI"/>
      <family val="3"/>
      <charset val="128"/>
    </font>
    <font>
      <sz val="11"/>
      <color rgb="FFFF0000"/>
      <name val="Meiryo UI"/>
      <family val="3"/>
      <charset val="128"/>
    </font>
    <font>
      <b/>
      <sz val="11"/>
      <color theme="1"/>
      <name val="Meiryo UI"/>
      <family val="3"/>
      <charset val="128"/>
    </font>
    <font>
      <sz val="11"/>
      <name val="Meiryo UI"/>
      <family val="3"/>
      <charset val="128"/>
    </font>
    <font>
      <b/>
      <sz val="20"/>
      <color theme="1"/>
      <name val="Meiryo UI"/>
      <family val="3"/>
      <charset val="128"/>
    </font>
    <font>
      <b/>
      <sz val="11"/>
      <color theme="0"/>
      <name val="Meiryo UI"/>
      <family val="3"/>
      <charset val="128"/>
    </font>
    <font>
      <sz val="11"/>
      <color theme="5" tint="-0.249977111117893"/>
      <name val="Meiryo UI"/>
      <family val="3"/>
      <charset val="128"/>
    </font>
    <font>
      <sz val="11"/>
      <color theme="4" tint="-0.249977111117893"/>
      <name val="Meiryo UI"/>
      <family val="3"/>
      <charset val="128"/>
    </font>
    <font>
      <sz val="11"/>
      <color theme="9" tint="-0.249977111117893"/>
      <name val="Meiryo UI"/>
      <family val="3"/>
      <charset val="128"/>
    </font>
    <font>
      <b/>
      <sz val="11"/>
      <color rgb="FFFF0000"/>
      <name val="Meiryo UI"/>
      <family val="3"/>
      <charset val="128"/>
    </font>
    <font>
      <b/>
      <sz val="11"/>
      <color rgb="FF1102D6"/>
      <name val="Meiryo UI"/>
      <family val="3"/>
      <charset val="128"/>
    </font>
    <font>
      <sz val="11"/>
      <color rgb="FFFF0000"/>
      <name val="游ゴシック"/>
      <family val="2"/>
      <charset val="128"/>
      <scheme val="minor"/>
    </font>
    <font>
      <b/>
      <sz val="10"/>
      <color theme="1"/>
      <name val="游ゴシック"/>
      <family val="2"/>
      <charset val="128"/>
      <scheme val="minor"/>
    </font>
    <font>
      <b/>
      <sz val="10"/>
      <color theme="1"/>
      <name val="游ゴシック"/>
      <family val="3"/>
      <charset val="128"/>
      <scheme val="minor"/>
    </font>
    <font>
      <sz val="10"/>
      <color theme="1"/>
      <name val="游ゴシック"/>
      <family val="3"/>
      <charset val="128"/>
      <scheme val="minor"/>
    </font>
    <font>
      <b/>
      <sz val="11"/>
      <color theme="1"/>
      <name val="游ゴシック"/>
      <family val="3"/>
      <charset val="128"/>
      <scheme val="minor"/>
    </font>
    <font>
      <sz val="10"/>
      <color rgb="FFFF0000"/>
      <name val="游ゴシック"/>
      <family val="3"/>
      <charset val="128"/>
      <scheme val="minor"/>
    </font>
    <font>
      <i/>
      <sz val="10"/>
      <color theme="1"/>
      <name val="游ゴシック"/>
      <family val="3"/>
      <charset val="128"/>
      <scheme val="minor"/>
    </font>
    <font>
      <sz val="9"/>
      <color rgb="FFFF0000"/>
      <name val="Meiryo UI"/>
      <family val="3"/>
      <charset val="128"/>
    </font>
    <font>
      <sz val="9"/>
      <color theme="1"/>
      <name val="Meiryo UI"/>
      <family val="3"/>
      <charset val="128"/>
    </font>
    <font>
      <sz val="12"/>
      <color theme="4" tint="-0.249977111117893"/>
      <name val="Meiryo UI"/>
      <family val="3"/>
      <charset val="128"/>
    </font>
    <font>
      <sz val="8"/>
      <color rgb="FFFF0000"/>
      <name val="Meiryo UI"/>
      <family val="3"/>
      <charset val="128"/>
    </font>
    <font>
      <b/>
      <sz val="9"/>
      <color theme="1"/>
      <name val="Meiryo UI"/>
      <family val="3"/>
      <charset val="128"/>
    </font>
    <font>
      <sz val="7"/>
      <color theme="1"/>
      <name val="Meiryo UI"/>
      <family val="3"/>
      <charset val="128"/>
    </font>
    <font>
      <sz val="12"/>
      <color rgb="FFFF0000"/>
      <name val="Meiryo UI"/>
      <family val="3"/>
      <charset val="128"/>
    </font>
    <font>
      <sz val="10"/>
      <color theme="0"/>
      <name val="Meiryo UI"/>
      <family val="3"/>
      <charset val="128"/>
    </font>
    <font>
      <sz val="10"/>
      <color rgb="FF7030A0"/>
      <name val="Meiryo UI"/>
      <family val="3"/>
      <charset val="128"/>
    </font>
    <font>
      <sz val="11"/>
      <color theme="5" tint="0.79998168889431442"/>
      <name val="游ゴシック"/>
      <family val="3"/>
      <charset val="128"/>
      <scheme val="minor"/>
    </font>
    <font>
      <sz val="11"/>
      <color theme="5" tint="0.79998168889431442"/>
      <name val="游ゴシック"/>
      <family val="2"/>
      <charset val="128"/>
      <scheme val="minor"/>
    </font>
    <font>
      <b/>
      <sz val="10"/>
      <color rgb="FFFFFFFF"/>
      <name val="BIZ UDPゴシック"/>
      <family val="3"/>
      <charset val="128"/>
    </font>
    <font>
      <sz val="11"/>
      <color rgb="FF000000"/>
      <name val="游ゴシック"/>
      <family val="3"/>
      <charset val="128"/>
      <scheme val="minor"/>
    </font>
    <font>
      <b/>
      <i/>
      <sz val="14"/>
      <color rgb="FF7030A0"/>
      <name val="Meiryo UI"/>
      <family val="3"/>
      <charset val="128"/>
    </font>
  </fonts>
  <fills count="19">
    <fill>
      <patternFill patternType="none"/>
    </fill>
    <fill>
      <patternFill patternType="gray125"/>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C00000"/>
        <bgColor indexed="64"/>
      </patternFill>
    </fill>
    <fill>
      <patternFill patternType="solid">
        <fgColor theme="2" tint="-0.249977111117893"/>
        <bgColor indexed="64"/>
      </patternFill>
    </fill>
    <fill>
      <patternFill patternType="solid">
        <fgColor rgb="FFFFFF00"/>
        <bgColor indexed="64"/>
      </patternFill>
    </fill>
    <fill>
      <patternFill patternType="solid">
        <fgColor theme="5" tint="-0.249977111117893"/>
        <bgColor indexed="64"/>
      </patternFill>
    </fill>
    <fill>
      <patternFill patternType="solid">
        <fgColor theme="0" tint="-0.34998626667073579"/>
        <bgColor indexed="64"/>
      </patternFill>
    </fill>
    <fill>
      <patternFill patternType="solid">
        <fgColor rgb="FF00B0F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8"/>
        <bgColor indexed="64"/>
      </patternFill>
    </fill>
  </fills>
  <borders count="62">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double">
        <color indexed="64"/>
      </left>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double">
        <color indexed="64"/>
      </left>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thin">
        <color indexed="64"/>
      </right>
      <top/>
      <bottom style="thin">
        <color indexed="64"/>
      </bottom>
      <diagonal/>
    </border>
    <border>
      <left/>
      <right style="double">
        <color indexed="64"/>
      </right>
      <top style="thin">
        <color indexed="64"/>
      </top>
      <bottom style="double">
        <color indexed="64"/>
      </bottom>
      <diagonal/>
    </border>
    <border>
      <left/>
      <right style="double">
        <color indexed="64"/>
      </right>
      <top style="double">
        <color indexed="64"/>
      </top>
      <bottom style="double">
        <color indexed="64"/>
      </bottom>
      <diagonal/>
    </border>
    <border>
      <left style="thin">
        <color indexed="64"/>
      </left>
      <right style="double">
        <color indexed="64"/>
      </right>
      <top style="hair">
        <color indexed="64"/>
      </top>
      <bottom style="thin">
        <color indexed="64"/>
      </bottom>
      <diagonal/>
    </border>
    <border>
      <left/>
      <right style="thin">
        <color indexed="64"/>
      </right>
      <top/>
      <bottom/>
      <diagonal/>
    </border>
    <border>
      <left style="thin">
        <color indexed="64"/>
      </left>
      <right/>
      <top/>
      <bottom/>
      <diagonal/>
    </border>
    <border>
      <left style="double">
        <color indexed="64"/>
      </left>
      <right/>
      <top style="hair">
        <color indexed="64"/>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double">
        <color indexed="64"/>
      </left>
      <right style="thin">
        <color indexed="64"/>
      </right>
      <top/>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double">
        <color indexed="64"/>
      </right>
      <top style="thin">
        <color indexed="64"/>
      </top>
      <bottom style="hair">
        <color indexed="64"/>
      </bottom>
      <diagonal/>
    </border>
    <border>
      <left style="thin">
        <color indexed="64"/>
      </left>
      <right style="double">
        <color indexed="64"/>
      </right>
      <top style="thin">
        <color indexed="64"/>
      </top>
      <bottom style="double">
        <color indexed="64"/>
      </bottom>
      <diagonal/>
    </border>
    <border>
      <left style="thin">
        <color indexed="64"/>
      </left>
      <right style="double">
        <color indexed="64"/>
      </right>
      <top style="double">
        <color indexed="64"/>
      </top>
      <bottom style="double">
        <color indexed="64"/>
      </bottom>
      <diagonal/>
    </border>
    <border>
      <left/>
      <right style="double">
        <color indexed="64"/>
      </right>
      <top style="thin">
        <color indexed="64"/>
      </top>
      <bottom style="hair">
        <color indexed="64"/>
      </bottom>
      <diagonal/>
    </border>
    <border>
      <left style="double">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double">
        <color indexed="64"/>
      </right>
      <top style="thin">
        <color indexed="64"/>
      </top>
      <bottom style="thin">
        <color indexed="64"/>
      </bottom>
      <diagonal/>
    </border>
  </borders>
  <cellStyleXfs count="7">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4" fillId="0" borderId="0">
      <alignment vertical="center"/>
    </xf>
    <xf numFmtId="38" fontId="5" fillId="0" borderId="0" applyFont="0" applyFill="0" applyBorder="0" applyAlignment="0" applyProtection="0">
      <alignment vertical="center"/>
    </xf>
    <xf numFmtId="38" fontId="7" fillId="0" borderId="0" applyFont="0" applyFill="0" applyBorder="0" applyAlignment="0" applyProtection="0">
      <alignment vertical="center"/>
    </xf>
    <xf numFmtId="0" fontId="15" fillId="0" borderId="0" applyNumberFormat="0" applyFill="0" applyBorder="0" applyAlignment="0" applyProtection="0">
      <alignment vertical="center"/>
    </xf>
  </cellStyleXfs>
  <cellXfs count="613">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3" fillId="0" borderId="13" xfId="0" applyFont="1" applyBorder="1" applyAlignment="1">
      <alignment horizontal="center" vertical="center"/>
    </xf>
    <xf numFmtId="0" fontId="3" fillId="0" borderId="13" xfId="0" applyFont="1" applyBorder="1">
      <alignment vertical="center"/>
    </xf>
    <xf numFmtId="0" fontId="3" fillId="2" borderId="13" xfId="0" applyFont="1" applyFill="1" applyBorder="1" applyAlignment="1">
      <alignment horizontal="center" vertical="center"/>
    </xf>
    <xf numFmtId="0" fontId="3" fillId="5" borderId="13" xfId="0" applyFont="1" applyFill="1" applyBorder="1" applyAlignment="1">
      <alignment horizontal="center" vertical="center"/>
    </xf>
    <xf numFmtId="0" fontId="10" fillId="0" borderId="0" xfId="0" applyFont="1">
      <alignment vertical="center"/>
    </xf>
    <xf numFmtId="0" fontId="11" fillId="0" borderId="0" xfId="0" applyFont="1">
      <alignment vertical="center"/>
    </xf>
    <xf numFmtId="0" fontId="3" fillId="0" borderId="0" xfId="0" applyFont="1" applyAlignment="1">
      <alignment vertical="center" shrinkToFit="1"/>
    </xf>
    <xf numFmtId="40" fontId="3" fillId="0" borderId="4" xfId="1" applyNumberFormat="1" applyFont="1" applyBorder="1" applyAlignment="1">
      <alignment horizontal="center" vertical="center"/>
    </xf>
    <xf numFmtId="40" fontId="3" fillId="0" borderId="9" xfId="1" applyNumberFormat="1" applyFont="1" applyBorder="1" applyAlignment="1">
      <alignment horizontal="center" vertical="center"/>
    </xf>
    <xf numFmtId="0" fontId="3" fillId="8" borderId="4" xfId="0" quotePrefix="1" applyFont="1" applyFill="1" applyBorder="1">
      <alignment vertical="center"/>
    </xf>
    <xf numFmtId="176" fontId="3" fillId="8" borderId="4" xfId="0" quotePrefix="1" applyNumberFormat="1" applyFont="1" applyFill="1" applyBorder="1">
      <alignment vertical="center"/>
    </xf>
    <xf numFmtId="0" fontId="3" fillId="8" borderId="9" xfId="0" quotePrefix="1" applyFont="1" applyFill="1" applyBorder="1">
      <alignment vertical="center"/>
    </xf>
    <xf numFmtId="176" fontId="3" fillId="8" borderId="9" xfId="0" quotePrefix="1" applyNumberFormat="1" applyFont="1" applyFill="1" applyBorder="1">
      <alignment vertical="center"/>
    </xf>
    <xf numFmtId="0" fontId="3" fillId="8" borderId="4" xfId="0" applyFont="1" applyFill="1" applyBorder="1">
      <alignment vertical="center"/>
    </xf>
    <xf numFmtId="176" fontId="3" fillId="8" borderId="4" xfId="0" applyNumberFormat="1" applyFont="1" applyFill="1" applyBorder="1">
      <alignment vertical="center"/>
    </xf>
    <xf numFmtId="0" fontId="3" fillId="8" borderId="9" xfId="0" applyFont="1" applyFill="1" applyBorder="1">
      <alignment vertical="center"/>
    </xf>
    <xf numFmtId="176" fontId="3" fillId="8" borderId="9" xfId="0" applyNumberFormat="1" applyFont="1" applyFill="1" applyBorder="1">
      <alignment vertical="center"/>
    </xf>
    <xf numFmtId="0" fontId="3" fillId="2" borderId="15" xfId="0" applyFont="1" applyFill="1" applyBorder="1" applyAlignment="1">
      <alignment horizontal="center" vertical="center"/>
    </xf>
    <xf numFmtId="40" fontId="3" fillId="0" borderId="21" xfId="1" applyNumberFormat="1" applyFont="1" applyBorder="1" applyAlignment="1">
      <alignment horizontal="center" vertical="center"/>
    </xf>
    <xf numFmtId="40" fontId="3" fillId="0" borderId="23" xfId="1" applyNumberFormat="1" applyFont="1" applyBorder="1" applyAlignment="1">
      <alignment horizontal="center" vertical="center"/>
    </xf>
    <xf numFmtId="40" fontId="3" fillId="0" borderId="6" xfId="1" applyNumberFormat="1" applyFont="1" applyBorder="1" applyAlignment="1">
      <alignment horizontal="center" vertical="center"/>
    </xf>
    <xf numFmtId="40" fontId="3" fillId="0" borderId="11" xfId="1" applyNumberFormat="1" applyFont="1" applyBorder="1" applyAlignment="1">
      <alignment horizontal="center" vertical="center"/>
    </xf>
    <xf numFmtId="0" fontId="8" fillId="0" borderId="0" xfId="0" applyFont="1">
      <alignment vertical="center"/>
    </xf>
    <xf numFmtId="0" fontId="8" fillId="0" borderId="0" xfId="0" applyFont="1" applyBorder="1" applyAlignment="1">
      <alignment vertical="center"/>
    </xf>
    <xf numFmtId="0" fontId="3" fillId="0" borderId="0" xfId="0" applyFont="1" applyBorder="1" applyAlignment="1">
      <alignment horizontal="right" vertical="center"/>
    </xf>
    <xf numFmtId="40" fontId="3" fillId="0" borderId="0" xfId="1" applyNumberFormat="1" applyFont="1" applyBorder="1" applyAlignment="1">
      <alignment horizontal="center" vertical="center"/>
    </xf>
    <xf numFmtId="40" fontId="3" fillId="6" borderId="25" xfId="1" applyNumberFormat="1" applyFont="1" applyFill="1" applyBorder="1" applyAlignment="1">
      <alignment horizontal="center" vertical="center"/>
    </xf>
    <xf numFmtId="40" fontId="3" fillId="6" borderId="26" xfId="1" applyNumberFormat="1" applyFont="1" applyFill="1" applyBorder="1" applyAlignment="1">
      <alignment horizontal="center" vertical="center"/>
    </xf>
    <xf numFmtId="40" fontId="3" fillId="6" borderId="33" xfId="1" applyNumberFormat="1" applyFont="1" applyFill="1" applyBorder="1" applyAlignment="1">
      <alignment horizontal="center" vertical="center"/>
    </xf>
    <xf numFmtId="40" fontId="3" fillId="6" borderId="27" xfId="1" applyNumberFormat="1" applyFont="1" applyFill="1" applyBorder="1" applyAlignment="1">
      <alignment horizontal="center" vertical="center"/>
    </xf>
    <xf numFmtId="177" fontId="12" fillId="5" borderId="0" xfId="0" applyNumberFormat="1" applyFont="1" applyFill="1" applyAlignment="1">
      <alignment horizontal="center" vertical="center"/>
    </xf>
    <xf numFmtId="0" fontId="12" fillId="5" borderId="0" xfId="0" applyFont="1" applyFill="1" applyAlignment="1">
      <alignment horizontal="left" vertical="center"/>
    </xf>
    <xf numFmtId="0" fontId="12" fillId="0" borderId="0" xfId="0" applyFont="1" applyAlignment="1">
      <alignment horizontal="center" vertical="center"/>
    </xf>
    <xf numFmtId="177" fontId="12" fillId="0" borderId="0" xfId="0" applyNumberFormat="1" applyFont="1" applyAlignment="1">
      <alignment horizontal="center" vertical="center"/>
    </xf>
    <xf numFmtId="0" fontId="12" fillId="0" borderId="0" xfId="0" applyFont="1" applyAlignment="1">
      <alignment horizontal="left" vertical="center"/>
    </xf>
    <xf numFmtId="0" fontId="13" fillId="5" borderId="0" xfId="0" applyFont="1" applyFill="1" applyAlignment="1">
      <alignment horizontal="left" vertical="center"/>
    </xf>
    <xf numFmtId="40" fontId="3" fillId="6" borderId="13" xfId="0" applyNumberFormat="1" applyFont="1" applyFill="1" applyBorder="1">
      <alignment vertical="center"/>
    </xf>
    <xf numFmtId="0" fontId="3" fillId="6" borderId="13" xfId="0" applyFont="1" applyFill="1" applyBorder="1" applyAlignment="1">
      <alignment horizontal="right" vertical="center"/>
    </xf>
    <xf numFmtId="0" fontId="13" fillId="2" borderId="13" xfId="0" applyFont="1" applyFill="1" applyBorder="1" applyAlignment="1">
      <alignment horizontal="right" vertical="center" shrinkToFit="1"/>
    </xf>
    <xf numFmtId="0" fontId="14" fillId="7" borderId="13" xfId="0" applyFont="1" applyFill="1" applyBorder="1" applyAlignment="1">
      <alignment horizontal="right" vertical="center" shrinkToFit="1"/>
    </xf>
    <xf numFmtId="40" fontId="3" fillId="0" borderId="9" xfId="1" applyNumberFormat="1" applyFont="1" applyFill="1" applyBorder="1" applyAlignment="1">
      <alignment horizontal="center" vertical="center"/>
    </xf>
    <xf numFmtId="40" fontId="3" fillId="6" borderId="15" xfId="0" applyNumberFormat="1" applyFont="1" applyFill="1" applyBorder="1">
      <alignment vertical="center"/>
    </xf>
    <xf numFmtId="40" fontId="3" fillId="6" borderId="14" xfId="0" applyNumberFormat="1" applyFont="1" applyFill="1" applyBorder="1">
      <alignment vertical="center"/>
    </xf>
    <xf numFmtId="40" fontId="3" fillId="0" borderId="36" xfId="1" applyNumberFormat="1" applyFont="1" applyBorder="1" applyAlignment="1">
      <alignment horizontal="center" vertical="center"/>
    </xf>
    <xf numFmtId="40" fontId="3" fillId="6" borderId="4" xfId="1" applyNumberFormat="1" applyFont="1" applyFill="1" applyBorder="1" applyAlignment="1">
      <alignment horizontal="center" vertical="center"/>
    </xf>
    <xf numFmtId="40" fontId="3" fillId="6" borderId="9" xfId="1" applyNumberFormat="1" applyFont="1" applyFill="1" applyBorder="1" applyAlignment="1">
      <alignment horizontal="center" vertical="center"/>
    </xf>
    <xf numFmtId="40" fontId="9" fillId="2" borderId="25" xfId="0" applyNumberFormat="1" applyFont="1" applyFill="1" applyBorder="1" applyAlignment="1">
      <alignment horizontal="center" vertical="center"/>
    </xf>
    <xf numFmtId="40" fontId="9" fillId="2" borderId="26" xfId="0" applyNumberFormat="1" applyFont="1" applyFill="1" applyBorder="1" applyAlignment="1">
      <alignment horizontal="center" vertical="center"/>
    </xf>
    <xf numFmtId="0" fontId="9" fillId="0" borderId="0" xfId="0" applyFont="1">
      <alignment vertical="center"/>
    </xf>
    <xf numFmtId="40" fontId="3" fillId="0" borderId="4" xfId="1" applyNumberFormat="1" applyFont="1" applyFill="1" applyBorder="1" applyAlignment="1">
      <alignment horizontal="center" vertical="center"/>
    </xf>
    <xf numFmtId="40" fontId="3" fillId="0" borderId="39" xfId="1" applyNumberFormat="1" applyFont="1" applyBorder="1" applyAlignment="1">
      <alignment horizontal="center" vertical="center"/>
    </xf>
    <xf numFmtId="40" fontId="3" fillId="0" borderId="0" xfId="0" applyNumberFormat="1" applyFont="1">
      <alignment vertical="center"/>
    </xf>
    <xf numFmtId="0" fontId="12" fillId="0" borderId="0" xfId="0" applyFont="1">
      <alignment vertical="center"/>
    </xf>
    <xf numFmtId="40" fontId="3" fillId="0" borderId="10" xfId="1" applyNumberFormat="1" applyFont="1" applyBorder="1" applyAlignment="1">
      <alignment horizontal="center" vertical="center"/>
    </xf>
    <xf numFmtId="178" fontId="3" fillId="0" borderId="0" xfId="0" applyNumberFormat="1" applyFont="1">
      <alignment vertical="center"/>
    </xf>
    <xf numFmtId="40" fontId="3" fillId="0" borderId="42" xfId="1" applyNumberFormat="1" applyFont="1" applyBorder="1" applyAlignment="1">
      <alignment horizontal="center" vertical="center"/>
    </xf>
    <xf numFmtId="40" fontId="3" fillId="0" borderId="5" xfId="1" applyNumberFormat="1" applyFont="1" applyBorder="1" applyAlignment="1">
      <alignment horizontal="center" vertical="center"/>
    </xf>
    <xf numFmtId="40" fontId="3" fillId="0" borderId="8" xfId="1" applyNumberFormat="1" applyFont="1" applyBorder="1" applyAlignment="1">
      <alignment horizontal="center" vertical="center"/>
    </xf>
    <xf numFmtId="40" fontId="3" fillId="0" borderId="40" xfId="1" applyNumberFormat="1" applyFont="1" applyBorder="1" applyAlignment="1">
      <alignment horizontal="center" vertical="center"/>
    </xf>
    <xf numFmtId="0" fontId="3" fillId="0" borderId="13" xfId="0" applyFont="1" applyFill="1" applyBorder="1" applyAlignment="1">
      <alignment horizontal="center" vertical="center"/>
    </xf>
    <xf numFmtId="40" fontId="3" fillId="6" borderId="44" xfId="1" applyNumberFormat="1" applyFont="1" applyFill="1" applyBorder="1" applyAlignment="1">
      <alignment horizontal="center" vertical="center"/>
    </xf>
    <xf numFmtId="40" fontId="3" fillId="6" borderId="43" xfId="1" applyNumberFormat="1" applyFont="1" applyFill="1" applyBorder="1" applyAlignment="1">
      <alignment horizontal="center" vertical="center"/>
    </xf>
    <xf numFmtId="40" fontId="3" fillId="0" borderId="45" xfId="1" applyNumberFormat="1" applyFont="1" applyBorder="1" applyAlignment="1">
      <alignment horizontal="center" vertical="center"/>
    </xf>
    <xf numFmtId="40" fontId="3" fillId="0" borderId="41" xfId="1" applyNumberFormat="1" applyFont="1" applyBorder="1" applyAlignment="1">
      <alignment horizontal="center" vertical="center"/>
    </xf>
    <xf numFmtId="0" fontId="12" fillId="11" borderId="7" xfId="0" applyFont="1" applyFill="1" applyBorder="1">
      <alignment vertical="center"/>
    </xf>
    <xf numFmtId="0" fontId="3" fillId="11" borderId="7" xfId="0" applyFont="1" applyFill="1" applyBorder="1">
      <alignment vertical="center"/>
    </xf>
    <xf numFmtId="0" fontId="12" fillId="11" borderId="8" xfId="0" applyFont="1" applyFill="1" applyBorder="1">
      <alignment vertical="center"/>
    </xf>
    <xf numFmtId="0" fontId="3" fillId="11" borderId="8" xfId="0" applyFont="1" applyFill="1" applyBorder="1">
      <alignment vertical="center"/>
    </xf>
    <xf numFmtId="0" fontId="12" fillId="11" borderId="12" xfId="0" applyFont="1" applyFill="1" applyBorder="1">
      <alignment vertical="center"/>
    </xf>
    <xf numFmtId="0" fontId="3" fillId="11" borderId="12" xfId="0" applyFont="1" applyFill="1" applyBorder="1">
      <alignment vertical="center"/>
    </xf>
    <xf numFmtId="179" fontId="22" fillId="0" borderId="0" xfId="0" applyNumberFormat="1" applyFont="1" applyFill="1" applyBorder="1" applyAlignment="1">
      <alignment horizontal="center" vertical="center"/>
    </xf>
    <xf numFmtId="180" fontId="22" fillId="0" borderId="0" xfId="0" applyNumberFormat="1" applyFont="1" applyFill="1" applyBorder="1" applyAlignment="1">
      <alignment horizontal="center" vertical="center"/>
    </xf>
    <xf numFmtId="0" fontId="3" fillId="2" borderId="18" xfId="0" applyFont="1" applyFill="1" applyBorder="1" applyAlignment="1">
      <alignment horizontal="center" vertical="center"/>
    </xf>
    <xf numFmtId="0" fontId="3" fillId="2" borderId="46" xfId="0" applyFont="1" applyFill="1" applyBorder="1" applyAlignment="1">
      <alignment horizontal="center" vertical="center"/>
    </xf>
    <xf numFmtId="40" fontId="3" fillId="0" borderId="47" xfId="1" applyNumberFormat="1" applyFont="1" applyBorder="1" applyAlignment="1">
      <alignment horizontal="center" vertical="center"/>
    </xf>
    <xf numFmtId="0" fontId="3" fillId="0" borderId="13" xfId="0" applyFont="1" applyFill="1" applyBorder="1" applyAlignment="1">
      <alignment horizontal="center" vertical="center"/>
    </xf>
    <xf numFmtId="0" fontId="24" fillId="0" borderId="0" xfId="0" applyFont="1">
      <alignment vertical="center"/>
    </xf>
    <xf numFmtId="0" fontId="30" fillId="0" borderId="48" xfId="0" applyFont="1" applyBorder="1" applyAlignment="1">
      <alignment vertical="center"/>
    </xf>
    <xf numFmtId="0" fontId="30" fillId="0" borderId="49" xfId="0" applyFont="1" applyBorder="1" applyAlignment="1">
      <alignment vertical="center"/>
    </xf>
    <xf numFmtId="0" fontId="30" fillId="0" borderId="50" xfId="0" applyFont="1" applyBorder="1" applyAlignment="1">
      <alignment vertical="center"/>
    </xf>
    <xf numFmtId="0" fontId="30" fillId="0" borderId="51" xfId="0" applyFont="1" applyBorder="1">
      <alignment vertical="center"/>
    </xf>
    <xf numFmtId="0" fontId="17" fillId="0" borderId="52" xfId="0" applyFont="1" applyBorder="1">
      <alignment vertical="center"/>
    </xf>
    <xf numFmtId="0" fontId="17" fillId="0" borderId="53" xfId="0" applyFont="1" applyBorder="1">
      <alignment vertical="center"/>
    </xf>
    <xf numFmtId="40" fontId="3" fillId="0" borderId="54" xfId="1" applyNumberFormat="1" applyFont="1" applyBorder="1" applyAlignment="1">
      <alignment horizontal="center" vertical="center"/>
    </xf>
    <xf numFmtId="40" fontId="3" fillId="6" borderId="55" xfId="1" applyNumberFormat="1" applyFont="1" applyFill="1" applyBorder="1" applyAlignment="1">
      <alignment horizontal="center" vertical="center"/>
    </xf>
    <xf numFmtId="40" fontId="3" fillId="6" borderId="56" xfId="1" applyNumberFormat="1" applyFont="1" applyFill="1" applyBorder="1" applyAlignment="1">
      <alignment horizontal="center" vertical="center"/>
    </xf>
    <xf numFmtId="0" fontId="17" fillId="0" borderId="0" xfId="0" applyFont="1">
      <alignment vertical="center"/>
    </xf>
    <xf numFmtId="0" fontId="31" fillId="13" borderId="12" xfId="0" applyFont="1" applyFill="1" applyBorder="1">
      <alignment vertical="center"/>
    </xf>
    <xf numFmtId="0" fontId="32" fillId="0" borderId="0" xfId="0" applyFont="1" applyBorder="1" applyAlignment="1">
      <alignment vertical="center"/>
    </xf>
    <xf numFmtId="0" fontId="30" fillId="0" borderId="0" xfId="0" applyFont="1" applyBorder="1" applyAlignment="1">
      <alignment vertical="center"/>
    </xf>
    <xf numFmtId="0" fontId="17" fillId="0" borderId="0" xfId="0" applyFont="1" applyAlignment="1">
      <alignment vertical="center" shrinkToFit="1"/>
    </xf>
    <xf numFmtId="0" fontId="30" fillId="0" borderId="0" xfId="0" applyFont="1">
      <alignment vertical="center"/>
    </xf>
    <xf numFmtId="0" fontId="17" fillId="5" borderId="15" xfId="0" applyFont="1" applyFill="1" applyBorder="1" applyAlignment="1">
      <alignment vertical="center" wrapText="1"/>
    </xf>
    <xf numFmtId="0" fontId="17" fillId="5" borderId="13" xfId="0" applyFont="1" applyFill="1" applyBorder="1" applyAlignment="1">
      <alignment horizontal="center" vertical="center" wrapText="1"/>
    </xf>
    <xf numFmtId="0" fontId="17" fillId="0" borderId="0" xfId="0" applyFont="1" applyAlignment="1">
      <alignment horizontal="center" vertical="center"/>
    </xf>
    <xf numFmtId="40" fontId="17" fillId="0" borderId="4" xfId="1" applyNumberFormat="1" applyFont="1" applyBorder="1" applyAlignment="1">
      <alignment horizontal="center" vertical="center"/>
    </xf>
    <xf numFmtId="40" fontId="17" fillId="0" borderId="21" xfId="1" applyNumberFormat="1" applyFont="1" applyBorder="1" applyAlignment="1">
      <alignment horizontal="center" vertical="center"/>
    </xf>
    <xf numFmtId="40" fontId="17" fillId="0" borderId="23" xfId="1" applyNumberFormat="1" applyFont="1" applyBorder="1" applyAlignment="1">
      <alignment horizontal="center" vertical="center"/>
    </xf>
    <xf numFmtId="40" fontId="17" fillId="0" borderId="0" xfId="0" applyNumberFormat="1" applyFont="1">
      <alignment vertical="center"/>
    </xf>
    <xf numFmtId="0" fontId="17" fillId="0" borderId="22" xfId="0" applyFont="1" applyBorder="1" applyAlignment="1">
      <alignment vertical="center"/>
    </xf>
    <xf numFmtId="0" fontId="17" fillId="0" borderId="5" xfId="0" applyFont="1" applyBorder="1" applyAlignment="1">
      <alignment horizontal="right" vertical="center"/>
    </xf>
    <xf numFmtId="0" fontId="17" fillId="0" borderId="24" xfId="0" applyFont="1" applyBorder="1" applyAlignment="1">
      <alignment vertical="center"/>
    </xf>
    <xf numFmtId="0" fontId="17" fillId="0" borderId="10" xfId="0" applyFont="1" applyBorder="1" applyAlignment="1">
      <alignment horizontal="right" vertical="center"/>
    </xf>
    <xf numFmtId="40" fontId="17" fillId="0" borderId="9" xfId="1" applyNumberFormat="1" applyFont="1" applyBorder="1" applyAlignment="1">
      <alignment horizontal="center" vertical="center"/>
    </xf>
    <xf numFmtId="0" fontId="32" fillId="0" borderId="0" xfId="0" applyFont="1">
      <alignment vertical="center"/>
    </xf>
    <xf numFmtId="176" fontId="17" fillId="8" borderId="4" xfId="0" applyNumberFormat="1" applyFont="1" applyFill="1" applyBorder="1">
      <alignment vertical="center"/>
    </xf>
    <xf numFmtId="176" fontId="17" fillId="8" borderId="9" xfId="0" applyNumberFormat="1" applyFont="1" applyFill="1" applyBorder="1">
      <alignment vertical="center"/>
    </xf>
    <xf numFmtId="40" fontId="17" fillId="0" borderId="10" xfId="1" applyNumberFormat="1" applyFont="1" applyBorder="1" applyAlignment="1">
      <alignment horizontal="center" vertical="center"/>
    </xf>
    <xf numFmtId="0" fontId="17" fillId="6" borderId="13" xfId="0" applyFont="1" applyFill="1" applyBorder="1" applyAlignment="1">
      <alignment horizontal="right" vertical="center"/>
    </xf>
    <xf numFmtId="40" fontId="17" fillId="6" borderId="13" xfId="1" applyNumberFormat="1" applyFont="1" applyFill="1" applyBorder="1" applyAlignment="1">
      <alignment horizontal="center" vertical="center"/>
    </xf>
    <xf numFmtId="40" fontId="17" fillId="6" borderId="13" xfId="0" applyNumberFormat="1" applyFont="1" applyFill="1" applyBorder="1">
      <alignment vertical="center"/>
    </xf>
    <xf numFmtId="40" fontId="17" fillId="6" borderId="12" xfId="1" applyNumberFormat="1" applyFont="1" applyFill="1" applyBorder="1" applyAlignment="1">
      <alignment horizontal="center" vertical="center"/>
    </xf>
    <xf numFmtId="0" fontId="17" fillId="4" borderId="15" xfId="0" applyFont="1" applyFill="1" applyBorder="1" applyAlignment="1">
      <alignment vertical="center" wrapText="1"/>
    </xf>
    <xf numFmtId="0" fontId="17" fillId="4" borderId="13" xfId="0" applyFont="1" applyFill="1" applyBorder="1" applyAlignment="1">
      <alignment horizontal="center" vertical="center" wrapText="1"/>
    </xf>
    <xf numFmtId="176" fontId="17" fillId="8" borderId="4" xfId="0" quotePrefix="1" applyNumberFormat="1" applyFont="1" applyFill="1" applyBorder="1">
      <alignment vertical="center"/>
    </xf>
    <xf numFmtId="176" fontId="17" fillId="8" borderId="9" xfId="0" quotePrefix="1" applyNumberFormat="1" applyFont="1" applyFill="1" applyBorder="1">
      <alignment vertical="center"/>
    </xf>
    <xf numFmtId="0" fontId="17" fillId="0" borderId="0" xfId="0" applyFont="1" applyBorder="1" applyAlignment="1">
      <alignment horizontal="right" vertical="center"/>
    </xf>
    <xf numFmtId="40" fontId="17" fillId="0" borderId="0" xfId="1" applyNumberFormat="1" applyFont="1" applyBorder="1" applyAlignment="1">
      <alignment horizontal="center" vertical="center"/>
    </xf>
    <xf numFmtId="0" fontId="33" fillId="7" borderId="13" xfId="0" applyFont="1" applyFill="1" applyBorder="1" applyAlignment="1">
      <alignment horizontal="right" vertical="center" shrinkToFit="1"/>
    </xf>
    <xf numFmtId="40" fontId="33" fillId="7" borderId="25" xfId="0" applyNumberFormat="1" applyFont="1" applyFill="1" applyBorder="1" applyAlignment="1">
      <alignment horizontal="center" vertical="center"/>
    </xf>
    <xf numFmtId="40" fontId="33" fillId="7" borderId="26" xfId="0" applyNumberFormat="1" applyFont="1" applyFill="1" applyBorder="1" applyAlignment="1">
      <alignment horizontal="center" vertical="center"/>
    </xf>
    <xf numFmtId="0" fontId="17" fillId="0" borderId="0" xfId="0" applyFont="1" applyFill="1" applyBorder="1">
      <alignment vertical="center"/>
    </xf>
    <xf numFmtId="0" fontId="31" fillId="0" borderId="0" xfId="0" applyFont="1" applyFill="1" applyBorder="1">
      <alignment vertical="center"/>
    </xf>
    <xf numFmtId="0" fontId="34" fillId="0" borderId="0" xfId="0" applyFont="1" applyBorder="1" applyAlignment="1">
      <alignment horizontal="center" vertical="center"/>
    </xf>
    <xf numFmtId="0" fontId="34" fillId="0" borderId="0" xfId="0" applyFont="1" applyFill="1" applyBorder="1">
      <alignment vertical="center"/>
    </xf>
    <xf numFmtId="0" fontId="35" fillId="0" borderId="0" xfId="0" applyFont="1" applyFill="1" applyBorder="1" applyAlignment="1">
      <alignment horizontal="center" vertical="center"/>
    </xf>
    <xf numFmtId="0" fontId="35" fillId="0" borderId="0" xfId="0" applyFont="1" applyFill="1" applyBorder="1" applyAlignment="1">
      <alignment vertical="center"/>
    </xf>
    <xf numFmtId="0" fontId="36" fillId="0" borderId="0" xfId="0" applyFont="1" applyFill="1" applyBorder="1">
      <alignment vertical="center"/>
    </xf>
    <xf numFmtId="179" fontId="37" fillId="0" borderId="0" xfId="0" applyNumberFormat="1" applyFont="1" applyFill="1" applyBorder="1" applyAlignment="1">
      <alignment vertical="center"/>
    </xf>
    <xf numFmtId="0" fontId="34" fillId="0" borderId="0" xfId="0" applyFont="1" applyBorder="1" applyAlignment="1">
      <alignment vertical="center"/>
    </xf>
    <xf numFmtId="179" fontId="37" fillId="0" borderId="0" xfId="0" applyNumberFormat="1" applyFont="1" applyFill="1" applyBorder="1" applyAlignment="1">
      <alignment horizontal="center" vertical="center"/>
    </xf>
    <xf numFmtId="40" fontId="17" fillId="0" borderId="0" xfId="0" applyNumberFormat="1" applyFont="1" applyFill="1" applyBorder="1" applyAlignment="1">
      <alignment horizontal="center" vertical="center"/>
    </xf>
    <xf numFmtId="0" fontId="38" fillId="0" borderId="0" xfId="0" applyFont="1">
      <alignment vertical="center"/>
    </xf>
    <xf numFmtId="180" fontId="37" fillId="0" borderId="0" xfId="0" applyNumberFormat="1" applyFont="1" applyFill="1" applyBorder="1" applyAlignment="1">
      <alignment horizontal="center" vertical="center"/>
    </xf>
    <xf numFmtId="180" fontId="37" fillId="0" borderId="0" xfId="0" applyNumberFormat="1" applyFont="1" applyFill="1" applyBorder="1" applyAlignment="1">
      <alignment vertical="center"/>
    </xf>
    <xf numFmtId="2" fontId="17" fillId="0" borderId="0" xfId="0" applyNumberFormat="1" applyFont="1" applyFill="1" applyBorder="1" applyAlignment="1">
      <alignment horizontal="center" vertical="center"/>
    </xf>
    <xf numFmtId="178" fontId="17" fillId="0" borderId="0" xfId="0" applyNumberFormat="1" applyFont="1">
      <alignment vertical="center"/>
    </xf>
    <xf numFmtId="0" fontId="0" fillId="0" borderId="0" xfId="0" applyFont="1">
      <alignment vertical="center"/>
    </xf>
    <xf numFmtId="0" fontId="31" fillId="0" borderId="0" xfId="0" applyFont="1" applyBorder="1">
      <alignment vertical="center"/>
    </xf>
    <xf numFmtId="0" fontId="17" fillId="0" borderId="0" xfId="0" applyFont="1" applyBorder="1">
      <alignment vertical="center"/>
    </xf>
    <xf numFmtId="0" fontId="34" fillId="0" borderId="0" xfId="0" applyFont="1" applyBorder="1">
      <alignment vertical="center"/>
    </xf>
    <xf numFmtId="0" fontId="36" fillId="0" borderId="0" xfId="0" applyFont="1" applyBorder="1">
      <alignment vertical="center"/>
    </xf>
    <xf numFmtId="0" fontId="35" fillId="0" borderId="0" xfId="0" applyFont="1" applyBorder="1">
      <alignment vertical="center"/>
    </xf>
    <xf numFmtId="2" fontId="17" fillId="0" borderId="0" xfId="0" applyNumberFormat="1" applyFont="1" applyBorder="1">
      <alignment vertical="center"/>
    </xf>
    <xf numFmtId="40" fontId="17" fillId="0" borderId="0" xfId="0" applyNumberFormat="1" applyFont="1" applyBorder="1" applyAlignment="1">
      <alignment horizontal="center" vertical="center"/>
    </xf>
    <xf numFmtId="0" fontId="17" fillId="0" borderId="0" xfId="0" applyFont="1" applyBorder="1" applyAlignment="1">
      <alignment horizontal="center" vertical="center"/>
    </xf>
    <xf numFmtId="2" fontId="37" fillId="0" borderId="0" xfId="0" applyNumberFormat="1" applyFont="1" applyBorder="1" applyAlignment="1">
      <alignment horizontal="center" vertical="center"/>
    </xf>
    <xf numFmtId="0" fontId="0" fillId="0" borderId="0" xfId="0" applyFont="1" applyFill="1" applyBorder="1">
      <alignment vertical="center"/>
    </xf>
    <xf numFmtId="0" fontId="17" fillId="0" borderId="0" xfId="0" applyFont="1" applyFill="1">
      <alignment vertical="center"/>
    </xf>
    <xf numFmtId="0" fontId="17" fillId="3" borderId="13" xfId="0" applyFont="1" applyFill="1" applyBorder="1" applyAlignment="1">
      <alignment horizontal="center" vertical="center" wrapText="1"/>
    </xf>
    <xf numFmtId="40" fontId="31" fillId="0" borderId="4" xfId="1" applyNumberFormat="1" applyFont="1" applyFill="1" applyBorder="1" applyAlignment="1">
      <alignment horizontal="center" vertical="center"/>
    </xf>
    <xf numFmtId="0" fontId="31" fillId="0" borderId="0" xfId="0" applyFont="1" applyFill="1">
      <alignment vertical="center"/>
    </xf>
    <xf numFmtId="40" fontId="31" fillId="0" borderId="17" xfId="1" applyNumberFormat="1" applyFont="1" applyFill="1" applyBorder="1" applyAlignment="1">
      <alignment horizontal="center" vertical="center"/>
    </xf>
    <xf numFmtId="40" fontId="31" fillId="0" borderId="8" xfId="1" applyNumberFormat="1" applyFont="1" applyFill="1" applyBorder="1" applyAlignment="1">
      <alignment horizontal="center" vertical="center"/>
    </xf>
    <xf numFmtId="40" fontId="31" fillId="0" borderId="21" xfId="1" applyNumberFormat="1" applyFont="1" applyFill="1" applyBorder="1" applyAlignment="1">
      <alignment horizontal="center" vertical="center"/>
    </xf>
    <xf numFmtId="40" fontId="31" fillId="0" borderId="23" xfId="1" applyNumberFormat="1" applyFont="1" applyFill="1" applyBorder="1" applyAlignment="1">
      <alignment horizontal="center" vertical="center"/>
    </xf>
    <xf numFmtId="40" fontId="31" fillId="0" borderId="0" xfId="0" applyNumberFormat="1" applyFont="1" applyFill="1">
      <alignment vertical="center"/>
    </xf>
    <xf numFmtId="0" fontId="17" fillId="3" borderId="15" xfId="0" applyFont="1" applyFill="1" applyBorder="1" applyAlignment="1">
      <alignment vertical="center" wrapText="1"/>
    </xf>
    <xf numFmtId="0" fontId="17" fillId="3" borderId="13" xfId="0" applyFont="1" applyFill="1" applyBorder="1" applyAlignment="1">
      <alignment vertical="center" wrapText="1"/>
    </xf>
    <xf numFmtId="0" fontId="40" fillId="0" borderId="0" xfId="0" applyFont="1" applyAlignment="1">
      <alignment horizontal="right" vertical="center"/>
    </xf>
    <xf numFmtId="0" fontId="41" fillId="0" borderId="0" xfId="0" applyFont="1">
      <alignment vertical="center"/>
    </xf>
    <xf numFmtId="0" fontId="42" fillId="0" borderId="0" xfId="0" applyFont="1">
      <alignment vertical="center"/>
    </xf>
    <xf numFmtId="0" fontId="0" fillId="0" borderId="0" xfId="0" applyAlignment="1">
      <alignment horizontal="right" vertical="center"/>
    </xf>
    <xf numFmtId="0" fontId="43" fillId="0" borderId="0" xfId="0" applyFont="1">
      <alignment vertical="center"/>
    </xf>
    <xf numFmtId="0" fontId="44" fillId="0" borderId="0" xfId="0" applyFont="1" applyAlignment="1">
      <alignment horizontal="right" vertical="center"/>
    </xf>
    <xf numFmtId="0" fontId="41" fillId="14" borderId="13" xfId="0" applyFont="1" applyFill="1" applyBorder="1" applyAlignment="1">
      <alignment horizontal="center" vertical="center"/>
    </xf>
    <xf numFmtId="0" fontId="39" fillId="0" borderId="0" xfId="0" applyFont="1">
      <alignment vertical="center"/>
    </xf>
    <xf numFmtId="0" fontId="44" fillId="0" borderId="0" xfId="0" applyFont="1">
      <alignment vertical="center"/>
    </xf>
    <xf numFmtId="0" fontId="42" fillId="0" borderId="13" xfId="0" applyFont="1" applyBorder="1" applyAlignment="1">
      <alignment horizontal="center" vertical="center"/>
    </xf>
    <xf numFmtId="0" fontId="42" fillId="0" borderId="0" xfId="0" applyFont="1" applyBorder="1" applyAlignment="1">
      <alignment horizontal="center" vertical="center"/>
    </xf>
    <xf numFmtId="11" fontId="41" fillId="0" borderId="0" xfId="0" applyNumberFormat="1" applyFont="1">
      <alignment vertical="center"/>
    </xf>
    <xf numFmtId="11" fontId="42" fillId="0" borderId="0" xfId="0" applyNumberFormat="1" applyFont="1">
      <alignment vertical="center"/>
    </xf>
    <xf numFmtId="11" fontId="42" fillId="0" borderId="0" xfId="0" applyNumberFormat="1" applyFont="1" applyBorder="1" applyAlignment="1">
      <alignment horizontal="center" vertical="center"/>
    </xf>
    <xf numFmtId="11" fontId="0" fillId="0" borderId="0" xfId="0" applyNumberFormat="1">
      <alignment vertical="center"/>
    </xf>
    <xf numFmtId="11" fontId="0" fillId="0" borderId="0" xfId="0" applyNumberFormat="1" applyAlignment="1">
      <alignment vertical="center" wrapText="1"/>
    </xf>
    <xf numFmtId="0" fontId="44" fillId="0" borderId="0" xfId="0" applyFont="1" applyAlignment="1">
      <alignment vertical="center" wrapText="1"/>
    </xf>
    <xf numFmtId="0" fontId="42" fillId="0" borderId="13" xfId="0" applyFont="1" applyBorder="1" applyAlignment="1">
      <alignment horizontal="left" vertical="center" wrapText="1"/>
    </xf>
    <xf numFmtId="0" fontId="44" fillId="0" borderId="0" xfId="0" applyFont="1" applyAlignment="1">
      <alignment horizontal="left" vertical="center"/>
    </xf>
    <xf numFmtId="11" fontId="0" fillId="0" borderId="0" xfId="0" applyNumberFormat="1" applyAlignment="1">
      <alignment vertical="center"/>
    </xf>
    <xf numFmtId="0" fontId="42" fillId="0" borderId="13" xfId="0" applyFont="1" applyBorder="1" applyAlignment="1">
      <alignment horizontal="center" vertical="center" wrapText="1"/>
    </xf>
    <xf numFmtId="0" fontId="42" fillId="0" borderId="13" xfId="0" applyFont="1" applyBorder="1" applyAlignment="1">
      <alignment horizontal="left" vertical="top" wrapText="1"/>
    </xf>
    <xf numFmtId="11" fontId="0" fillId="0" borderId="0" xfId="0" applyNumberFormat="1" applyAlignment="1">
      <alignment horizontal="right" vertical="center"/>
    </xf>
    <xf numFmtId="11" fontId="43" fillId="0" borderId="0" xfId="0" applyNumberFormat="1" applyFont="1">
      <alignment vertical="center"/>
    </xf>
    <xf numFmtId="0" fontId="45" fillId="0" borderId="0" xfId="0" applyFont="1">
      <alignment vertical="center"/>
    </xf>
    <xf numFmtId="0" fontId="42" fillId="0" borderId="13" xfId="0" applyFont="1" applyFill="1" applyBorder="1" applyAlignment="1">
      <alignment horizontal="center" vertical="center"/>
    </xf>
    <xf numFmtId="40" fontId="14" fillId="7" borderId="13" xfId="0" applyNumberFormat="1" applyFont="1" applyFill="1" applyBorder="1" applyAlignment="1">
      <alignment horizontal="center" vertical="center"/>
    </xf>
    <xf numFmtId="0" fontId="24" fillId="0" borderId="0" xfId="0" applyFont="1">
      <alignment vertical="center"/>
    </xf>
    <xf numFmtId="40" fontId="3" fillId="0" borderId="4" xfId="1" applyNumberFormat="1" applyFont="1" applyBorder="1" applyAlignment="1">
      <alignment horizontal="center" vertical="center"/>
    </xf>
    <xf numFmtId="0" fontId="12" fillId="13" borderId="12" xfId="0" applyFont="1" applyFill="1" applyBorder="1">
      <alignment vertical="center"/>
    </xf>
    <xf numFmtId="0" fontId="31" fillId="13" borderId="13" xfId="0" applyFont="1" applyFill="1" applyBorder="1" applyAlignment="1">
      <alignment vertical="center" wrapText="1"/>
    </xf>
    <xf numFmtId="0" fontId="31" fillId="13" borderId="13" xfId="0" applyFont="1" applyFill="1" applyBorder="1" applyAlignment="1">
      <alignment horizontal="center" vertical="center" wrapText="1" shrinkToFit="1"/>
    </xf>
    <xf numFmtId="0" fontId="3" fillId="0" borderId="0" xfId="0" applyFont="1">
      <alignment vertical="center"/>
    </xf>
    <xf numFmtId="40" fontId="3" fillId="6" borderId="27" xfId="1" applyNumberFormat="1" applyFont="1" applyFill="1" applyBorder="1" applyAlignment="1">
      <alignment horizontal="center" vertical="center"/>
    </xf>
    <xf numFmtId="0" fontId="31" fillId="13" borderId="7" xfId="0" applyFont="1" applyFill="1" applyBorder="1">
      <alignment vertical="center"/>
    </xf>
    <xf numFmtId="0" fontId="3" fillId="0" borderId="0" xfId="0" applyFont="1">
      <alignment vertical="center"/>
    </xf>
    <xf numFmtId="0" fontId="3" fillId="13" borderId="7" xfId="0" applyFont="1" applyFill="1" applyBorder="1" applyAlignment="1">
      <alignment horizontal="center" vertical="center" shrinkToFit="1"/>
    </xf>
    <xf numFmtId="0" fontId="3" fillId="13" borderId="12" xfId="0" applyFont="1" applyFill="1" applyBorder="1" applyAlignment="1">
      <alignment horizontal="center" vertical="center" shrinkToFit="1"/>
    </xf>
    <xf numFmtId="0" fontId="0" fillId="0" borderId="0" xfId="0">
      <alignment vertical="center"/>
    </xf>
    <xf numFmtId="0" fontId="3" fillId="0" borderId="0" xfId="0" applyFont="1">
      <alignment vertical="center"/>
    </xf>
    <xf numFmtId="2" fontId="3" fillId="0" borderId="0" xfId="0" applyNumberFormat="1" applyFont="1">
      <alignment vertical="center"/>
    </xf>
    <xf numFmtId="0" fontId="3" fillId="0" borderId="0" xfId="0" applyFont="1" applyBorder="1">
      <alignment vertical="center"/>
    </xf>
    <xf numFmtId="0" fontId="31" fillId="13" borderId="8" xfId="0" applyFont="1" applyFill="1" applyBorder="1">
      <alignment vertical="center"/>
    </xf>
    <xf numFmtId="0" fontId="3" fillId="0" borderId="13" xfId="0" applyFont="1" applyFill="1" applyBorder="1" applyAlignment="1">
      <alignment horizontal="center" vertical="center"/>
    </xf>
    <xf numFmtId="0" fontId="26" fillId="0" borderId="13" xfId="0" applyFont="1" applyBorder="1" applyAlignment="1">
      <alignment horizontal="center" vertical="center"/>
    </xf>
    <xf numFmtId="0" fontId="27" fillId="0" borderId="15" xfId="0" applyFont="1" applyBorder="1" applyAlignment="1">
      <alignment horizontal="center" vertical="center"/>
    </xf>
    <xf numFmtId="0" fontId="28" fillId="0" borderId="13" xfId="0" applyFont="1" applyBorder="1" applyAlignment="1">
      <alignment horizontal="center" vertical="center"/>
    </xf>
    <xf numFmtId="40" fontId="3" fillId="0" borderId="9" xfId="1" applyNumberFormat="1" applyFont="1" applyBorder="1" applyAlignment="1">
      <alignment horizontal="center" vertical="center"/>
    </xf>
    <xf numFmtId="40" fontId="3" fillId="0" borderId="8" xfId="1" applyNumberFormat="1" applyFont="1" applyBorder="1" applyAlignment="1">
      <alignment horizontal="center" vertical="center"/>
    </xf>
    <xf numFmtId="40" fontId="17" fillId="9" borderId="15" xfId="0" applyNumberFormat="1" applyFont="1" applyFill="1" applyBorder="1" applyAlignment="1">
      <alignment horizontal="center" vertical="center"/>
    </xf>
    <xf numFmtId="40" fontId="17" fillId="9" borderId="13" xfId="0" applyNumberFormat="1" applyFont="1" applyFill="1" applyBorder="1" applyAlignment="1">
      <alignment horizontal="center" vertical="center"/>
    </xf>
    <xf numFmtId="2" fontId="17" fillId="9" borderId="13" xfId="0" applyNumberFormat="1" applyFont="1" applyFill="1" applyBorder="1" applyAlignment="1">
      <alignment horizontal="center" vertical="center"/>
    </xf>
    <xf numFmtId="2" fontId="17" fillId="12" borderId="13" xfId="0" applyNumberFormat="1" applyFont="1" applyFill="1" applyBorder="1" applyAlignment="1">
      <alignment horizontal="center" vertical="center"/>
    </xf>
    <xf numFmtId="40" fontId="31" fillId="15" borderId="0" xfId="0" applyNumberFormat="1" applyFont="1" applyFill="1">
      <alignment vertical="center"/>
    </xf>
    <xf numFmtId="0" fontId="48" fillId="0" borderId="0" xfId="0" applyFont="1">
      <alignment vertical="center"/>
    </xf>
    <xf numFmtId="0" fontId="3" fillId="0" borderId="41" xfId="0" applyFont="1" applyBorder="1" applyAlignment="1">
      <alignment horizontal="center" vertical="center"/>
    </xf>
    <xf numFmtId="40" fontId="17" fillId="0" borderId="7" xfId="1" applyNumberFormat="1" applyFont="1" applyBorder="1" applyAlignment="1">
      <alignment horizontal="center" vertical="center"/>
    </xf>
    <xf numFmtId="40" fontId="3" fillId="0" borderId="12" xfId="1" applyNumberFormat="1" applyFont="1" applyBorder="1" applyAlignment="1">
      <alignment horizontal="center" vertical="center"/>
    </xf>
    <xf numFmtId="0" fontId="50" fillId="0" borderId="49" xfId="0" applyFont="1" applyBorder="1" applyAlignment="1">
      <alignment vertical="center"/>
    </xf>
    <xf numFmtId="0" fontId="50" fillId="0" borderId="50" xfId="0" applyFont="1" applyBorder="1" applyAlignment="1">
      <alignment vertical="center"/>
    </xf>
    <xf numFmtId="0" fontId="50" fillId="0" borderId="0" xfId="0" applyFont="1" applyBorder="1" applyAlignment="1">
      <alignment vertical="center"/>
    </xf>
    <xf numFmtId="0" fontId="47" fillId="0" borderId="52" xfId="0" applyFont="1" applyBorder="1">
      <alignment vertical="center"/>
    </xf>
    <xf numFmtId="0" fontId="47" fillId="0" borderId="53" xfId="0" applyFont="1" applyBorder="1">
      <alignment vertical="center"/>
    </xf>
    <xf numFmtId="40" fontId="3" fillId="0" borderId="57" xfId="1" applyNumberFormat="1" applyFont="1" applyBorder="1" applyAlignment="1">
      <alignment horizontal="center" vertical="center"/>
    </xf>
    <xf numFmtId="40" fontId="3" fillId="0" borderId="6" xfId="1" quotePrefix="1" applyNumberFormat="1" applyFont="1" applyBorder="1" applyAlignment="1">
      <alignment horizontal="center" vertical="center"/>
    </xf>
    <xf numFmtId="40" fontId="3" fillId="0" borderId="58" xfId="1" applyNumberFormat="1" applyFont="1" applyBorder="1" applyAlignment="1">
      <alignment horizontal="center" vertical="center"/>
    </xf>
    <xf numFmtId="40" fontId="3" fillId="0" borderId="12" xfId="1" applyNumberFormat="1" applyFont="1" applyBorder="1" applyAlignment="1">
      <alignment horizontal="center" vertical="center"/>
    </xf>
    <xf numFmtId="0" fontId="3" fillId="0" borderId="0" xfId="0" applyFont="1" applyBorder="1" applyAlignment="1">
      <alignment horizontal="center" vertical="center"/>
    </xf>
    <xf numFmtId="179" fontId="29" fillId="0" borderId="13" xfId="0" applyNumberFormat="1" applyFont="1" applyBorder="1">
      <alignment vertical="center"/>
    </xf>
    <xf numFmtId="0" fontId="9" fillId="0" borderId="48" xfId="0" applyFont="1" applyBorder="1" applyAlignment="1">
      <alignment vertical="center"/>
    </xf>
    <xf numFmtId="0" fontId="9" fillId="0" borderId="49" xfId="0" applyFont="1" applyBorder="1" applyAlignment="1">
      <alignment vertical="center"/>
    </xf>
    <xf numFmtId="0" fontId="9" fillId="0" borderId="51" xfId="0" applyFont="1" applyBorder="1">
      <alignment vertical="center"/>
    </xf>
    <xf numFmtId="179" fontId="29" fillId="0" borderId="0" xfId="0" applyNumberFormat="1" applyFont="1" applyFill="1" applyBorder="1" applyAlignment="1">
      <alignment vertical="center"/>
    </xf>
    <xf numFmtId="0" fontId="3" fillId="0" borderId="41" xfId="0" applyFont="1" applyBorder="1">
      <alignment vertical="center"/>
    </xf>
    <xf numFmtId="40" fontId="3" fillId="6" borderId="7" xfId="1" applyNumberFormat="1" applyFont="1" applyFill="1" applyBorder="1" applyAlignment="1">
      <alignment horizontal="center" vertical="center"/>
    </xf>
    <xf numFmtId="0" fontId="3" fillId="0" borderId="3" xfId="0" applyFont="1" applyBorder="1">
      <alignment vertical="center"/>
    </xf>
    <xf numFmtId="0" fontId="23" fillId="0" borderId="0" xfId="0" applyFont="1" applyFill="1" applyBorder="1" applyAlignment="1">
      <alignment horizontal="center" vertical="center"/>
    </xf>
    <xf numFmtId="0" fontId="3" fillId="0" borderId="0" xfId="0" applyFont="1" applyFill="1" applyBorder="1">
      <alignment vertical="center"/>
    </xf>
    <xf numFmtId="0" fontId="21" fillId="0" borderId="0" xfId="0" applyFont="1" applyFill="1" applyBorder="1">
      <alignment vertical="center"/>
    </xf>
    <xf numFmtId="2" fontId="3" fillId="0" borderId="0" xfId="0" applyNumberFormat="1" applyFont="1" applyFill="1" applyBorder="1">
      <alignment vertical="center"/>
    </xf>
    <xf numFmtId="0" fontId="20" fillId="0" borderId="0" xfId="0" applyFont="1" applyFill="1" applyBorder="1">
      <alignment vertical="center"/>
    </xf>
    <xf numFmtId="0" fontId="23" fillId="0" borderId="0" xfId="0" applyFont="1" applyFill="1" applyBorder="1">
      <alignment vertical="center"/>
    </xf>
    <xf numFmtId="0" fontId="12" fillId="0" borderId="0" xfId="0" applyFont="1" applyFill="1" applyBorder="1">
      <alignment vertical="center"/>
    </xf>
    <xf numFmtId="0" fontId="0" fillId="0" borderId="0" xfId="0" applyFill="1" applyBorder="1">
      <alignment vertical="center"/>
    </xf>
    <xf numFmtId="14" fontId="25" fillId="0" borderId="0" xfId="0" quotePrefix="1" applyNumberFormat="1" applyFont="1" applyFill="1" applyBorder="1" applyAlignment="1">
      <alignment horizontal="left" vertical="center"/>
    </xf>
    <xf numFmtId="0" fontId="26" fillId="0" borderId="0" xfId="0" applyFont="1" applyFill="1" applyBorder="1" applyAlignment="1">
      <alignment horizontal="center" vertical="center"/>
    </xf>
    <xf numFmtId="0" fontId="27" fillId="0" borderId="0" xfId="0" applyFont="1" applyFill="1" applyBorder="1" applyAlignment="1">
      <alignment horizontal="center" vertical="center"/>
    </xf>
    <xf numFmtId="0" fontId="28" fillId="0" borderId="0" xfId="0" applyFont="1" applyFill="1" applyBorder="1" applyAlignment="1">
      <alignment horizontal="center" vertical="center"/>
    </xf>
    <xf numFmtId="0" fontId="51" fillId="0" borderId="0" xfId="0" applyFont="1" applyFill="1" applyBorder="1" applyAlignment="1">
      <alignment horizontal="center" vertical="center"/>
    </xf>
    <xf numFmtId="0" fontId="51" fillId="0" borderId="0" xfId="0" applyFont="1" applyFill="1" applyBorder="1" applyAlignment="1">
      <alignment horizontal="left" vertical="center"/>
    </xf>
    <xf numFmtId="2" fontId="22" fillId="0" borderId="0" xfId="0" applyNumberFormat="1" applyFont="1" applyFill="1" applyBorder="1" applyAlignment="1">
      <alignment vertical="center"/>
    </xf>
    <xf numFmtId="0" fontId="17" fillId="13" borderId="13" xfId="0" applyFont="1" applyFill="1" applyBorder="1">
      <alignment vertical="center"/>
    </xf>
    <xf numFmtId="14" fontId="17" fillId="13" borderId="13" xfId="0" applyNumberFormat="1" applyFont="1" applyFill="1" applyBorder="1" applyAlignment="1">
      <alignment horizontal="center" vertical="center" wrapText="1"/>
    </xf>
    <xf numFmtId="0" fontId="0" fillId="0" borderId="13" xfId="0" applyBorder="1">
      <alignment vertical="center"/>
    </xf>
    <xf numFmtId="2" fontId="0" fillId="0" borderId="13" xfId="0" applyNumberFormat="1" applyBorder="1">
      <alignment vertical="center"/>
    </xf>
    <xf numFmtId="0" fontId="30" fillId="0" borderId="15" xfId="0" applyFont="1" applyBorder="1">
      <alignment vertical="center"/>
    </xf>
    <xf numFmtId="0" fontId="0" fillId="0" borderId="16" xfId="0" applyBorder="1">
      <alignment vertical="center"/>
    </xf>
    <xf numFmtId="0" fontId="3" fillId="13" borderId="7" xfId="0" applyFont="1" applyFill="1" applyBorder="1" applyAlignment="1">
      <alignment horizontal="center" vertical="center" shrinkToFit="1"/>
    </xf>
    <xf numFmtId="0" fontId="3" fillId="13" borderId="12" xfId="0" applyFont="1" applyFill="1" applyBorder="1" applyAlignment="1">
      <alignment horizontal="center" vertical="center" shrinkToFit="1"/>
    </xf>
    <xf numFmtId="0" fontId="3" fillId="13" borderId="8" xfId="0" applyFont="1" applyFill="1" applyBorder="1" applyAlignment="1">
      <alignment horizontal="center" vertical="center" shrinkToFit="1"/>
    </xf>
    <xf numFmtId="40" fontId="3" fillId="0" borderId="12" xfId="1" applyNumberFormat="1" applyFont="1" applyBorder="1" applyAlignment="1">
      <alignment horizontal="center" vertical="center"/>
    </xf>
    <xf numFmtId="0" fontId="53" fillId="0" borderId="0" xfId="0" applyFont="1">
      <alignment vertical="center"/>
    </xf>
    <xf numFmtId="0" fontId="54" fillId="0" borderId="0" xfId="0" applyFont="1">
      <alignment vertical="center"/>
    </xf>
    <xf numFmtId="0" fontId="3" fillId="13" borderId="7" xfId="0" applyFont="1" applyFill="1" applyBorder="1" applyAlignment="1">
      <alignment horizontal="center" vertical="center" shrinkToFit="1"/>
    </xf>
    <xf numFmtId="0" fontId="3" fillId="13" borderId="12" xfId="0" applyFont="1" applyFill="1" applyBorder="1" applyAlignment="1">
      <alignment horizontal="center" vertical="center" shrinkToFit="1"/>
    </xf>
    <xf numFmtId="0" fontId="3" fillId="13" borderId="8" xfId="0" applyFont="1" applyFill="1" applyBorder="1" applyAlignment="1">
      <alignment horizontal="center" vertical="center" shrinkToFit="1"/>
    </xf>
    <xf numFmtId="40" fontId="3" fillId="0" borderId="12" xfId="1" applyNumberFormat="1" applyFont="1" applyBorder="1" applyAlignment="1">
      <alignment horizontal="center" vertical="center"/>
    </xf>
    <xf numFmtId="0" fontId="47" fillId="0" borderId="0" xfId="0" applyFont="1" applyBorder="1">
      <alignment vertical="center"/>
    </xf>
    <xf numFmtId="40" fontId="3" fillId="0" borderId="12" xfId="1" applyNumberFormat="1" applyFont="1" applyBorder="1" applyAlignment="1">
      <alignment horizontal="center" vertical="center"/>
    </xf>
    <xf numFmtId="40" fontId="3" fillId="0" borderId="13" xfId="0" applyNumberFormat="1" applyFont="1" applyBorder="1" applyAlignment="1">
      <alignment horizontal="right" vertical="center"/>
    </xf>
    <xf numFmtId="40" fontId="3" fillId="0" borderId="13" xfId="1" applyNumberFormat="1" applyFont="1" applyBorder="1" applyAlignment="1">
      <alignment horizontal="right" vertical="center"/>
    </xf>
    <xf numFmtId="0" fontId="50" fillId="0" borderId="59" xfId="0" applyFont="1" applyBorder="1" applyAlignment="1">
      <alignment vertical="center"/>
    </xf>
    <xf numFmtId="0" fontId="47" fillId="0" borderId="60" xfId="0" applyFont="1" applyBorder="1">
      <alignment vertical="center"/>
    </xf>
    <xf numFmtId="40" fontId="3" fillId="0" borderId="39" xfId="1" applyNumberFormat="1" applyFont="1" applyFill="1" applyBorder="1" applyAlignment="1">
      <alignment horizontal="center" vertical="center"/>
    </xf>
    <xf numFmtId="0" fontId="3" fillId="5" borderId="15" xfId="0" applyFont="1" applyFill="1" applyBorder="1" applyAlignment="1">
      <alignment vertical="center" wrapText="1"/>
    </xf>
    <xf numFmtId="0" fontId="3" fillId="13" borderId="8" xfId="0" applyFont="1" applyFill="1" applyBorder="1" applyAlignment="1">
      <alignment vertical="center" wrapText="1"/>
    </xf>
    <xf numFmtId="0" fontId="3" fillId="13" borderId="12" xfId="0" applyFont="1" applyFill="1" applyBorder="1" applyAlignment="1">
      <alignment vertical="center" wrapText="1"/>
    </xf>
    <xf numFmtId="0" fontId="0" fillId="0" borderId="0" xfId="0" applyAlignment="1">
      <alignment vertical="center" wrapText="1"/>
    </xf>
    <xf numFmtId="40" fontId="3" fillId="0" borderId="8" xfId="1" applyNumberFormat="1" applyFont="1" applyFill="1" applyBorder="1" applyAlignment="1">
      <alignment horizontal="center" vertical="center"/>
    </xf>
    <xf numFmtId="40" fontId="3" fillId="0" borderId="13" xfId="1" applyNumberFormat="1" applyFont="1" applyBorder="1" applyAlignment="1">
      <alignment horizontal="center" vertical="center"/>
    </xf>
    <xf numFmtId="40" fontId="3" fillId="0" borderId="11" xfId="1" applyNumberFormat="1" applyFont="1" applyFill="1" applyBorder="1" applyAlignment="1">
      <alignment horizontal="center" vertical="center"/>
    </xf>
    <xf numFmtId="40" fontId="3" fillId="0" borderId="23" xfId="1" applyNumberFormat="1" applyFont="1" applyFill="1" applyBorder="1" applyAlignment="1">
      <alignment horizontal="center" vertical="center"/>
    </xf>
    <xf numFmtId="40" fontId="3" fillId="6" borderId="18" xfId="0" applyNumberFormat="1" applyFont="1" applyFill="1" applyBorder="1">
      <alignment vertical="center"/>
    </xf>
    <xf numFmtId="0" fontId="55" fillId="16" borderId="41" xfId="0" applyFont="1" applyFill="1" applyBorder="1">
      <alignment vertical="center"/>
    </xf>
    <xf numFmtId="0" fontId="55" fillId="16" borderId="0" xfId="0" applyFont="1" applyFill="1">
      <alignment vertical="center"/>
    </xf>
    <xf numFmtId="181" fontId="55" fillId="16" borderId="0" xfId="0" applyNumberFormat="1" applyFont="1" applyFill="1">
      <alignment vertical="center"/>
    </xf>
    <xf numFmtId="0" fontId="55" fillId="0" borderId="0" xfId="0" applyFont="1">
      <alignment vertical="center"/>
    </xf>
    <xf numFmtId="0" fontId="56" fillId="16" borderId="41" xfId="0" applyFont="1" applyFill="1" applyBorder="1">
      <alignment vertical="center"/>
    </xf>
    <xf numFmtId="2" fontId="0" fillId="9" borderId="0" xfId="0" applyNumberFormat="1" applyFill="1">
      <alignment vertical="center"/>
    </xf>
    <xf numFmtId="0" fontId="3" fillId="13" borderId="7"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8" xfId="0" applyFont="1" applyFill="1" applyBorder="1" applyAlignment="1">
      <alignment horizontal="center" vertical="center"/>
    </xf>
    <xf numFmtId="14" fontId="17" fillId="13" borderId="8" xfId="0" applyNumberFormat="1" applyFont="1" applyFill="1" applyBorder="1" applyAlignment="1">
      <alignment horizontal="center" vertical="center"/>
    </xf>
    <xf numFmtId="14" fontId="17" fillId="13" borderId="8" xfId="0" applyNumberFormat="1" applyFont="1" applyFill="1" applyBorder="1" applyAlignment="1">
      <alignment vertical="center"/>
    </xf>
    <xf numFmtId="14" fontId="17" fillId="13" borderId="12" xfId="0" applyNumberFormat="1" applyFont="1" applyFill="1" applyBorder="1" applyAlignment="1">
      <alignment vertical="center"/>
    </xf>
    <xf numFmtId="0" fontId="31" fillId="13" borderId="13" xfId="0" applyFont="1" applyFill="1" applyBorder="1">
      <alignment vertical="center"/>
    </xf>
    <xf numFmtId="14" fontId="17" fillId="13" borderId="13" xfId="0" applyNumberFormat="1" applyFont="1" applyFill="1" applyBorder="1" applyAlignment="1">
      <alignment vertical="center"/>
    </xf>
    <xf numFmtId="0" fontId="3" fillId="13" borderId="13" xfId="0" applyFont="1" applyFill="1" applyBorder="1" applyAlignment="1">
      <alignment vertical="center"/>
    </xf>
    <xf numFmtId="0" fontId="3" fillId="13" borderId="7" xfId="0" applyFont="1" applyFill="1" applyBorder="1" applyAlignment="1">
      <alignment vertical="center" wrapText="1"/>
    </xf>
    <xf numFmtId="14" fontId="17" fillId="13" borderId="13" xfId="0" applyNumberFormat="1" applyFont="1" applyFill="1" applyBorder="1" applyAlignment="1">
      <alignment horizontal="center" vertical="center" wrapText="1"/>
    </xf>
    <xf numFmtId="2" fontId="0" fillId="0" borderId="13" xfId="0" applyNumberFormat="1" applyFill="1" applyBorder="1">
      <alignment vertical="center"/>
    </xf>
    <xf numFmtId="0" fontId="3" fillId="13" borderId="8" xfId="0" applyFont="1" applyFill="1" applyBorder="1" applyAlignment="1">
      <alignment vertical="center"/>
    </xf>
    <xf numFmtId="0" fontId="3" fillId="13" borderId="12" xfId="0" applyFont="1" applyFill="1" applyBorder="1" applyAlignment="1">
      <alignment vertical="center"/>
    </xf>
    <xf numFmtId="40" fontId="3" fillId="0" borderId="12" xfId="1" applyNumberFormat="1" applyFont="1" applyBorder="1" applyAlignment="1">
      <alignment horizontal="center" vertical="center"/>
    </xf>
    <xf numFmtId="40" fontId="3" fillId="2" borderId="4" xfId="1" applyNumberFormat="1" applyFont="1" applyFill="1" applyBorder="1" applyAlignment="1">
      <alignment horizontal="center" vertical="center"/>
    </xf>
    <xf numFmtId="0" fontId="17" fillId="13" borderId="13" xfId="0" applyFont="1" applyFill="1" applyBorder="1">
      <alignment vertical="center"/>
    </xf>
    <xf numFmtId="14" fontId="17" fillId="13" borderId="13" xfId="0" applyNumberFormat="1" applyFont="1" applyFill="1" applyBorder="1" applyAlignment="1">
      <alignment horizontal="center" vertical="center" wrapText="1"/>
    </xf>
    <xf numFmtId="0" fontId="0" fillId="0" borderId="12" xfId="0" applyBorder="1">
      <alignment vertical="center"/>
    </xf>
    <xf numFmtId="2" fontId="0" fillId="0" borderId="12" xfId="0" applyNumberFormat="1" applyBorder="1">
      <alignment vertical="center"/>
    </xf>
    <xf numFmtId="0" fontId="0" fillId="18" borderId="13" xfId="0" applyFill="1" applyBorder="1">
      <alignment vertical="center"/>
    </xf>
    <xf numFmtId="0" fontId="57" fillId="18" borderId="13" xfId="0" applyFont="1" applyFill="1" applyBorder="1" applyAlignment="1">
      <alignment horizontal="center" vertical="center" wrapText="1" readingOrder="1"/>
    </xf>
    <xf numFmtId="0" fontId="43" fillId="0" borderId="15" xfId="0" applyFont="1" applyBorder="1">
      <alignment vertical="center"/>
    </xf>
    <xf numFmtId="0" fontId="4" fillId="0" borderId="16" xfId="0" applyFont="1" applyBorder="1">
      <alignment vertical="center"/>
    </xf>
    <xf numFmtId="0" fontId="4" fillId="0" borderId="19" xfId="0" applyFont="1" applyBorder="1">
      <alignment vertical="center"/>
    </xf>
    <xf numFmtId="0" fontId="4" fillId="0" borderId="13" xfId="0" applyFont="1" applyBorder="1">
      <alignment vertical="center"/>
    </xf>
    <xf numFmtId="0" fontId="4" fillId="0" borderId="15" xfId="0" applyFont="1" applyBorder="1">
      <alignment vertical="center"/>
    </xf>
    <xf numFmtId="10" fontId="58" fillId="17" borderId="13" xfId="0" applyNumberFormat="1" applyFont="1" applyFill="1" applyBorder="1" applyAlignment="1">
      <alignment horizontal="center" vertical="center" wrapText="1" readingOrder="1"/>
    </xf>
    <xf numFmtId="9" fontId="58" fillId="17" borderId="13" xfId="0" applyNumberFormat="1" applyFont="1" applyFill="1" applyBorder="1" applyAlignment="1">
      <alignment horizontal="center" vertical="center" wrapText="1" readingOrder="1"/>
    </xf>
    <xf numFmtId="0" fontId="17" fillId="13" borderId="13" xfId="0" applyFont="1" applyFill="1" applyBorder="1" applyAlignment="1">
      <alignment horizontal="center" vertical="center"/>
    </xf>
    <xf numFmtId="0" fontId="17" fillId="13" borderId="13" xfId="0" applyFont="1" applyFill="1" applyBorder="1" applyAlignment="1">
      <alignment vertical="center"/>
    </xf>
    <xf numFmtId="40" fontId="17" fillId="0" borderId="7" xfId="1" applyNumberFormat="1" applyFont="1" applyBorder="1" applyAlignment="1">
      <alignment horizontal="center" vertical="center"/>
    </xf>
    <xf numFmtId="0" fontId="59" fillId="0" borderId="0" xfId="0" applyFont="1">
      <alignment vertical="center"/>
    </xf>
    <xf numFmtId="0" fontId="42" fillId="0" borderId="7" xfId="0" applyFont="1" applyBorder="1" applyAlignment="1">
      <alignment horizontal="center" vertical="center" wrapText="1"/>
    </xf>
    <xf numFmtId="0" fontId="42" fillId="0" borderId="8" xfId="0" applyFont="1" applyBorder="1" applyAlignment="1">
      <alignment horizontal="center" vertical="center" wrapText="1"/>
    </xf>
    <xf numFmtId="0" fontId="42" fillId="0" borderId="12" xfId="0" applyFont="1" applyBorder="1" applyAlignment="1">
      <alignment horizontal="center" vertical="center" wrapText="1"/>
    </xf>
    <xf numFmtId="0" fontId="42" fillId="0" borderId="7" xfId="0" applyFont="1" applyBorder="1" applyAlignment="1">
      <alignment horizontal="left" vertical="center" wrapText="1"/>
    </xf>
    <xf numFmtId="0" fontId="42" fillId="0" borderId="8" xfId="0" applyFont="1" applyBorder="1" applyAlignment="1">
      <alignment horizontal="left" vertical="center" wrapText="1"/>
    </xf>
    <xf numFmtId="0" fontId="42" fillId="0" borderId="12" xfId="0" applyFont="1" applyBorder="1" applyAlignment="1">
      <alignment horizontal="left" vertical="center" wrapText="1"/>
    </xf>
    <xf numFmtId="0" fontId="41" fillId="14" borderId="13" xfId="0" applyFont="1" applyFill="1" applyBorder="1" applyAlignment="1">
      <alignment horizontal="center" vertical="center"/>
    </xf>
    <xf numFmtId="0" fontId="42" fillId="0" borderId="13" xfId="0" applyFont="1" applyBorder="1" applyAlignment="1">
      <alignment horizontal="center" vertical="center"/>
    </xf>
    <xf numFmtId="0" fontId="42" fillId="0" borderId="13" xfId="0" applyFont="1" applyBorder="1" applyAlignment="1">
      <alignment horizontal="left" vertical="center" wrapText="1"/>
    </xf>
    <xf numFmtId="0" fontId="42" fillId="0" borderId="13" xfId="0" applyFont="1" applyBorder="1" applyAlignment="1">
      <alignment horizontal="center" vertical="center" wrapText="1"/>
    </xf>
    <xf numFmtId="0" fontId="44" fillId="0" borderId="40" xfId="0" applyFont="1" applyBorder="1" applyAlignment="1">
      <alignment horizontal="left" vertical="top" wrapText="1"/>
    </xf>
    <xf numFmtId="0" fontId="42" fillId="0" borderId="13" xfId="0" applyFont="1" applyBorder="1" applyAlignment="1">
      <alignment horizontal="left" vertical="center"/>
    </xf>
    <xf numFmtId="0" fontId="42" fillId="0" borderId="12" xfId="0" applyFont="1" applyBorder="1" applyAlignment="1">
      <alignment horizontal="center" vertical="center"/>
    </xf>
    <xf numFmtId="0" fontId="42" fillId="0" borderId="13" xfId="0" applyFont="1" applyBorder="1" applyAlignment="1">
      <alignment horizontal="left" vertical="top" wrapText="1"/>
    </xf>
    <xf numFmtId="0" fontId="42" fillId="0" borderId="0" xfId="0" applyFont="1" applyBorder="1" applyAlignment="1">
      <alignment horizontal="center" vertical="center"/>
    </xf>
    <xf numFmtId="0" fontId="17" fillId="5" borderId="7" xfId="0" applyFont="1" applyFill="1" applyBorder="1" applyAlignment="1">
      <alignment horizontal="center" vertical="center"/>
    </xf>
    <xf numFmtId="0" fontId="17" fillId="5" borderId="8" xfId="0" applyFont="1" applyFill="1" applyBorder="1" applyAlignment="1">
      <alignment horizontal="center" vertical="center"/>
    </xf>
    <xf numFmtId="40" fontId="31" fillId="13" borderId="7" xfId="1" applyNumberFormat="1" applyFont="1" applyFill="1" applyBorder="1" applyAlignment="1">
      <alignment horizontal="center" vertical="center"/>
    </xf>
    <xf numFmtId="40" fontId="31" fillId="13" borderId="12" xfId="1" applyNumberFormat="1" applyFont="1" applyFill="1" applyBorder="1" applyAlignment="1">
      <alignment horizontal="center" vertical="center"/>
    </xf>
    <xf numFmtId="0" fontId="17" fillId="5" borderId="15" xfId="0" applyFont="1" applyFill="1" applyBorder="1" applyAlignment="1">
      <alignment horizontal="center" vertical="center" wrapText="1"/>
    </xf>
    <xf numFmtId="0" fontId="17" fillId="5" borderId="16" xfId="0" applyFont="1" applyFill="1" applyBorder="1" applyAlignment="1">
      <alignment horizontal="center" vertical="center" wrapText="1"/>
    </xf>
    <xf numFmtId="0" fontId="31" fillId="13" borderId="7" xfId="0" applyFont="1" applyFill="1" applyBorder="1" applyAlignment="1">
      <alignment horizontal="center" vertical="center"/>
    </xf>
    <xf numFmtId="0" fontId="31" fillId="13" borderId="12" xfId="0" applyFont="1" applyFill="1" applyBorder="1" applyAlignment="1">
      <alignment horizontal="center" vertical="center"/>
    </xf>
    <xf numFmtId="0" fontId="3" fillId="13" borderId="7"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7" xfId="0" applyFont="1" applyFill="1" applyBorder="1" applyAlignment="1">
      <alignment horizontal="center" vertical="center" shrinkToFit="1"/>
    </xf>
    <xf numFmtId="0" fontId="3" fillId="13" borderId="12" xfId="0" applyFont="1" applyFill="1" applyBorder="1" applyAlignment="1">
      <alignment horizontal="center" vertical="center" shrinkToFit="1"/>
    </xf>
    <xf numFmtId="0" fontId="3" fillId="13" borderId="7" xfId="0" applyFont="1" applyFill="1" applyBorder="1" applyAlignment="1">
      <alignment horizontal="left" vertical="center" shrinkToFit="1"/>
    </xf>
    <xf numFmtId="0" fontId="3" fillId="13" borderId="12" xfId="0" applyFont="1" applyFill="1" applyBorder="1" applyAlignment="1">
      <alignment horizontal="left" vertical="center" shrinkToFi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13" xfId="0" applyFont="1" applyFill="1" applyBorder="1" applyAlignment="1">
      <alignment horizontal="center" vertical="center" wrapText="1"/>
    </xf>
    <xf numFmtId="176" fontId="31" fillId="13" borderId="7" xfId="0" applyNumberFormat="1" applyFont="1" applyFill="1" applyBorder="1" applyAlignment="1">
      <alignment horizontal="center" vertical="center"/>
    </xf>
    <xf numFmtId="176" fontId="31" fillId="13" borderId="12" xfId="0" applyNumberFormat="1" applyFont="1" applyFill="1" applyBorder="1" applyAlignment="1">
      <alignment horizontal="center" vertical="center"/>
    </xf>
    <xf numFmtId="0" fontId="19" fillId="13" borderId="7" xfId="0" applyFont="1" applyFill="1" applyBorder="1" applyAlignment="1">
      <alignment horizontal="left" vertical="center" wrapText="1"/>
    </xf>
    <xf numFmtId="0" fontId="19" fillId="13" borderId="12" xfId="0" applyFont="1" applyFill="1" applyBorder="1" applyAlignment="1">
      <alignment horizontal="left" vertical="center"/>
    </xf>
    <xf numFmtId="0" fontId="17" fillId="0" borderId="7" xfId="0" applyFont="1" applyBorder="1" applyAlignment="1">
      <alignment horizontal="left" vertical="center" wrapText="1"/>
    </xf>
    <xf numFmtId="0" fontId="17" fillId="0" borderId="12" xfId="0" applyFont="1" applyBorder="1" applyAlignment="1">
      <alignment horizontal="left" vertical="center"/>
    </xf>
    <xf numFmtId="40" fontId="31" fillId="0" borderId="7" xfId="1" applyNumberFormat="1" applyFont="1" applyFill="1" applyBorder="1" applyAlignment="1">
      <alignment horizontal="center" vertical="center"/>
    </xf>
    <xf numFmtId="40" fontId="31" fillId="0" borderId="12" xfId="1" applyNumberFormat="1" applyFont="1" applyFill="1" applyBorder="1" applyAlignment="1">
      <alignment horizontal="center" vertical="center"/>
    </xf>
    <xf numFmtId="176" fontId="31" fillId="0" borderId="7" xfId="0" applyNumberFormat="1" applyFont="1" applyFill="1" applyBorder="1" applyAlignment="1">
      <alignment horizontal="center" vertical="center"/>
    </xf>
    <xf numFmtId="176" fontId="31" fillId="0" borderId="12" xfId="0" applyNumberFormat="1" applyFont="1" applyFill="1" applyBorder="1" applyAlignment="1">
      <alignment horizontal="center" vertical="center"/>
    </xf>
    <xf numFmtId="14" fontId="19" fillId="13" borderId="7" xfId="0" applyNumberFormat="1" applyFont="1" applyFill="1" applyBorder="1" applyAlignment="1">
      <alignment horizontal="left" vertical="center" wrapText="1"/>
    </xf>
    <xf numFmtId="40" fontId="17" fillId="0" borderId="7" xfId="1" applyNumberFormat="1" applyFont="1" applyFill="1" applyBorder="1" applyAlignment="1">
      <alignment horizontal="center" vertical="center"/>
    </xf>
    <xf numFmtId="40" fontId="17" fillId="0" borderId="12" xfId="1" applyNumberFormat="1" applyFont="1" applyFill="1" applyBorder="1" applyAlignment="1">
      <alignment horizontal="center" vertical="center"/>
    </xf>
    <xf numFmtId="0" fontId="19" fillId="13" borderId="7" xfId="0" quotePrefix="1" applyFont="1" applyFill="1" applyBorder="1" applyAlignment="1">
      <alignment horizontal="left" vertical="center" wrapText="1"/>
    </xf>
    <xf numFmtId="0" fontId="3" fillId="13" borderId="8" xfId="0" applyFont="1" applyFill="1" applyBorder="1" applyAlignment="1">
      <alignment horizontal="center" vertical="center" shrinkToFit="1"/>
    </xf>
    <xf numFmtId="0" fontId="17" fillId="13" borderId="13" xfId="0" applyFont="1" applyFill="1" applyBorder="1">
      <alignment vertical="center"/>
    </xf>
    <xf numFmtId="0" fontId="17" fillId="0" borderId="7" xfId="0" applyFont="1" applyBorder="1" applyAlignment="1">
      <alignment horizontal="center" vertical="center"/>
    </xf>
    <xf numFmtId="0" fontId="17" fillId="0" borderId="12" xfId="0" applyFont="1" applyBorder="1" applyAlignment="1">
      <alignment horizontal="center" vertical="center"/>
    </xf>
    <xf numFmtId="0" fontId="17" fillId="0" borderId="7" xfId="0" quotePrefix="1" applyFont="1" applyBorder="1" applyAlignment="1">
      <alignment horizontal="center" vertical="center" shrinkToFit="1"/>
    </xf>
    <xf numFmtId="0" fontId="17" fillId="0" borderId="12" xfId="0" applyFont="1" applyBorder="1" applyAlignment="1">
      <alignment horizontal="center" vertical="center" shrinkToFit="1"/>
    </xf>
    <xf numFmtId="0" fontId="17" fillId="0" borderId="7" xfId="0" applyFont="1" applyBorder="1" applyAlignment="1">
      <alignment horizontal="center" vertical="center" shrinkToFit="1"/>
    </xf>
    <xf numFmtId="0" fontId="17" fillId="0" borderId="7" xfId="0" applyFont="1" applyBorder="1" applyAlignment="1">
      <alignment horizontal="left" vertical="center" shrinkToFit="1"/>
    </xf>
    <xf numFmtId="0" fontId="17" fillId="0" borderId="12" xfId="0" applyFont="1" applyBorder="1" applyAlignment="1">
      <alignment horizontal="left" vertical="center" shrinkToFit="1"/>
    </xf>
    <xf numFmtId="40" fontId="17" fillId="0" borderId="7" xfId="1" applyNumberFormat="1" applyFont="1" applyBorder="1" applyAlignment="1">
      <alignment horizontal="center" vertical="center"/>
    </xf>
    <xf numFmtId="40" fontId="17" fillId="0" borderId="12" xfId="1" applyNumberFormat="1" applyFont="1" applyBorder="1" applyAlignment="1">
      <alignment horizontal="center" vertical="center"/>
    </xf>
    <xf numFmtId="0" fontId="19" fillId="13" borderId="12" xfId="0" applyFont="1" applyFill="1" applyBorder="1" applyAlignment="1">
      <alignment horizontal="left" vertical="center" wrapText="1"/>
    </xf>
    <xf numFmtId="0" fontId="17" fillId="3" borderId="15" xfId="0" applyFont="1" applyFill="1" applyBorder="1" applyAlignment="1">
      <alignment horizontal="center" vertical="center" wrapText="1"/>
    </xf>
    <xf numFmtId="0" fontId="17" fillId="3" borderId="16" xfId="0" applyFont="1" applyFill="1" applyBorder="1" applyAlignment="1">
      <alignment horizontal="center" vertical="center" wrapText="1"/>
    </xf>
    <xf numFmtId="0" fontId="17" fillId="3" borderId="7" xfId="0" applyFont="1" applyFill="1" applyBorder="1" applyAlignment="1">
      <alignment horizontal="center" vertical="center" shrinkToFit="1"/>
    </xf>
    <xf numFmtId="0" fontId="17" fillId="3" borderId="8" xfId="0" applyFont="1" applyFill="1" applyBorder="1" applyAlignment="1">
      <alignment horizontal="center" vertical="center" shrinkToFit="1"/>
    </xf>
    <xf numFmtId="0" fontId="17" fillId="3" borderId="7" xfId="0" applyFont="1" applyFill="1" applyBorder="1" applyAlignment="1">
      <alignment horizontal="center" vertical="center" wrapText="1"/>
    </xf>
    <xf numFmtId="0" fontId="17" fillId="3" borderId="8" xfId="0" applyFont="1" applyFill="1" applyBorder="1" applyAlignment="1">
      <alignment horizontal="center" vertical="center" wrapText="1"/>
    </xf>
    <xf numFmtId="0" fontId="17" fillId="3" borderId="7" xfId="0" applyFont="1" applyFill="1" applyBorder="1" applyAlignment="1">
      <alignment horizontal="center" vertical="center"/>
    </xf>
    <xf numFmtId="0" fontId="17" fillId="3" borderId="8" xfId="0" applyFont="1" applyFill="1" applyBorder="1" applyAlignment="1">
      <alignment horizontal="center" vertical="center"/>
    </xf>
    <xf numFmtId="0" fontId="17" fillId="0" borderId="3" xfId="0" applyFont="1" applyBorder="1" applyAlignment="1">
      <alignment horizontal="right" vertical="center"/>
    </xf>
    <xf numFmtId="0" fontId="17" fillId="0" borderId="19" xfId="0" applyFont="1" applyBorder="1" applyAlignment="1">
      <alignment horizontal="right" vertical="center"/>
    </xf>
    <xf numFmtId="0" fontId="17" fillId="0" borderId="20" xfId="0" applyFont="1" applyBorder="1" applyAlignment="1">
      <alignment horizontal="right" vertical="center"/>
    </xf>
    <xf numFmtId="0" fontId="17" fillId="0" borderId="17" xfId="0" applyFont="1" applyBorder="1" applyAlignment="1">
      <alignment horizontal="right" vertical="center"/>
    </xf>
    <xf numFmtId="0" fontId="17" fillId="0" borderId="1" xfId="0" applyFont="1" applyBorder="1" applyAlignment="1">
      <alignment horizontal="right" vertical="center"/>
    </xf>
    <xf numFmtId="0" fontId="17" fillId="0" borderId="2" xfId="0" applyFont="1" applyBorder="1" applyAlignment="1">
      <alignment horizontal="right" vertical="center"/>
    </xf>
    <xf numFmtId="0" fontId="17" fillId="0" borderId="7" xfId="0" applyFont="1" applyBorder="1" applyAlignment="1">
      <alignment horizontal="left" vertical="center"/>
    </xf>
    <xf numFmtId="0" fontId="17" fillId="3" borderId="13" xfId="0" applyFont="1" applyFill="1" applyBorder="1" applyAlignment="1">
      <alignment horizontal="center" vertical="center" wrapText="1"/>
    </xf>
    <xf numFmtId="2" fontId="37" fillId="0" borderId="0" xfId="0" applyNumberFormat="1" applyFont="1" applyBorder="1" applyAlignment="1">
      <alignment horizontal="center" vertical="center"/>
    </xf>
    <xf numFmtId="2" fontId="17" fillId="0" borderId="0" xfId="0" applyNumberFormat="1" applyFont="1" applyBorder="1" applyAlignment="1">
      <alignment horizontal="center" vertical="center"/>
    </xf>
    <xf numFmtId="0" fontId="18" fillId="0" borderId="7" xfId="6" applyFont="1" applyBorder="1" applyAlignment="1">
      <alignment horizontal="left" vertical="center" shrinkToFit="1"/>
    </xf>
    <xf numFmtId="0" fontId="18" fillId="0" borderId="12" xfId="6" applyFont="1" applyBorder="1" applyAlignment="1">
      <alignment horizontal="left" vertical="center" shrinkToFit="1"/>
    </xf>
    <xf numFmtId="0" fontId="17" fillId="0" borderId="7" xfId="0" quotePrefix="1" applyFont="1" applyBorder="1" applyAlignment="1">
      <alignment horizontal="left" vertical="center" wrapText="1"/>
    </xf>
    <xf numFmtId="0" fontId="17" fillId="0" borderId="7" xfId="0" quotePrefix="1" applyFont="1" applyBorder="1" applyAlignment="1">
      <alignment horizontal="left" vertical="center"/>
    </xf>
    <xf numFmtId="0" fontId="35" fillId="0" borderId="0" xfId="0" applyFont="1" applyFill="1" applyBorder="1" applyAlignment="1">
      <alignment horizontal="center" vertical="center"/>
    </xf>
    <xf numFmtId="179" fontId="37" fillId="0" borderId="0" xfId="0" applyNumberFormat="1" applyFont="1" applyFill="1" applyBorder="1" applyAlignment="1">
      <alignment horizontal="center" vertical="center"/>
    </xf>
    <xf numFmtId="180" fontId="37" fillId="0" borderId="0" xfId="0" applyNumberFormat="1" applyFont="1" applyFill="1" applyBorder="1" applyAlignment="1">
      <alignment horizontal="center" vertical="center"/>
    </xf>
    <xf numFmtId="40" fontId="17" fillId="0" borderId="0" xfId="0" applyNumberFormat="1" applyFont="1" applyBorder="1" applyAlignment="1">
      <alignment horizontal="center" vertical="center"/>
    </xf>
    <xf numFmtId="0" fontId="17" fillId="0" borderId="0" xfId="0" applyFont="1" applyBorder="1" applyAlignment="1">
      <alignment horizontal="center" vertical="center"/>
    </xf>
    <xf numFmtId="0" fontId="17" fillId="4" borderId="15" xfId="0" applyFont="1" applyFill="1" applyBorder="1" applyAlignment="1">
      <alignment horizontal="center" vertical="center" wrapText="1"/>
    </xf>
    <xf numFmtId="0" fontId="17" fillId="4" borderId="16" xfId="0" applyFont="1" applyFill="1" applyBorder="1" applyAlignment="1">
      <alignment horizontal="center" vertical="center" wrapText="1"/>
    </xf>
    <xf numFmtId="0" fontId="17" fillId="4" borderId="7" xfId="0" applyFont="1" applyFill="1" applyBorder="1" applyAlignment="1">
      <alignment horizontal="center" vertical="center" wrapText="1"/>
    </xf>
    <xf numFmtId="0" fontId="17" fillId="4" borderId="8" xfId="0" applyFont="1" applyFill="1" applyBorder="1" applyAlignment="1">
      <alignment horizontal="center" vertical="center" wrapText="1"/>
    </xf>
    <xf numFmtId="0" fontId="17" fillId="4" borderId="7" xfId="0" applyFont="1" applyFill="1" applyBorder="1" applyAlignment="1">
      <alignment horizontal="center" vertical="center"/>
    </xf>
    <xf numFmtId="0" fontId="17" fillId="4" borderId="8" xfId="0" applyFont="1" applyFill="1" applyBorder="1" applyAlignment="1">
      <alignment horizontal="center" vertical="center"/>
    </xf>
    <xf numFmtId="14" fontId="29" fillId="0" borderId="7" xfId="0" quotePrefix="1" applyNumberFormat="1" applyFont="1" applyBorder="1" applyAlignment="1">
      <alignment horizontal="left" vertical="center" wrapText="1"/>
    </xf>
    <xf numFmtId="0" fontId="17" fillId="0" borderId="7" xfId="0" applyFont="1" applyBorder="1" applyAlignment="1">
      <alignment horizontal="left" vertical="center" wrapText="1" shrinkToFit="1"/>
    </xf>
    <xf numFmtId="0" fontId="17" fillId="0" borderId="12" xfId="0" applyFont="1" applyBorder="1" applyAlignment="1">
      <alignment horizontal="left" vertical="center" wrapText="1" shrinkToFit="1"/>
    </xf>
    <xf numFmtId="0" fontId="17" fillId="4" borderId="7" xfId="0" applyFont="1" applyFill="1" applyBorder="1" applyAlignment="1">
      <alignment horizontal="center" vertical="center" shrinkToFit="1"/>
    </xf>
    <xf numFmtId="0" fontId="17" fillId="4" borderId="8" xfId="0" applyFont="1" applyFill="1" applyBorder="1" applyAlignment="1">
      <alignment horizontal="center" vertical="center" shrinkToFit="1"/>
    </xf>
    <xf numFmtId="0" fontId="17" fillId="4" borderId="13" xfId="0" applyFont="1" applyFill="1" applyBorder="1" applyAlignment="1">
      <alignment horizontal="center" vertical="center" wrapText="1"/>
    </xf>
    <xf numFmtId="0" fontId="30" fillId="6" borderId="13" xfId="0" applyFont="1" applyFill="1" applyBorder="1" applyAlignment="1">
      <alignment horizontal="left" vertical="center"/>
    </xf>
    <xf numFmtId="0" fontId="17" fillId="0" borderId="15" xfId="0" applyFont="1" applyBorder="1" applyAlignment="1">
      <alignment horizontal="center" vertical="center"/>
    </xf>
    <xf numFmtId="0" fontId="17" fillId="0" borderId="18" xfId="0" applyFont="1" applyBorder="1" applyAlignment="1">
      <alignment horizontal="center" vertical="center"/>
    </xf>
    <xf numFmtId="0" fontId="17" fillId="0" borderId="15" xfId="0" applyFont="1" applyBorder="1" applyAlignment="1">
      <alignment horizontal="left" vertical="center"/>
    </xf>
    <xf numFmtId="0" fontId="17" fillId="0" borderId="18" xfId="0" applyFont="1" applyBorder="1" applyAlignment="1">
      <alignment horizontal="left" vertical="center"/>
    </xf>
    <xf numFmtId="14" fontId="25" fillId="0" borderId="15" xfId="0" quotePrefix="1" applyNumberFormat="1" applyFont="1" applyBorder="1" applyAlignment="1">
      <alignment horizontal="left" vertical="center"/>
    </xf>
    <xf numFmtId="14" fontId="25" fillId="0" borderId="18" xfId="0" applyNumberFormat="1" applyFont="1" applyBorder="1" applyAlignment="1">
      <alignment horizontal="left" vertical="center"/>
    </xf>
    <xf numFmtId="0" fontId="3" fillId="0" borderId="7" xfId="0" applyFont="1" applyFill="1" applyBorder="1" applyAlignment="1">
      <alignment horizontal="left" vertical="center"/>
    </xf>
    <xf numFmtId="0" fontId="3" fillId="0" borderId="12" xfId="0" applyFont="1" applyFill="1" applyBorder="1" applyAlignment="1">
      <alignment horizontal="left" vertical="center"/>
    </xf>
    <xf numFmtId="14" fontId="25" fillId="0" borderId="18" xfId="0" quotePrefix="1" applyNumberFormat="1" applyFont="1" applyBorder="1" applyAlignment="1">
      <alignment horizontal="left" vertical="center"/>
    </xf>
    <xf numFmtId="0" fontId="3" fillId="0" borderId="7" xfId="0" applyFont="1" applyBorder="1" applyAlignment="1">
      <alignment horizontal="left" vertical="center" wrapText="1"/>
    </xf>
    <xf numFmtId="0" fontId="3" fillId="0" borderId="12" xfId="0" applyFont="1" applyBorder="1" applyAlignment="1">
      <alignment horizontal="left" vertical="center"/>
    </xf>
    <xf numFmtId="0" fontId="3" fillId="0" borderId="21" xfId="0" applyFont="1" applyBorder="1" applyAlignment="1">
      <alignment horizontal="right" vertical="center"/>
    </xf>
    <xf numFmtId="0" fontId="3" fillId="0" borderId="22" xfId="0" applyFont="1" applyBorder="1" applyAlignment="1">
      <alignment horizontal="right" vertical="center"/>
    </xf>
    <xf numFmtId="0" fontId="3" fillId="0" borderId="5" xfId="0" applyFont="1" applyBorder="1" applyAlignment="1">
      <alignment horizontal="right" vertical="center"/>
    </xf>
    <xf numFmtId="0" fontId="3" fillId="0" borderId="23" xfId="0" applyFont="1" applyBorder="1" applyAlignment="1">
      <alignment horizontal="right" vertical="center"/>
    </xf>
    <xf numFmtId="0" fontId="3" fillId="0" borderId="24" xfId="0" applyFont="1" applyBorder="1" applyAlignment="1">
      <alignment horizontal="right" vertical="center"/>
    </xf>
    <xf numFmtId="0" fontId="3" fillId="0" borderId="10" xfId="0" applyFont="1" applyBorder="1" applyAlignment="1">
      <alignment horizontal="right" vertical="center"/>
    </xf>
    <xf numFmtId="40" fontId="3" fillId="0" borderId="0" xfId="0" applyNumberFormat="1" applyFont="1" applyFill="1" applyBorder="1" applyAlignment="1">
      <alignment horizontal="center" vertical="center"/>
    </xf>
    <xf numFmtId="0" fontId="3" fillId="0" borderId="0" xfId="0" applyFont="1" applyFill="1" applyBorder="1" applyAlignment="1">
      <alignment horizontal="center" vertical="center"/>
    </xf>
    <xf numFmtId="0" fontId="3" fillId="0" borderId="7" xfId="0" quotePrefix="1" applyFont="1" applyBorder="1" applyAlignment="1">
      <alignment horizontal="left" vertical="center" wrapText="1"/>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12" xfId="0" applyFont="1" applyFill="1" applyBorder="1" applyAlignment="1">
      <alignment horizontal="center" vertical="center"/>
    </xf>
    <xf numFmtId="176" fontId="3" fillId="0" borderId="7" xfId="0" applyNumberFormat="1" applyFont="1" applyFill="1" applyBorder="1" applyAlignment="1">
      <alignment horizontal="center" vertical="center"/>
    </xf>
    <xf numFmtId="176" fontId="3" fillId="0" borderId="12" xfId="0" applyNumberFormat="1" applyFont="1" applyFill="1" applyBorder="1" applyAlignment="1">
      <alignment horizontal="center" vertical="center"/>
    </xf>
    <xf numFmtId="9" fontId="3" fillId="0" borderId="7" xfId="2" applyFont="1" applyFill="1" applyBorder="1" applyAlignment="1">
      <alignment horizontal="center" vertical="center"/>
    </xf>
    <xf numFmtId="9" fontId="3" fillId="0" borderId="12" xfId="2" applyFont="1" applyFill="1" applyBorder="1" applyAlignment="1">
      <alignment horizontal="center" vertical="center"/>
    </xf>
    <xf numFmtId="40" fontId="3" fillId="13" borderId="7" xfId="1" applyNumberFormat="1" applyFont="1" applyFill="1" applyBorder="1" applyAlignment="1">
      <alignment horizontal="center" vertical="center"/>
    </xf>
    <xf numFmtId="40" fontId="3" fillId="13" borderId="12" xfId="1" applyNumberFormat="1" applyFont="1" applyFill="1" applyBorder="1" applyAlignment="1">
      <alignment horizontal="center" vertical="center"/>
    </xf>
    <xf numFmtId="0" fontId="3" fillId="3" borderId="15"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5" borderId="32"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3" fillId="5" borderId="18" xfId="0" applyFont="1" applyFill="1" applyBorder="1" applyAlignment="1">
      <alignment horizontal="center" vertical="center" wrapText="1"/>
    </xf>
    <xf numFmtId="40" fontId="9" fillId="2" borderId="34" xfId="0" applyNumberFormat="1" applyFont="1" applyFill="1" applyBorder="1" applyAlignment="1">
      <alignment horizontal="center" vertical="center"/>
    </xf>
    <xf numFmtId="0" fontId="9" fillId="2" borderId="28" xfId="0" applyFont="1" applyFill="1" applyBorder="1" applyAlignment="1">
      <alignment horizontal="center" vertical="center"/>
    </xf>
    <xf numFmtId="0" fontId="9" fillId="2" borderId="29" xfId="0" applyFont="1" applyFill="1" applyBorder="1" applyAlignment="1">
      <alignment horizontal="center" vertical="center"/>
    </xf>
    <xf numFmtId="40" fontId="9" fillId="2" borderId="35" xfId="0" applyNumberFormat="1" applyFont="1" applyFill="1" applyBorder="1" applyAlignment="1">
      <alignment horizontal="center" vertical="center"/>
    </xf>
    <xf numFmtId="0" fontId="9" fillId="2" borderId="30" xfId="0" applyFont="1" applyFill="1" applyBorder="1" applyAlignment="1">
      <alignment horizontal="center" vertical="center"/>
    </xf>
    <xf numFmtId="0" fontId="9" fillId="2" borderId="31" xfId="0" applyFont="1" applyFill="1" applyBorder="1" applyAlignment="1">
      <alignment horizontal="center" vertical="center"/>
    </xf>
    <xf numFmtId="0" fontId="3" fillId="0" borderId="7" xfId="0" applyFont="1" applyFill="1" applyBorder="1" applyAlignment="1">
      <alignment horizontal="left" vertical="center" wrapText="1"/>
    </xf>
    <xf numFmtId="0" fontId="3" fillId="0" borderId="12" xfId="0" applyFont="1" applyFill="1" applyBorder="1" applyAlignment="1">
      <alignment horizontal="left" vertical="center" wrapText="1"/>
    </xf>
    <xf numFmtId="0" fontId="3" fillId="3" borderId="7" xfId="0" applyFont="1" applyFill="1" applyBorder="1" applyAlignment="1">
      <alignment horizontal="center" vertical="center" shrinkToFit="1"/>
    </xf>
    <xf numFmtId="0" fontId="3" fillId="3" borderId="8" xfId="0" applyFont="1" applyFill="1" applyBorder="1" applyAlignment="1">
      <alignment horizontal="center" vertical="center" shrinkToFit="1"/>
    </xf>
    <xf numFmtId="0" fontId="3" fillId="3" borderId="12" xfId="0" applyFont="1" applyFill="1" applyBorder="1" applyAlignment="1">
      <alignment horizontal="center" vertical="center" shrinkToFit="1"/>
    </xf>
    <xf numFmtId="0" fontId="3" fillId="0" borderId="7" xfId="0" applyFont="1" applyBorder="1" applyAlignment="1">
      <alignment horizontal="center" vertical="center" shrinkToFit="1"/>
    </xf>
    <xf numFmtId="0" fontId="3" fillId="0" borderId="12" xfId="0" applyFont="1" applyBorder="1" applyAlignment="1">
      <alignment horizontal="center" vertical="center" shrinkToFit="1"/>
    </xf>
    <xf numFmtId="0" fontId="3" fillId="0" borderId="7" xfId="0" quotePrefix="1" applyFont="1" applyBorder="1" applyAlignment="1">
      <alignment horizontal="center" vertical="center" shrinkToFit="1"/>
    </xf>
    <xf numFmtId="0" fontId="3" fillId="0" borderId="7" xfId="0" applyFont="1" applyBorder="1" applyAlignment="1">
      <alignment horizontal="left" vertical="center" shrinkToFit="1"/>
    </xf>
    <xf numFmtId="0" fontId="3" fillId="0" borderId="12" xfId="0" applyFont="1" applyBorder="1" applyAlignment="1">
      <alignment horizontal="left" vertical="center" shrinkToFit="1"/>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0" fontId="3" fillId="5" borderId="12" xfId="0" applyFont="1" applyFill="1" applyBorder="1" applyAlignment="1">
      <alignment horizontal="center" vertical="center"/>
    </xf>
    <xf numFmtId="0" fontId="3" fillId="5" borderId="15" xfId="0" applyFont="1" applyFill="1" applyBorder="1" applyAlignment="1">
      <alignment horizontal="center" vertical="center" wrapText="1"/>
    </xf>
    <xf numFmtId="0" fontId="3" fillId="5" borderId="61"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46" fillId="13" borderId="7" xfId="0" applyFont="1" applyFill="1" applyBorder="1" applyAlignment="1">
      <alignment horizontal="left" vertical="center" wrapText="1"/>
    </xf>
    <xf numFmtId="0" fontId="46" fillId="13" borderId="12" xfId="0" applyFont="1" applyFill="1" applyBorder="1" applyAlignment="1">
      <alignment horizontal="left" vertical="center"/>
    </xf>
    <xf numFmtId="0" fontId="49" fillId="13" borderId="7" xfId="0" applyFont="1" applyFill="1" applyBorder="1" applyAlignment="1">
      <alignment horizontal="left" vertical="center" wrapText="1"/>
    </xf>
    <xf numFmtId="0" fontId="49" fillId="13" borderId="12" xfId="0" applyFont="1" applyFill="1" applyBorder="1" applyAlignment="1">
      <alignment horizontal="left" vertical="center"/>
    </xf>
    <xf numFmtId="0" fontId="17" fillId="13" borderId="7" xfId="0" applyFont="1" applyFill="1" applyBorder="1" applyAlignment="1">
      <alignment horizontal="left" vertical="center" wrapText="1"/>
    </xf>
    <xf numFmtId="0" fontId="17" fillId="13" borderId="8" xfId="0" applyFont="1" applyFill="1" applyBorder="1" applyAlignment="1">
      <alignment horizontal="left" vertical="center" wrapText="1"/>
    </xf>
    <xf numFmtId="0" fontId="3" fillId="5" borderId="13" xfId="0" applyFont="1" applyFill="1" applyBorder="1" applyAlignment="1">
      <alignment horizontal="center" vertical="center" wrapText="1"/>
    </xf>
    <xf numFmtId="0" fontId="3" fillId="5" borderId="7" xfId="0" applyFont="1" applyFill="1" applyBorder="1" applyAlignment="1">
      <alignment horizontal="center" vertical="center" shrinkToFit="1"/>
    </xf>
    <xf numFmtId="0" fontId="3" fillId="5" borderId="8" xfId="0" applyFont="1" applyFill="1" applyBorder="1" applyAlignment="1">
      <alignment horizontal="center" vertical="center" shrinkToFit="1"/>
    </xf>
    <xf numFmtId="0" fontId="3" fillId="5" borderId="12" xfId="0" applyFont="1" applyFill="1" applyBorder="1" applyAlignment="1">
      <alignment horizontal="center" vertical="center" shrinkToFit="1"/>
    </xf>
    <xf numFmtId="40" fontId="3" fillId="0" borderId="7" xfId="1" applyNumberFormat="1" applyFont="1" applyBorder="1" applyAlignment="1">
      <alignment horizontal="center" vertical="center"/>
    </xf>
    <xf numFmtId="40" fontId="3" fillId="0" borderId="12" xfId="1" applyNumberFormat="1" applyFont="1" applyBorder="1" applyAlignment="1">
      <alignment horizontal="center" vertical="center"/>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2" xfId="0" applyFont="1" applyFill="1" applyBorder="1" applyAlignment="1">
      <alignment horizontal="center" vertical="center" wrapText="1"/>
    </xf>
    <xf numFmtId="40" fontId="3" fillId="0" borderId="7" xfId="1" applyNumberFormat="1" applyFont="1" applyFill="1" applyBorder="1" applyAlignment="1">
      <alignment horizontal="center" vertical="center"/>
    </xf>
    <xf numFmtId="40" fontId="3" fillId="0" borderId="12" xfId="1" applyNumberFormat="1" applyFont="1" applyFill="1" applyBorder="1" applyAlignment="1">
      <alignment horizontal="center" vertical="center"/>
    </xf>
    <xf numFmtId="0" fontId="3" fillId="0" borderId="3" xfId="0" applyFont="1" applyBorder="1" applyAlignment="1">
      <alignment horizontal="right" vertical="center"/>
    </xf>
    <xf numFmtId="0" fontId="3" fillId="0" borderId="19" xfId="0" applyFont="1" applyBorder="1" applyAlignment="1">
      <alignment horizontal="right" vertical="center"/>
    </xf>
    <xf numFmtId="0" fontId="3" fillId="0" borderId="20" xfId="0" applyFont="1" applyBorder="1" applyAlignment="1">
      <alignment horizontal="right" vertical="center"/>
    </xf>
    <xf numFmtId="0" fontId="3" fillId="0" borderId="17" xfId="0" applyFont="1" applyBorder="1" applyAlignment="1">
      <alignment horizontal="right" vertical="center"/>
    </xf>
    <xf numFmtId="0" fontId="3" fillId="0" borderId="1" xfId="0" applyFont="1" applyBorder="1" applyAlignment="1">
      <alignment horizontal="right" vertical="center"/>
    </xf>
    <xf numFmtId="0" fontId="3" fillId="0" borderId="2" xfId="0" applyFont="1" applyBorder="1" applyAlignment="1">
      <alignment horizontal="right" vertical="center"/>
    </xf>
    <xf numFmtId="0" fontId="3" fillId="0" borderId="7" xfId="0" applyFont="1" applyBorder="1" applyAlignment="1">
      <alignment horizontal="left" vertical="center"/>
    </xf>
    <xf numFmtId="0" fontId="9" fillId="6" borderId="13" xfId="0" applyFont="1" applyFill="1" applyBorder="1" applyAlignment="1">
      <alignment horizontal="right" vertical="center"/>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32" xfId="0" applyFont="1" applyFill="1" applyBorder="1" applyAlignment="1">
      <alignment horizontal="center" vertical="center" wrapText="1"/>
    </xf>
    <xf numFmtId="0" fontId="3" fillId="4" borderId="16"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3" fillId="0" borderId="7" xfId="0" applyFont="1" applyBorder="1" applyAlignment="1">
      <alignment horizontal="left" vertical="center" wrapText="1" shrinkToFit="1"/>
    </xf>
    <xf numFmtId="0" fontId="3" fillId="0" borderId="12" xfId="0" applyFont="1" applyBorder="1" applyAlignment="1">
      <alignment horizontal="left" vertical="center" wrapText="1" shrinkToFit="1"/>
    </xf>
    <xf numFmtId="40" fontId="9" fillId="2" borderId="30" xfId="0" applyNumberFormat="1" applyFont="1" applyFill="1" applyBorder="1" applyAlignment="1">
      <alignment horizontal="center" vertical="center"/>
    </xf>
    <xf numFmtId="40" fontId="9" fillId="2" borderId="31" xfId="0" applyNumberFormat="1" applyFont="1" applyFill="1" applyBorder="1" applyAlignment="1">
      <alignment horizontal="center" vertical="center"/>
    </xf>
    <xf numFmtId="40" fontId="9" fillId="2" borderId="38" xfId="0" applyNumberFormat="1" applyFont="1" applyFill="1" applyBorder="1" applyAlignment="1">
      <alignment horizontal="center" vertical="center"/>
    </xf>
    <xf numFmtId="0" fontId="3" fillId="0" borderId="7" xfId="0" applyFont="1" applyBorder="1" applyAlignment="1">
      <alignment horizontal="center" vertical="center"/>
    </xf>
    <xf numFmtId="0" fontId="3" fillId="0" borderId="12" xfId="0" applyFont="1" applyBorder="1" applyAlignment="1">
      <alignment horizontal="center" vertical="center"/>
    </xf>
    <xf numFmtId="40" fontId="9" fillId="2" borderId="33" xfId="0" applyNumberFormat="1" applyFont="1" applyFill="1" applyBorder="1" applyAlignment="1">
      <alignment horizontal="center" vertical="center"/>
    </xf>
    <xf numFmtId="0" fontId="9" fillId="2" borderId="25" xfId="0" applyFont="1" applyFill="1" applyBorder="1" applyAlignment="1">
      <alignment horizontal="center" vertical="center"/>
    </xf>
    <xf numFmtId="0" fontId="9" fillId="2" borderId="27" xfId="0" applyFont="1" applyFill="1" applyBorder="1" applyAlignment="1">
      <alignment horizontal="center" vertical="center"/>
    </xf>
    <xf numFmtId="2" fontId="9" fillId="2" borderId="43" xfId="0" applyNumberFormat="1" applyFont="1" applyFill="1" applyBorder="1" applyAlignment="1">
      <alignment horizontal="center" vertical="center"/>
    </xf>
    <xf numFmtId="2" fontId="9" fillId="2" borderId="26" xfId="0" applyNumberFormat="1" applyFont="1" applyFill="1" applyBorder="1" applyAlignment="1">
      <alignment horizontal="center" vertical="center"/>
    </xf>
    <xf numFmtId="2" fontId="9" fillId="2" borderId="44" xfId="0" applyNumberFormat="1" applyFont="1" applyFill="1" applyBorder="1" applyAlignment="1">
      <alignment horizontal="center" vertical="center"/>
    </xf>
    <xf numFmtId="0" fontId="3" fillId="4" borderId="15" xfId="0" applyFont="1" applyFill="1" applyBorder="1" applyAlignment="1">
      <alignment horizontal="center" vertical="center" wrapText="1"/>
    </xf>
    <xf numFmtId="0" fontId="3" fillId="4" borderId="18" xfId="0" applyFont="1" applyFill="1" applyBorder="1" applyAlignment="1">
      <alignment horizontal="center" vertical="center" wrapText="1"/>
    </xf>
    <xf numFmtId="40" fontId="9" fillId="2" borderId="28" xfId="0" applyNumberFormat="1" applyFont="1" applyFill="1" applyBorder="1" applyAlignment="1">
      <alignment horizontal="center" vertical="center"/>
    </xf>
    <xf numFmtId="40" fontId="9" fillId="2" borderId="37" xfId="0" applyNumberFormat="1" applyFont="1" applyFill="1" applyBorder="1" applyAlignment="1">
      <alignment horizontal="center" vertical="center"/>
    </xf>
    <xf numFmtId="2" fontId="22" fillId="0" borderId="0" xfId="0" applyNumberFormat="1" applyFont="1" applyFill="1" applyBorder="1" applyAlignment="1">
      <alignment horizontal="center" vertical="center"/>
    </xf>
    <xf numFmtId="2" fontId="3" fillId="0" borderId="0" xfId="0" applyNumberFormat="1" applyFont="1" applyFill="1" applyBorder="1" applyAlignment="1">
      <alignment horizontal="center" vertical="center"/>
    </xf>
    <xf numFmtId="0" fontId="13" fillId="2" borderId="15" xfId="0" applyFont="1" applyFill="1" applyBorder="1" applyAlignment="1">
      <alignment horizontal="right" vertical="center" shrinkToFit="1"/>
    </xf>
    <xf numFmtId="0" fontId="13" fillId="2" borderId="16" xfId="0" applyFont="1" applyFill="1" applyBorder="1" applyAlignment="1">
      <alignment horizontal="right" vertical="center" shrinkToFit="1"/>
    </xf>
    <xf numFmtId="0" fontId="13" fillId="2" borderId="18" xfId="0" applyFont="1" applyFill="1" applyBorder="1" applyAlignment="1">
      <alignment horizontal="right" vertical="center" shrinkToFit="1"/>
    </xf>
    <xf numFmtId="14" fontId="46" fillId="0" borderId="7" xfId="0" quotePrefix="1" applyNumberFormat="1" applyFont="1" applyBorder="1" applyAlignment="1">
      <alignment horizontal="left" vertical="center" wrapText="1"/>
    </xf>
    <xf numFmtId="0" fontId="47" fillId="0" borderId="12" xfId="0" applyFont="1" applyBorder="1" applyAlignment="1">
      <alignment horizontal="left" vertical="center"/>
    </xf>
    <xf numFmtId="0" fontId="3" fillId="4" borderId="7" xfId="0" applyFont="1" applyFill="1" applyBorder="1" applyAlignment="1">
      <alignment horizontal="center" vertical="center" shrinkToFit="1"/>
    </xf>
    <xf numFmtId="0" fontId="3" fillId="4" borderId="8" xfId="0" applyFont="1" applyFill="1" applyBorder="1" applyAlignment="1">
      <alignment horizontal="center" vertical="center" shrinkToFit="1"/>
    </xf>
    <xf numFmtId="0" fontId="3" fillId="4" borderId="12" xfId="0" applyFont="1" applyFill="1" applyBorder="1" applyAlignment="1">
      <alignment horizontal="center" vertical="center" shrinkToFit="1"/>
    </xf>
    <xf numFmtId="2" fontId="9" fillId="2" borderId="35" xfId="0" applyNumberFormat="1" applyFont="1" applyFill="1" applyBorder="1" applyAlignment="1">
      <alignment horizontal="center" vertical="center"/>
    </xf>
    <xf numFmtId="2" fontId="9" fillId="2" borderId="30" xfId="0" applyNumberFormat="1" applyFont="1" applyFill="1" applyBorder="1" applyAlignment="1">
      <alignment horizontal="center" vertical="center"/>
    </xf>
    <xf numFmtId="0" fontId="3" fillId="0" borderId="7" xfId="0" quotePrefix="1" applyFont="1" applyBorder="1" applyAlignment="1">
      <alignment horizontal="left" vertical="center"/>
    </xf>
    <xf numFmtId="0" fontId="16" fillId="0" borderId="7" xfId="6" applyFont="1" applyBorder="1" applyAlignment="1">
      <alignment horizontal="left" vertical="center" shrinkToFit="1"/>
    </xf>
    <xf numFmtId="0" fontId="16" fillId="0" borderId="12" xfId="6" applyFont="1" applyBorder="1" applyAlignment="1">
      <alignment horizontal="left" vertical="center" shrinkToFit="1"/>
    </xf>
    <xf numFmtId="14" fontId="17" fillId="13" borderId="7" xfId="0" applyNumberFormat="1" applyFont="1" applyFill="1" applyBorder="1" applyAlignment="1">
      <alignment horizontal="center" vertical="center"/>
    </xf>
    <xf numFmtId="14" fontId="17" fillId="13" borderId="8" xfId="0" applyNumberFormat="1" applyFont="1" applyFill="1" applyBorder="1" applyAlignment="1">
      <alignment horizontal="center" vertical="center"/>
    </xf>
    <xf numFmtId="14" fontId="17" fillId="13" borderId="12" xfId="0" applyNumberFormat="1" applyFont="1" applyFill="1" applyBorder="1" applyAlignment="1">
      <alignment horizontal="center" vertical="center"/>
    </xf>
    <xf numFmtId="0" fontId="17" fillId="13" borderId="7" xfId="0" applyFont="1" applyFill="1" applyBorder="1" applyAlignment="1">
      <alignment horizontal="center" vertical="center"/>
    </xf>
    <xf numFmtId="0" fontId="17" fillId="13" borderId="12" xfId="0" applyFont="1" applyFill="1" applyBorder="1" applyAlignment="1">
      <alignment horizontal="center" vertical="center"/>
    </xf>
    <xf numFmtId="14" fontId="3" fillId="13" borderId="7" xfId="0" applyNumberFormat="1" applyFont="1" applyFill="1" applyBorder="1" applyAlignment="1">
      <alignment horizontal="left" vertical="center" wrapText="1"/>
    </xf>
    <xf numFmtId="14" fontId="3" fillId="13" borderId="8" xfId="0" applyNumberFormat="1" applyFont="1" applyFill="1" applyBorder="1" applyAlignment="1">
      <alignment horizontal="left" vertical="center" wrapText="1"/>
    </xf>
    <xf numFmtId="14" fontId="3" fillId="13" borderId="12" xfId="0" applyNumberFormat="1" applyFont="1" applyFill="1" applyBorder="1" applyAlignment="1">
      <alignment horizontal="left" vertical="center" wrapText="1"/>
    </xf>
    <xf numFmtId="0" fontId="17" fillId="13" borderId="8" xfId="0" applyFont="1" applyFill="1" applyBorder="1" applyAlignment="1">
      <alignment horizontal="center" vertical="center"/>
    </xf>
    <xf numFmtId="14" fontId="3" fillId="13" borderId="8" xfId="0" applyNumberFormat="1" applyFont="1" applyFill="1" applyBorder="1" applyAlignment="1">
      <alignment horizontal="left" vertical="center"/>
    </xf>
    <xf numFmtId="14" fontId="3" fillId="13" borderId="12" xfId="0" applyNumberFormat="1" applyFont="1" applyFill="1" applyBorder="1" applyAlignment="1">
      <alignment horizontal="left" vertical="center"/>
    </xf>
    <xf numFmtId="0" fontId="3" fillId="13" borderId="8" xfId="0" applyFont="1" applyFill="1" applyBorder="1" applyAlignment="1">
      <alignment horizontal="center" vertical="center"/>
    </xf>
    <xf numFmtId="0" fontId="3" fillId="13" borderId="8" xfId="0" applyFont="1" applyFill="1" applyBorder="1" applyAlignment="1">
      <alignment horizontal="left" vertical="center" shrinkToFit="1"/>
    </xf>
    <xf numFmtId="14" fontId="17" fillId="13" borderId="13" xfId="0" applyNumberFormat="1" applyFont="1" applyFill="1" applyBorder="1" applyAlignment="1">
      <alignment horizontal="center" vertical="center"/>
    </xf>
    <xf numFmtId="0" fontId="17" fillId="13" borderId="13" xfId="0" applyFont="1" applyFill="1" applyBorder="1" applyAlignment="1">
      <alignment horizontal="center" vertical="center"/>
    </xf>
    <xf numFmtId="0" fontId="3" fillId="13" borderId="7" xfId="0" applyFont="1" applyFill="1" applyBorder="1" applyAlignment="1">
      <alignment horizontal="left" vertical="center" wrapText="1" shrinkToFit="1"/>
    </xf>
    <xf numFmtId="0" fontId="3" fillId="13" borderId="8" xfId="0" applyFont="1" applyFill="1" applyBorder="1" applyAlignment="1">
      <alignment horizontal="left" vertical="center" wrapText="1" shrinkToFit="1"/>
    </xf>
    <xf numFmtId="0" fontId="3" fillId="13" borderId="12" xfId="0" applyFont="1" applyFill="1" applyBorder="1" applyAlignment="1">
      <alignment horizontal="left" vertical="center" wrapText="1" shrinkToFit="1"/>
    </xf>
    <xf numFmtId="14" fontId="3" fillId="13" borderId="7" xfId="0" applyNumberFormat="1" applyFont="1" applyFill="1" applyBorder="1" applyAlignment="1">
      <alignment horizontal="left" vertical="center"/>
    </xf>
    <xf numFmtId="14" fontId="3" fillId="13" borderId="13" xfId="0" applyNumberFormat="1" applyFont="1" applyFill="1" applyBorder="1" applyAlignment="1">
      <alignment horizontal="left" vertical="center"/>
    </xf>
    <xf numFmtId="0" fontId="3" fillId="13" borderId="13" xfId="0" applyFont="1" applyFill="1" applyBorder="1" applyAlignment="1">
      <alignment horizontal="left" vertical="center"/>
    </xf>
    <xf numFmtId="0" fontId="3" fillId="13" borderId="7" xfId="0" applyFont="1" applyFill="1" applyBorder="1" applyAlignment="1">
      <alignment horizontal="left" vertical="center"/>
    </xf>
    <xf numFmtId="0" fontId="3" fillId="13" borderId="8" xfId="0" applyFont="1" applyFill="1" applyBorder="1" applyAlignment="1">
      <alignment horizontal="left" vertical="center"/>
    </xf>
    <xf numFmtId="0" fontId="3" fillId="13" borderId="8" xfId="0" applyFont="1" applyFill="1" applyBorder="1" applyAlignment="1">
      <alignment horizontal="left" vertical="center" wrapText="1"/>
    </xf>
    <xf numFmtId="0" fontId="3" fillId="13" borderId="12" xfId="0" applyFont="1" applyFill="1" applyBorder="1" applyAlignment="1">
      <alignment horizontal="left" vertical="center"/>
    </xf>
    <xf numFmtId="14" fontId="17" fillId="13" borderId="13" xfId="0" applyNumberFormat="1" applyFont="1" applyFill="1" applyBorder="1" applyAlignment="1">
      <alignment horizontal="left" vertical="center" wrapText="1"/>
    </xf>
    <xf numFmtId="14" fontId="17" fillId="13" borderId="13" xfId="0" applyNumberFormat="1" applyFont="1" applyFill="1" applyBorder="1" applyAlignment="1">
      <alignment horizontal="left" vertical="center"/>
    </xf>
    <xf numFmtId="0" fontId="3" fillId="13" borderId="7" xfId="0" applyFont="1" applyFill="1" applyBorder="1" applyAlignment="1">
      <alignment horizontal="left" vertical="center" wrapText="1"/>
    </xf>
    <xf numFmtId="0" fontId="3" fillId="13" borderId="3" xfId="0" applyFont="1" applyFill="1" applyBorder="1" applyAlignment="1">
      <alignment horizontal="left" vertical="center" shrinkToFit="1"/>
    </xf>
    <xf numFmtId="0" fontId="3" fillId="13" borderId="12" xfId="0" applyFont="1" applyFill="1" applyBorder="1" applyAlignment="1">
      <alignment horizontal="left" vertical="center" wrapText="1"/>
    </xf>
    <xf numFmtId="0" fontId="3" fillId="13" borderId="41" xfId="0" applyFont="1" applyFill="1" applyBorder="1" applyAlignment="1">
      <alignment horizontal="left" vertical="center" shrinkToFit="1"/>
    </xf>
    <xf numFmtId="14" fontId="17" fillId="13" borderId="7" xfId="0" applyNumberFormat="1" applyFont="1" applyFill="1" applyBorder="1" applyAlignment="1">
      <alignment horizontal="left" vertical="center"/>
    </xf>
    <xf numFmtId="14" fontId="17" fillId="13" borderId="8" xfId="0" applyNumberFormat="1" applyFont="1" applyFill="1" applyBorder="1" applyAlignment="1">
      <alignment horizontal="left" vertical="center"/>
    </xf>
    <xf numFmtId="14" fontId="17" fillId="13" borderId="12" xfId="0" applyNumberFormat="1" applyFont="1" applyFill="1" applyBorder="1" applyAlignment="1">
      <alignment horizontal="left" vertical="center"/>
    </xf>
    <xf numFmtId="14" fontId="3" fillId="13" borderId="13" xfId="0" applyNumberFormat="1" applyFont="1" applyFill="1" applyBorder="1" applyAlignment="1">
      <alignment horizontal="left" vertical="center" wrapText="1"/>
    </xf>
    <xf numFmtId="0" fontId="17" fillId="13" borderId="13" xfId="0" applyFont="1" applyFill="1" applyBorder="1" applyAlignment="1">
      <alignment horizontal="left" vertical="center" wrapText="1"/>
    </xf>
    <xf numFmtId="0" fontId="17" fillId="13" borderId="13" xfId="0" applyFont="1" applyFill="1" applyBorder="1" applyAlignment="1">
      <alignment horizontal="left" vertical="center"/>
    </xf>
    <xf numFmtId="14" fontId="17" fillId="13" borderId="13" xfId="0" applyNumberFormat="1" applyFont="1" applyFill="1" applyBorder="1" applyAlignment="1">
      <alignment horizontal="center" vertical="center" wrapText="1"/>
    </xf>
    <xf numFmtId="0" fontId="17" fillId="13" borderId="13" xfId="0" applyFont="1" applyFill="1" applyBorder="1" applyAlignment="1">
      <alignment horizontal="center" vertical="center" wrapText="1"/>
    </xf>
    <xf numFmtId="14" fontId="17" fillId="13" borderId="7" xfId="0" applyNumberFormat="1" applyFont="1" applyFill="1" applyBorder="1" applyAlignment="1">
      <alignment horizontal="center" vertical="center" wrapText="1"/>
    </xf>
    <xf numFmtId="14" fontId="17" fillId="13" borderId="8" xfId="0" applyNumberFormat="1" applyFont="1" applyFill="1" applyBorder="1" applyAlignment="1">
      <alignment horizontal="center" vertical="center" wrapText="1"/>
    </xf>
    <xf numFmtId="14" fontId="17" fillId="13" borderId="12" xfId="0" applyNumberFormat="1" applyFont="1" applyFill="1" applyBorder="1" applyAlignment="1">
      <alignment horizontal="center" vertical="center" wrapText="1"/>
    </xf>
    <xf numFmtId="0" fontId="12" fillId="11" borderId="7" xfId="0" applyFont="1" applyFill="1" applyBorder="1" applyAlignment="1">
      <alignment horizontal="left" vertical="center" shrinkToFit="1"/>
    </xf>
    <xf numFmtId="0" fontId="12" fillId="11" borderId="8" xfId="0" applyFont="1" applyFill="1" applyBorder="1" applyAlignment="1">
      <alignment horizontal="left" vertical="center" shrinkToFit="1"/>
    </xf>
    <xf numFmtId="0" fontId="12" fillId="11" borderId="12" xfId="0" applyFont="1" applyFill="1" applyBorder="1" applyAlignment="1">
      <alignment horizontal="left" vertical="center" shrinkToFit="1"/>
    </xf>
    <xf numFmtId="0" fontId="3" fillId="11" borderId="13" xfId="0" applyFont="1" applyFill="1" applyBorder="1" applyAlignment="1">
      <alignment horizontal="center" vertical="center"/>
    </xf>
    <xf numFmtId="0" fontId="3" fillId="10" borderId="41" xfId="0" applyFont="1" applyFill="1" applyBorder="1" applyAlignment="1">
      <alignment horizontal="center" vertical="center"/>
    </xf>
    <xf numFmtId="0" fontId="3" fillId="11" borderId="7" xfId="0" applyFont="1" applyFill="1" applyBorder="1" applyAlignment="1">
      <alignment horizontal="center" vertical="center" shrinkToFit="1"/>
    </xf>
    <xf numFmtId="0" fontId="3" fillId="11" borderId="8" xfId="0" applyFont="1" applyFill="1" applyBorder="1" applyAlignment="1">
      <alignment horizontal="center" vertical="center" shrinkToFit="1"/>
    </xf>
    <xf numFmtId="0" fontId="3" fillId="11" borderId="12" xfId="0" applyFont="1" applyFill="1" applyBorder="1" applyAlignment="1">
      <alignment horizontal="center" vertical="center" shrinkToFit="1"/>
    </xf>
    <xf numFmtId="0" fontId="12" fillId="11" borderId="7" xfId="0" applyFont="1" applyFill="1" applyBorder="1" applyAlignment="1">
      <alignment horizontal="center" vertical="center" shrinkToFit="1"/>
    </xf>
    <xf numFmtId="0" fontId="12" fillId="11" borderId="8" xfId="0" applyFont="1" applyFill="1" applyBorder="1" applyAlignment="1">
      <alignment horizontal="center" vertical="center" shrinkToFit="1"/>
    </xf>
    <xf numFmtId="0" fontId="12" fillId="11" borderId="12" xfId="0" applyFont="1" applyFill="1" applyBorder="1" applyAlignment="1">
      <alignment horizontal="center" vertical="center" shrinkToFit="1"/>
    </xf>
    <xf numFmtId="0" fontId="3" fillId="11" borderId="7" xfId="0" applyFont="1" applyFill="1" applyBorder="1" applyAlignment="1">
      <alignment horizontal="center" vertical="center"/>
    </xf>
    <xf numFmtId="0" fontId="3" fillId="11" borderId="8" xfId="0" applyFont="1" applyFill="1" applyBorder="1" applyAlignment="1">
      <alignment horizontal="center" vertical="center"/>
    </xf>
    <xf numFmtId="0" fontId="3" fillId="11" borderId="12" xfId="0" applyFont="1" applyFill="1" applyBorder="1" applyAlignment="1">
      <alignment horizontal="center" vertical="center"/>
    </xf>
    <xf numFmtId="0" fontId="3" fillId="13" borderId="7" xfId="0" applyFont="1" applyFill="1" applyBorder="1" applyAlignment="1">
      <alignment horizontal="center" vertical="top" wrapText="1" shrinkToFit="1"/>
    </xf>
    <xf numFmtId="0" fontId="3" fillId="13" borderId="8" xfId="0" applyFont="1" applyFill="1" applyBorder="1" applyAlignment="1">
      <alignment horizontal="center" vertical="top" shrinkToFit="1"/>
    </xf>
    <xf numFmtId="0" fontId="3" fillId="13" borderId="12" xfId="0" applyFont="1" applyFill="1" applyBorder="1" applyAlignment="1">
      <alignment horizontal="center" vertical="top" shrinkToFit="1"/>
    </xf>
    <xf numFmtId="55" fontId="3" fillId="5" borderId="7" xfId="0" applyNumberFormat="1" applyFont="1" applyFill="1" applyBorder="1" applyAlignment="1">
      <alignment horizontal="center" vertical="center"/>
    </xf>
    <xf numFmtId="55" fontId="3" fillId="5" borderId="12" xfId="0" applyNumberFormat="1" applyFont="1" applyFill="1" applyBorder="1" applyAlignment="1">
      <alignment horizontal="center" vertical="center"/>
    </xf>
    <xf numFmtId="0" fontId="52" fillId="14" borderId="19" xfId="0" applyFont="1" applyFill="1" applyBorder="1" applyAlignment="1">
      <alignment horizontal="center" vertical="center"/>
    </xf>
    <xf numFmtId="0" fontId="17" fillId="13" borderId="13" xfId="0" applyFont="1" applyFill="1" applyBorder="1" applyAlignment="1">
      <alignment vertical="center" wrapText="1"/>
    </xf>
    <xf numFmtId="0" fontId="17" fillId="5" borderId="7" xfId="0" applyFont="1" applyFill="1" applyBorder="1" applyAlignment="1">
      <alignment horizontal="center" vertical="center" wrapText="1" shrinkToFit="1"/>
    </xf>
    <xf numFmtId="0" fontId="17" fillId="5" borderId="8" xfId="0" applyFont="1" applyFill="1" applyBorder="1" applyAlignment="1">
      <alignment horizontal="center" vertical="center" wrapText="1" shrinkToFit="1"/>
    </xf>
  </cellXfs>
  <cellStyles count="7">
    <cellStyle name="パーセント" xfId="2" builtinId="5"/>
    <cellStyle name="ハイパーリンク" xfId="6" builtinId="8"/>
    <cellStyle name="桁区切り" xfId="1" builtinId="6"/>
    <cellStyle name="桁区切り 2" xfId="5" xr:uid="{00000000-0005-0000-0000-000003000000}"/>
    <cellStyle name="桁区切り 2 2" xfId="4" xr:uid="{00000000-0005-0000-0000-000004000000}"/>
    <cellStyle name="標準" xfId="0" builtinId="0"/>
    <cellStyle name="標準 2 3" xfId="3" xr:uid="{00000000-0005-0000-0000-000006000000}"/>
  </cellStyles>
  <dxfs count="251">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9525</xdr:colOff>
      <xdr:row>14</xdr:row>
      <xdr:rowOff>76200</xdr:rowOff>
    </xdr:from>
    <xdr:to>
      <xdr:col>26</xdr:col>
      <xdr:colOff>276225</xdr:colOff>
      <xdr:row>129</xdr:row>
      <xdr:rowOff>133350</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604" r="4820" b="5737"/>
        <a:stretch/>
      </xdr:blipFill>
      <xdr:spPr>
        <a:xfrm>
          <a:off x="7810500" y="476250"/>
          <a:ext cx="11925300" cy="4181475"/>
        </a:xfrm>
        <a:prstGeom prst="rect">
          <a:avLst/>
        </a:prstGeom>
      </xdr:spPr>
    </xdr:pic>
    <xdr:clientData/>
  </xdr:twoCellAnchor>
  <xdr:twoCellAnchor>
    <xdr:from>
      <xdr:col>5</xdr:col>
      <xdr:colOff>152401</xdr:colOff>
      <xdr:row>18</xdr:row>
      <xdr:rowOff>704850</xdr:rowOff>
    </xdr:from>
    <xdr:to>
      <xdr:col>6</xdr:col>
      <xdr:colOff>161926</xdr:colOff>
      <xdr:row>18</xdr:row>
      <xdr:rowOff>923925</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5600701" y="476250"/>
          <a:ext cx="514350" cy="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161926</xdr:colOff>
      <xdr:row>18</xdr:row>
      <xdr:rowOff>814388</xdr:rowOff>
    </xdr:from>
    <xdr:to>
      <xdr:col>17</xdr:col>
      <xdr:colOff>28576</xdr:colOff>
      <xdr:row>18</xdr:row>
      <xdr:rowOff>1228726</xdr:rowOff>
    </xdr:to>
    <xdr:cxnSp macro="">
      <xdr:nvCxnSpPr>
        <xdr:cNvPr id="4" name="カギ線コネクタ 3">
          <a:extLst>
            <a:ext uri="{FF2B5EF4-FFF2-40B4-BE49-F238E27FC236}">
              <a16:creationId xmlns:a16="http://schemas.microsoft.com/office/drawing/2014/main" id="{00000000-0008-0000-0000-000004000000}"/>
            </a:ext>
          </a:extLst>
        </xdr:cNvPr>
        <xdr:cNvCxnSpPr>
          <a:stCxn id="3" idx="3"/>
          <a:endCxn id="5" idx="1"/>
        </xdr:cNvCxnSpPr>
      </xdr:nvCxnSpPr>
      <xdr:spPr>
        <a:xfrm>
          <a:off x="6115051" y="476250"/>
          <a:ext cx="7200900" cy="0"/>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28576</xdr:colOff>
      <xdr:row>18</xdr:row>
      <xdr:rowOff>1143001</xdr:rowOff>
    </xdr:from>
    <xdr:to>
      <xdr:col>17</xdr:col>
      <xdr:colOff>428626</xdr:colOff>
      <xdr:row>18</xdr:row>
      <xdr:rowOff>1314451</xdr:rowOff>
    </xdr:to>
    <xdr:sp macro="" textlink="">
      <xdr:nvSpPr>
        <xdr:cNvPr id="5" name="正方形/長方形 4">
          <a:extLst>
            <a:ext uri="{FF2B5EF4-FFF2-40B4-BE49-F238E27FC236}">
              <a16:creationId xmlns:a16="http://schemas.microsoft.com/office/drawing/2014/main" id="{00000000-0008-0000-0000-000005000000}"/>
            </a:ext>
          </a:extLst>
        </xdr:cNvPr>
        <xdr:cNvSpPr/>
      </xdr:nvSpPr>
      <xdr:spPr>
        <a:xfrm>
          <a:off x="13315951" y="476250"/>
          <a:ext cx="400050" cy="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23</xdr:col>
      <xdr:colOff>571528</xdr:colOff>
      <xdr:row>3</xdr:row>
      <xdr:rowOff>246334</xdr:rowOff>
    </xdr:from>
    <xdr:to>
      <xdr:col>25</xdr:col>
      <xdr:colOff>22405</xdr:colOff>
      <xdr:row>207</xdr:row>
      <xdr:rowOff>0</xdr:rowOff>
    </xdr:to>
    <xdr:sp macro="" textlink="">
      <xdr:nvSpPr>
        <xdr:cNvPr id="2" name="正方形/長方形 1">
          <a:extLst>
            <a:ext uri="{FF2B5EF4-FFF2-40B4-BE49-F238E27FC236}">
              <a16:creationId xmlns:a16="http://schemas.microsoft.com/office/drawing/2014/main" id="{1A8B15A0-9175-47C8-B714-13BDBD3F6A0F}"/>
            </a:ext>
          </a:extLst>
        </xdr:cNvPr>
        <xdr:cNvSpPr/>
      </xdr:nvSpPr>
      <xdr:spPr>
        <a:xfrm>
          <a:off x="17806175" y="1131599"/>
          <a:ext cx="616289" cy="17963225"/>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27</xdr:col>
      <xdr:colOff>257175</xdr:colOff>
      <xdr:row>0</xdr:row>
      <xdr:rowOff>95250</xdr:rowOff>
    </xdr:from>
    <xdr:to>
      <xdr:col>31</xdr:col>
      <xdr:colOff>76201</xdr:colOff>
      <xdr:row>10</xdr:row>
      <xdr:rowOff>85725</xdr:rowOff>
    </xdr:to>
    <xdr:sp macro="" textlink="">
      <xdr:nvSpPr>
        <xdr:cNvPr id="2" name="正方形/長方形 1">
          <a:extLst>
            <a:ext uri="{FF2B5EF4-FFF2-40B4-BE49-F238E27FC236}">
              <a16:creationId xmlns:a16="http://schemas.microsoft.com/office/drawing/2014/main" id="{00000000-0008-0000-0400-000002000000}"/>
            </a:ext>
          </a:extLst>
        </xdr:cNvPr>
        <xdr:cNvSpPr/>
      </xdr:nvSpPr>
      <xdr:spPr>
        <a:xfrm>
          <a:off x="8191500" y="95250"/>
          <a:ext cx="923926" cy="2466975"/>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268942</xdr:colOff>
      <xdr:row>14</xdr:row>
      <xdr:rowOff>233084</xdr:rowOff>
    </xdr:from>
    <xdr:to>
      <xdr:col>26</xdr:col>
      <xdr:colOff>259978</xdr:colOff>
      <xdr:row>27</xdr:row>
      <xdr:rowOff>17931</xdr:rowOff>
    </xdr:to>
    <xdr:sp macro="" textlink="">
      <xdr:nvSpPr>
        <xdr:cNvPr id="3" name="正方形/長方形 2">
          <a:extLst>
            <a:ext uri="{FF2B5EF4-FFF2-40B4-BE49-F238E27FC236}">
              <a16:creationId xmlns:a16="http://schemas.microsoft.com/office/drawing/2014/main" id="{95E963A9-B4AE-4E39-85FE-2F95490149DD}"/>
            </a:ext>
          </a:extLst>
        </xdr:cNvPr>
        <xdr:cNvSpPr/>
      </xdr:nvSpPr>
      <xdr:spPr>
        <a:xfrm>
          <a:off x="7655860" y="986119"/>
          <a:ext cx="546847" cy="3048000"/>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259977</xdr:colOff>
      <xdr:row>14</xdr:row>
      <xdr:rowOff>242050</xdr:rowOff>
    </xdr:from>
    <xdr:to>
      <xdr:col>31</xdr:col>
      <xdr:colOff>251012</xdr:colOff>
      <xdr:row>27</xdr:row>
      <xdr:rowOff>3</xdr:rowOff>
    </xdr:to>
    <xdr:sp macro="" textlink="">
      <xdr:nvSpPr>
        <xdr:cNvPr id="4" name="正方形/長方形 3">
          <a:extLst>
            <a:ext uri="{FF2B5EF4-FFF2-40B4-BE49-F238E27FC236}">
              <a16:creationId xmlns:a16="http://schemas.microsoft.com/office/drawing/2014/main" id="{DBF08E40-2526-4274-B961-B33A9C09794B}"/>
            </a:ext>
          </a:extLst>
        </xdr:cNvPr>
        <xdr:cNvSpPr/>
      </xdr:nvSpPr>
      <xdr:spPr>
        <a:xfrm>
          <a:off x="8758518" y="995085"/>
          <a:ext cx="824753" cy="3021106"/>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11205</xdr:colOff>
      <xdr:row>140</xdr:row>
      <xdr:rowOff>6723</xdr:rowOff>
    </xdr:from>
    <xdr:to>
      <xdr:col>27</xdr:col>
      <xdr:colOff>22412</xdr:colOff>
      <xdr:row>149</xdr:row>
      <xdr:rowOff>22412</xdr:rowOff>
    </xdr:to>
    <xdr:sp macro="" textlink="">
      <xdr:nvSpPr>
        <xdr:cNvPr id="6" name="正方形/長方形 5">
          <a:extLst>
            <a:ext uri="{FF2B5EF4-FFF2-40B4-BE49-F238E27FC236}">
              <a16:creationId xmlns:a16="http://schemas.microsoft.com/office/drawing/2014/main" id="{C9B8A4A9-F838-4D10-93D4-FEBCCFB82880}"/>
            </a:ext>
          </a:extLst>
        </xdr:cNvPr>
        <xdr:cNvSpPr/>
      </xdr:nvSpPr>
      <xdr:spPr>
        <a:xfrm>
          <a:off x="7451911" y="992841"/>
          <a:ext cx="851648" cy="2234453"/>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4482</xdr:colOff>
      <xdr:row>140</xdr:row>
      <xdr:rowOff>11206</xdr:rowOff>
    </xdr:from>
    <xdr:to>
      <xdr:col>22</xdr:col>
      <xdr:colOff>280146</xdr:colOff>
      <xdr:row>149</xdr:row>
      <xdr:rowOff>11206</xdr:rowOff>
    </xdr:to>
    <xdr:sp macro="" textlink="">
      <xdr:nvSpPr>
        <xdr:cNvPr id="5" name="正方形/長方形 4">
          <a:extLst>
            <a:ext uri="{FF2B5EF4-FFF2-40B4-BE49-F238E27FC236}">
              <a16:creationId xmlns:a16="http://schemas.microsoft.com/office/drawing/2014/main" id="{3594101A-F1A3-471E-8009-0BDB2460B8EB}"/>
            </a:ext>
          </a:extLst>
        </xdr:cNvPr>
        <xdr:cNvSpPr/>
      </xdr:nvSpPr>
      <xdr:spPr>
        <a:xfrm>
          <a:off x="6044453" y="997324"/>
          <a:ext cx="1116105" cy="2218764"/>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661147</xdr:colOff>
      <xdr:row>43</xdr:row>
      <xdr:rowOff>235326</xdr:rowOff>
    </xdr:from>
    <xdr:to>
      <xdr:col>9</xdr:col>
      <xdr:colOff>15127</xdr:colOff>
      <xdr:row>45</xdr:row>
      <xdr:rowOff>1</xdr:rowOff>
    </xdr:to>
    <xdr:sp macro="" textlink="">
      <xdr:nvSpPr>
        <xdr:cNvPr id="3" name="正方形/長方形 2">
          <a:extLst>
            <a:ext uri="{FF2B5EF4-FFF2-40B4-BE49-F238E27FC236}">
              <a16:creationId xmlns:a16="http://schemas.microsoft.com/office/drawing/2014/main" id="{00000000-0008-0000-0500-000003000000}"/>
            </a:ext>
          </a:extLst>
        </xdr:cNvPr>
        <xdr:cNvSpPr/>
      </xdr:nvSpPr>
      <xdr:spPr>
        <a:xfrm>
          <a:off x="7037294" y="10836091"/>
          <a:ext cx="3713068" cy="257734"/>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342900</xdr:colOff>
      <xdr:row>45</xdr:row>
      <xdr:rowOff>244287</xdr:rowOff>
    </xdr:from>
    <xdr:to>
      <xdr:col>4</xdr:col>
      <xdr:colOff>33618</xdr:colOff>
      <xdr:row>47</xdr:row>
      <xdr:rowOff>22412</xdr:rowOff>
    </xdr:to>
    <xdr:sp macro="" textlink="">
      <xdr:nvSpPr>
        <xdr:cNvPr id="6" name="正方形/長方形 5">
          <a:extLst>
            <a:ext uri="{FF2B5EF4-FFF2-40B4-BE49-F238E27FC236}">
              <a16:creationId xmlns:a16="http://schemas.microsoft.com/office/drawing/2014/main" id="{61EE406F-03E6-48D3-B922-09B214EEEB55}"/>
            </a:ext>
          </a:extLst>
        </xdr:cNvPr>
        <xdr:cNvSpPr/>
      </xdr:nvSpPr>
      <xdr:spPr>
        <a:xfrm>
          <a:off x="342900" y="11338111"/>
          <a:ext cx="5181600" cy="271183"/>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661147</xdr:colOff>
      <xdr:row>0</xdr:row>
      <xdr:rowOff>0</xdr:rowOff>
    </xdr:from>
    <xdr:to>
      <xdr:col>13</xdr:col>
      <xdr:colOff>22412</xdr:colOff>
      <xdr:row>16</xdr:row>
      <xdr:rowOff>22412</xdr:rowOff>
    </xdr:to>
    <xdr:sp macro="" textlink="">
      <xdr:nvSpPr>
        <xdr:cNvPr id="2" name="正方形/長方形 1">
          <a:extLst>
            <a:ext uri="{FF2B5EF4-FFF2-40B4-BE49-F238E27FC236}">
              <a16:creationId xmlns:a16="http://schemas.microsoft.com/office/drawing/2014/main" id="{D9554EA9-E2F5-464E-B18B-7870937C2F26}"/>
            </a:ext>
          </a:extLst>
        </xdr:cNvPr>
        <xdr:cNvSpPr/>
      </xdr:nvSpPr>
      <xdr:spPr>
        <a:xfrm>
          <a:off x="9614647" y="0"/>
          <a:ext cx="705971" cy="3821206"/>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Sys.dir.co.jp\document\&#37096;&#23460;&#21029;&#12456;&#12522;&#12450;\B50_&#37329;&#34701;&#12501;&#12525;&#12531;&#12488;&#12471;&#12473;&#12486;&#12512;&#37096;\PUBLIC\&#12497;&#12540;&#12488;&#12490;&#12540;\DAT\SS_ALL\09%20Weekly%20Report\(WB4)&#36913;&#27425;&#22577;&#21578;_20250327-0402\(WB4)&#26696;&#20214;&#65294;&#35201;&#21729;&#24773;&#22577;_202404-202503.xlsx" TargetMode="External"/><Relationship Id="rId1" Type="http://schemas.openxmlformats.org/officeDocument/2006/relationships/externalLinkPath" Target="/&#37096;&#23460;&#21029;&#12456;&#12522;&#12450;/B50_&#37329;&#34701;&#12501;&#12525;&#12531;&#12488;&#12471;&#12473;&#12486;&#12512;&#37096;/PUBLIC/&#12497;&#12540;&#12488;&#12490;&#12540;/DAT/SS_ALL/09%20Weekly%20Report/(WB4)&#36913;&#27425;&#22577;&#21578;_20250327-0402/(WB4)&#26696;&#20214;&#65294;&#35201;&#21729;&#24773;&#22577;_202404-2025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説明"/>
      <sheetName val="案件．要員情報まとめ"/>
      <sheetName val="案件．要員情報"/>
      <sheetName val="週次報告"/>
      <sheetName val="休暇"/>
      <sheetName val="祝日"/>
      <sheetName val="DIRタスク対応の人月まとめ"/>
      <sheetName val="Not Avail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B2" t="str">
            <v>プロジェクト</v>
          </cell>
        </row>
        <row r="3">
          <cell r="B3" t="str">
            <v>定型</v>
          </cell>
        </row>
        <row r="4">
          <cell r="B4" t="str">
            <v>保守</v>
          </cell>
        </row>
        <row r="5">
          <cell r="B5" t="str">
            <v>ツール</v>
          </cell>
        </row>
        <row r="6">
          <cell r="B6" t="str">
            <v>管理</v>
          </cell>
        </row>
        <row r="7">
          <cell r="B7" t="str">
            <v>その他</v>
          </cell>
        </row>
        <row r="10">
          <cell r="B10" t="str">
            <v>未着手</v>
          </cell>
        </row>
        <row r="11">
          <cell r="B11" t="str">
            <v>着手中</v>
          </cell>
        </row>
        <row r="12">
          <cell r="B12" t="str">
            <v>遅延</v>
          </cell>
        </row>
        <row r="13">
          <cell r="B13" t="str">
            <v>完了</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119"/>
  <sheetViews>
    <sheetView zoomScaleNormal="100" workbookViewId="0"/>
  </sheetViews>
  <sheetFormatPr defaultRowHeight="18.75" outlineLevelRow="1" x14ac:dyDescent="0.4"/>
  <cols>
    <col min="1" max="1" width="7.25" style="164" customWidth="1"/>
    <col min="2" max="2" width="28.5" style="164" customWidth="1"/>
    <col min="3" max="3" width="20.75" style="164" customWidth="1"/>
    <col min="4" max="4" width="7.75" style="164" customWidth="1"/>
    <col min="5" max="5" width="7.25" style="164" customWidth="1"/>
    <col min="6" max="6" width="6.625" style="164" customWidth="1"/>
    <col min="7" max="8" width="7.625" style="164" customWidth="1"/>
    <col min="9" max="9" width="9" style="164"/>
  </cols>
  <sheetData>
    <row r="2" spans="1:13" x14ac:dyDescent="0.4">
      <c r="A2" s="162" t="s">
        <v>201</v>
      </c>
      <c r="B2" s="163" t="s">
        <v>202</v>
      </c>
      <c r="C2" s="163"/>
      <c r="D2" s="163"/>
    </row>
    <row r="3" spans="1:13" hidden="1" outlineLevel="1" x14ac:dyDescent="0.4">
      <c r="A3" s="162"/>
      <c r="B3" s="164" t="s">
        <v>203</v>
      </c>
      <c r="C3" s="163"/>
      <c r="D3" s="163"/>
      <c r="K3" s="165" t="s">
        <v>204</v>
      </c>
      <c r="L3" s="166" t="s">
        <v>205</v>
      </c>
    </row>
    <row r="4" spans="1:13" hidden="1" outlineLevel="1" x14ac:dyDescent="0.4">
      <c r="A4" s="162"/>
      <c r="B4" s="167" t="s">
        <v>206</v>
      </c>
      <c r="C4" s="168" t="s">
        <v>207</v>
      </c>
      <c r="D4" s="330" t="s">
        <v>208</v>
      </c>
      <c r="E4" s="330"/>
      <c r="F4" s="330"/>
      <c r="G4" s="330"/>
      <c r="H4" s="330"/>
      <c r="L4" s="169" t="s">
        <v>209</v>
      </c>
      <c r="M4" t="s">
        <v>210</v>
      </c>
    </row>
    <row r="5" spans="1:13" hidden="1" outlineLevel="1" x14ac:dyDescent="0.4">
      <c r="A5" s="162"/>
      <c r="B5" s="170"/>
      <c r="C5" s="171" t="s">
        <v>211</v>
      </c>
      <c r="D5" s="331" t="s">
        <v>212</v>
      </c>
      <c r="E5" s="331"/>
      <c r="F5" s="331"/>
      <c r="G5" s="331"/>
      <c r="H5" s="331"/>
      <c r="L5" s="169" t="s">
        <v>213</v>
      </c>
      <c r="M5" t="s">
        <v>214</v>
      </c>
    </row>
    <row r="6" spans="1:13" ht="30.75" hidden="1" customHeight="1" outlineLevel="1" x14ac:dyDescent="0.4">
      <c r="A6" s="163"/>
      <c r="C6" s="171" t="s">
        <v>87</v>
      </c>
      <c r="D6" s="332" t="s">
        <v>215</v>
      </c>
      <c r="E6" s="332"/>
      <c r="F6" s="332"/>
      <c r="G6" s="332"/>
      <c r="H6" s="332"/>
    </row>
    <row r="7" spans="1:13" hidden="1" outlineLevel="1" x14ac:dyDescent="0.4">
      <c r="A7" s="163"/>
      <c r="C7" s="171" t="s">
        <v>216</v>
      </c>
      <c r="D7" s="333" t="s">
        <v>217</v>
      </c>
      <c r="E7" s="333"/>
      <c r="F7" s="333"/>
      <c r="G7" s="333"/>
      <c r="H7" s="333"/>
      <c r="L7" t="s">
        <v>218</v>
      </c>
    </row>
    <row r="8" spans="1:13" hidden="1" outlineLevel="1" x14ac:dyDescent="0.4">
      <c r="A8" s="163"/>
      <c r="C8" s="171" t="s">
        <v>219</v>
      </c>
      <c r="D8" s="333" t="s">
        <v>220</v>
      </c>
      <c r="E8" s="333"/>
      <c r="F8" s="333"/>
      <c r="G8" s="333"/>
      <c r="H8" s="333"/>
      <c r="L8" t="s">
        <v>221</v>
      </c>
    </row>
    <row r="9" spans="1:13" hidden="1" outlineLevel="1" x14ac:dyDescent="0.4">
      <c r="A9" s="163"/>
      <c r="C9" s="171" t="s">
        <v>222</v>
      </c>
      <c r="D9" s="333" t="s">
        <v>223</v>
      </c>
      <c r="E9" s="333"/>
      <c r="F9" s="333"/>
      <c r="G9" s="333"/>
      <c r="H9" s="333"/>
      <c r="L9" t="s">
        <v>224</v>
      </c>
    </row>
    <row r="10" spans="1:13" hidden="1" outlineLevel="1" x14ac:dyDescent="0.4">
      <c r="A10" s="163"/>
      <c r="C10" s="171" t="s">
        <v>225</v>
      </c>
      <c r="D10" s="333" t="s">
        <v>226</v>
      </c>
      <c r="E10" s="333"/>
      <c r="F10" s="333"/>
      <c r="G10" s="333"/>
      <c r="H10" s="333"/>
    </row>
    <row r="11" spans="1:13" hidden="1" outlineLevel="1" x14ac:dyDescent="0.4">
      <c r="A11" s="163"/>
      <c r="C11" s="171" t="s">
        <v>227</v>
      </c>
      <c r="D11" s="333" t="s">
        <v>228</v>
      </c>
      <c r="E11" s="333"/>
      <c r="F11" s="333"/>
      <c r="G11" s="333"/>
      <c r="H11" s="333"/>
    </row>
    <row r="12" spans="1:13" hidden="1" outlineLevel="1" x14ac:dyDescent="0.4">
      <c r="A12" s="163"/>
      <c r="C12" s="171" t="s">
        <v>229</v>
      </c>
      <c r="D12" s="333" t="s">
        <v>230</v>
      </c>
      <c r="E12" s="333"/>
      <c r="F12" s="333"/>
      <c r="G12" s="333"/>
      <c r="H12" s="333"/>
    </row>
    <row r="13" spans="1:13" hidden="1" outlineLevel="1" x14ac:dyDescent="0.4">
      <c r="A13" s="163"/>
      <c r="C13" s="172"/>
      <c r="D13" s="172"/>
      <c r="E13" s="172"/>
      <c r="F13" s="172"/>
      <c r="G13" s="172"/>
      <c r="H13" s="172"/>
    </row>
    <row r="14" spans="1:13" hidden="1" outlineLevel="1" x14ac:dyDescent="0.4">
      <c r="A14" s="163"/>
      <c r="C14" s="172"/>
      <c r="D14" s="172"/>
      <c r="E14" s="172"/>
      <c r="F14" s="172"/>
      <c r="G14" s="172"/>
      <c r="H14" s="172"/>
      <c r="I14" s="164" t="s">
        <v>231</v>
      </c>
      <c r="J14" s="169" t="s">
        <v>232</v>
      </c>
    </row>
    <row r="15" spans="1:13" hidden="1" outlineLevel="1" x14ac:dyDescent="0.4">
      <c r="A15" s="163"/>
      <c r="B15" s="167" t="s">
        <v>233</v>
      </c>
      <c r="C15" s="168" t="s">
        <v>234</v>
      </c>
      <c r="D15" s="330" t="s">
        <v>235</v>
      </c>
      <c r="E15" s="330"/>
      <c r="F15" s="330"/>
      <c r="G15" s="330"/>
      <c r="H15" s="330"/>
    </row>
    <row r="16" spans="1:13" ht="45" hidden="1" customHeight="1" outlineLevel="1" x14ac:dyDescent="0.4">
      <c r="A16" s="163"/>
      <c r="C16" s="171" t="s">
        <v>236</v>
      </c>
      <c r="D16" s="332" t="s">
        <v>237</v>
      </c>
      <c r="E16" s="332"/>
      <c r="F16" s="332"/>
      <c r="G16" s="332"/>
      <c r="H16" s="332"/>
    </row>
    <row r="17" spans="1:10" ht="81.75" hidden="1" customHeight="1" outlineLevel="1" x14ac:dyDescent="0.4">
      <c r="A17" s="163"/>
      <c r="C17" s="324" t="s">
        <v>168</v>
      </c>
      <c r="D17" s="327" t="s">
        <v>238</v>
      </c>
      <c r="E17" s="327"/>
      <c r="F17" s="327"/>
      <c r="G17" s="327"/>
      <c r="H17" s="327"/>
    </row>
    <row r="18" spans="1:10" ht="78" hidden="1" customHeight="1" outlineLevel="1" x14ac:dyDescent="0.4">
      <c r="A18" s="163"/>
      <c r="C18" s="325"/>
      <c r="D18" s="328" t="s">
        <v>239</v>
      </c>
      <c r="E18" s="328"/>
      <c r="F18" s="328"/>
      <c r="G18" s="328"/>
      <c r="H18" s="328"/>
    </row>
    <row r="19" spans="1:10" ht="112.5" hidden="1" customHeight="1" outlineLevel="1" x14ac:dyDescent="0.4">
      <c r="A19" s="163"/>
      <c r="C19" s="326"/>
      <c r="D19" s="329" t="s">
        <v>240</v>
      </c>
      <c r="E19" s="329"/>
      <c r="F19" s="329"/>
      <c r="G19" s="329"/>
      <c r="H19" s="329"/>
    </row>
    <row r="20" spans="1:10" s="176" customFormat="1" hidden="1" outlineLevel="1" x14ac:dyDescent="0.4">
      <c r="A20" s="173"/>
      <c r="B20" s="174"/>
      <c r="C20" s="175"/>
      <c r="D20" s="175"/>
      <c r="E20" s="175"/>
      <c r="F20" s="175"/>
      <c r="G20" s="175"/>
      <c r="H20" s="175"/>
      <c r="I20" s="174"/>
    </row>
    <row r="21" spans="1:10" s="176" customFormat="1" hidden="1" outlineLevel="1" x14ac:dyDescent="0.4">
      <c r="A21" s="173"/>
      <c r="B21" s="167" t="s">
        <v>241</v>
      </c>
      <c r="C21" s="168" t="s">
        <v>234</v>
      </c>
      <c r="D21" s="330" t="s">
        <v>242</v>
      </c>
      <c r="E21" s="330"/>
      <c r="F21" s="330"/>
      <c r="G21" s="330"/>
      <c r="H21" s="330"/>
      <c r="I21" s="174"/>
    </row>
    <row r="22" spans="1:10" s="176" customFormat="1" ht="52.5" hidden="1" customHeight="1" outlineLevel="1" x14ac:dyDescent="0.4">
      <c r="A22" s="173"/>
      <c r="B22" s="174"/>
      <c r="C22" s="324" t="s">
        <v>243</v>
      </c>
      <c r="D22" s="332" t="s">
        <v>244</v>
      </c>
      <c r="E22" s="332"/>
      <c r="F22" s="332"/>
      <c r="G22" s="332"/>
      <c r="H22" s="332"/>
      <c r="I22" s="174"/>
    </row>
    <row r="23" spans="1:10" s="176" customFormat="1" ht="84" hidden="1" customHeight="1" outlineLevel="1" x14ac:dyDescent="0.4">
      <c r="A23" s="173"/>
      <c r="B23" s="174"/>
      <c r="C23" s="336"/>
      <c r="D23" s="332" t="s">
        <v>245</v>
      </c>
      <c r="E23" s="332"/>
      <c r="F23" s="332"/>
      <c r="G23" s="332"/>
      <c r="H23" s="332"/>
      <c r="I23" s="174"/>
      <c r="J23" s="177"/>
    </row>
    <row r="24" spans="1:10" s="176" customFormat="1" hidden="1" outlineLevel="1" x14ac:dyDescent="0.4">
      <c r="A24" s="173"/>
      <c r="B24" s="174"/>
      <c r="C24" s="175"/>
      <c r="D24" s="175"/>
      <c r="E24" s="175"/>
      <c r="F24" s="175"/>
      <c r="G24" s="175"/>
      <c r="H24" s="175"/>
      <c r="I24" s="174"/>
    </row>
    <row r="25" spans="1:10" s="176" customFormat="1" hidden="1" outlineLevel="1" x14ac:dyDescent="0.4">
      <c r="A25" s="173"/>
      <c r="B25" s="164" t="s">
        <v>246</v>
      </c>
      <c r="C25" s="175"/>
      <c r="D25" s="175"/>
      <c r="E25" s="175"/>
      <c r="F25" s="175"/>
      <c r="G25" s="175"/>
      <c r="H25" s="175"/>
      <c r="I25" s="174"/>
    </row>
    <row r="26" spans="1:10" s="176" customFormat="1" hidden="1" outlineLevel="1" x14ac:dyDescent="0.4">
      <c r="A26" s="173"/>
      <c r="B26" s="164"/>
      <c r="C26" s="175"/>
      <c r="D26" s="175"/>
      <c r="E26" s="175"/>
      <c r="F26" s="175"/>
      <c r="G26" s="175"/>
      <c r="H26" s="175"/>
      <c r="I26" s="174"/>
    </row>
    <row r="27" spans="1:10" s="176" customFormat="1" ht="33" hidden="1" outlineLevel="1" x14ac:dyDescent="0.4">
      <c r="A27" s="173"/>
      <c r="B27" s="178" t="s">
        <v>247</v>
      </c>
      <c r="C27" s="168" t="s">
        <v>248</v>
      </c>
      <c r="D27" s="330" t="s">
        <v>235</v>
      </c>
      <c r="E27" s="330"/>
      <c r="F27" s="330"/>
      <c r="G27" s="330"/>
      <c r="H27" s="330"/>
      <c r="I27" s="174"/>
    </row>
    <row r="28" spans="1:10" s="176" customFormat="1" ht="56.25" hidden="1" customHeight="1" outlineLevel="1" x14ac:dyDescent="0.4">
      <c r="A28" s="173"/>
      <c r="B28" s="334"/>
      <c r="C28" s="171" t="s">
        <v>249</v>
      </c>
      <c r="D28" s="337" t="s">
        <v>250</v>
      </c>
      <c r="E28" s="337"/>
      <c r="F28" s="337"/>
      <c r="G28" s="337"/>
      <c r="H28" s="337"/>
      <c r="I28" s="174"/>
    </row>
    <row r="29" spans="1:10" s="176" customFormat="1" ht="53.25" hidden="1" customHeight="1" outlineLevel="1" x14ac:dyDescent="0.4">
      <c r="A29" s="173"/>
      <c r="B29" s="334"/>
      <c r="C29" s="171" t="s">
        <v>251</v>
      </c>
      <c r="D29" s="337" t="s">
        <v>252</v>
      </c>
      <c r="E29" s="337"/>
      <c r="F29" s="337"/>
      <c r="G29" s="337"/>
      <c r="H29" s="337"/>
      <c r="I29" s="174"/>
    </row>
    <row r="30" spans="1:10" s="176" customFormat="1" ht="96.75" hidden="1" customHeight="1" outlineLevel="1" x14ac:dyDescent="0.4">
      <c r="A30" s="173"/>
      <c r="B30" s="164"/>
      <c r="C30" s="171" t="s">
        <v>253</v>
      </c>
      <c r="D30" s="337" t="s">
        <v>254</v>
      </c>
      <c r="E30" s="337"/>
      <c r="F30" s="337"/>
      <c r="G30" s="337"/>
      <c r="H30" s="337"/>
      <c r="I30" s="174"/>
    </row>
    <row r="31" spans="1:10" s="176" customFormat="1" ht="105" hidden="1" customHeight="1" outlineLevel="1" x14ac:dyDescent="0.4">
      <c r="A31" s="173"/>
      <c r="B31" s="164"/>
      <c r="C31" s="171" t="s">
        <v>255</v>
      </c>
      <c r="D31" s="337" t="s">
        <v>256</v>
      </c>
      <c r="E31" s="337"/>
      <c r="F31" s="337"/>
      <c r="G31" s="337"/>
      <c r="H31" s="337"/>
      <c r="I31" s="174"/>
    </row>
    <row r="32" spans="1:10" s="176" customFormat="1" ht="108" hidden="1" customHeight="1" outlineLevel="1" x14ac:dyDescent="0.4">
      <c r="A32" s="173"/>
      <c r="B32" s="164"/>
      <c r="C32" s="179" t="s">
        <v>257</v>
      </c>
      <c r="D32" s="337" t="s">
        <v>258</v>
      </c>
      <c r="E32" s="337"/>
      <c r="F32" s="337"/>
      <c r="G32" s="337"/>
      <c r="H32" s="337"/>
      <c r="I32" s="174"/>
    </row>
    <row r="33" spans="1:10" s="176" customFormat="1" ht="84" hidden="1" customHeight="1" outlineLevel="1" x14ac:dyDescent="0.4">
      <c r="A33" s="173"/>
      <c r="B33" s="164"/>
      <c r="C33" s="171" t="s">
        <v>41</v>
      </c>
      <c r="D33" s="337" t="s">
        <v>259</v>
      </c>
      <c r="E33" s="337"/>
      <c r="F33" s="337"/>
      <c r="G33" s="337"/>
      <c r="H33" s="337"/>
      <c r="I33" s="174"/>
    </row>
    <row r="34" spans="1:10" s="176" customFormat="1" hidden="1" outlineLevel="1" x14ac:dyDescent="0.4">
      <c r="A34" s="173"/>
      <c r="B34" s="174"/>
      <c r="C34" s="175"/>
      <c r="D34" s="175"/>
      <c r="E34" s="175"/>
      <c r="F34" s="175"/>
      <c r="G34" s="175"/>
      <c r="H34" s="175"/>
      <c r="I34" s="174"/>
    </row>
    <row r="35" spans="1:10" s="176" customFormat="1" hidden="1" outlineLevel="1" x14ac:dyDescent="0.4">
      <c r="A35" s="173"/>
      <c r="B35" s="180" t="s">
        <v>241</v>
      </c>
      <c r="C35" s="168" t="s">
        <v>234</v>
      </c>
      <c r="D35" s="330" t="s">
        <v>242</v>
      </c>
      <c r="E35" s="330"/>
      <c r="F35" s="330"/>
      <c r="G35" s="330"/>
      <c r="H35" s="330"/>
      <c r="I35" s="174"/>
    </row>
    <row r="36" spans="1:10" s="176" customFormat="1" ht="34.5" hidden="1" customHeight="1" outlineLevel="1" x14ac:dyDescent="0.4">
      <c r="A36" s="173"/>
      <c r="B36" s="334"/>
      <c r="C36" s="171" t="s">
        <v>249</v>
      </c>
      <c r="D36" s="335" t="s">
        <v>260</v>
      </c>
      <c r="E36" s="335"/>
      <c r="F36" s="335"/>
      <c r="G36" s="335"/>
      <c r="H36" s="335"/>
      <c r="I36" s="174"/>
    </row>
    <row r="37" spans="1:10" s="176" customFormat="1" ht="53.25" hidden="1" customHeight="1" outlineLevel="1" x14ac:dyDescent="0.4">
      <c r="A37" s="173"/>
      <c r="B37" s="334"/>
      <c r="C37" s="171" t="s">
        <v>251</v>
      </c>
      <c r="D37" s="332" t="s">
        <v>261</v>
      </c>
      <c r="E37" s="332"/>
      <c r="F37" s="332"/>
      <c r="G37" s="332"/>
      <c r="H37" s="332"/>
      <c r="I37" s="174"/>
    </row>
    <row r="38" spans="1:10" s="176" customFormat="1" ht="34.5" hidden="1" customHeight="1" outlineLevel="1" x14ac:dyDescent="0.4">
      <c r="A38" s="173"/>
      <c r="B38" s="164"/>
      <c r="C38" s="171" t="s">
        <v>253</v>
      </c>
      <c r="D38" s="335" t="s">
        <v>260</v>
      </c>
      <c r="E38" s="335"/>
      <c r="F38" s="335"/>
      <c r="G38" s="335"/>
      <c r="H38" s="335"/>
      <c r="I38" s="174"/>
      <c r="J38" s="181"/>
    </row>
    <row r="39" spans="1:10" s="176" customFormat="1" ht="78.75" hidden="1" customHeight="1" outlineLevel="1" x14ac:dyDescent="0.4">
      <c r="A39" s="173"/>
      <c r="B39" s="164"/>
      <c r="C39" s="171" t="s">
        <v>255</v>
      </c>
      <c r="D39" s="332" t="s">
        <v>262</v>
      </c>
      <c r="E39" s="332"/>
      <c r="F39" s="332"/>
      <c r="G39" s="332"/>
      <c r="H39" s="332"/>
      <c r="I39" s="174"/>
    </row>
    <row r="40" spans="1:10" s="176" customFormat="1" ht="105" hidden="1" customHeight="1" outlineLevel="1" x14ac:dyDescent="0.4">
      <c r="A40" s="173"/>
      <c r="B40" s="164"/>
      <c r="C40" s="179" t="s">
        <v>257</v>
      </c>
      <c r="D40" s="337" t="s">
        <v>263</v>
      </c>
      <c r="E40" s="337"/>
      <c r="F40" s="337"/>
      <c r="G40" s="337"/>
      <c r="H40" s="337"/>
      <c r="I40" s="174"/>
    </row>
    <row r="41" spans="1:10" s="176" customFormat="1" ht="53.25" hidden="1" customHeight="1" outlineLevel="1" x14ac:dyDescent="0.4">
      <c r="A41" s="173"/>
      <c r="B41" s="164"/>
      <c r="C41" s="171" t="s">
        <v>41</v>
      </c>
      <c r="D41" s="332" t="s">
        <v>264</v>
      </c>
      <c r="E41" s="332"/>
      <c r="F41" s="332"/>
      <c r="G41" s="332"/>
      <c r="H41" s="332"/>
      <c r="I41" s="174"/>
    </row>
    <row r="42" spans="1:10" s="176" customFormat="1" hidden="1" outlineLevel="1" x14ac:dyDescent="0.4">
      <c r="A42" s="173"/>
      <c r="B42" s="174"/>
      <c r="C42" s="175"/>
      <c r="D42" s="175"/>
      <c r="E42" s="175"/>
      <c r="F42" s="175"/>
      <c r="G42" s="175"/>
      <c r="H42" s="175"/>
      <c r="I42" s="174"/>
    </row>
    <row r="43" spans="1:10" s="176" customFormat="1" hidden="1" outlineLevel="1" x14ac:dyDescent="0.4">
      <c r="A43" s="173"/>
      <c r="B43" s="164" t="s">
        <v>265</v>
      </c>
      <c r="C43" s="175"/>
      <c r="D43" s="175"/>
      <c r="E43" s="175"/>
      <c r="F43" s="175"/>
      <c r="G43" s="175"/>
      <c r="H43" s="175"/>
      <c r="I43" s="174"/>
    </row>
    <row r="44" spans="1:10" s="176" customFormat="1" hidden="1" outlineLevel="1" x14ac:dyDescent="0.4">
      <c r="A44" s="173"/>
      <c r="B44" s="164"/>
      <c r="C44" s="175"/>
      <c r="D44" s="175"/>
      <c r="E44" s="175"/>
      <c r="F44" s="175"/>
      <c r="G44" s="175"/>
      <c r="H44" s="175"/>
      <c r="I44" s="174"/>
    </row>
    <row r="45" spans="1:10" s="176" customFormat="1" ht="33" hidden="1" outlineLevel="1" x14ac:dyDescent="0.4">
      <c r="A45" s="173"/>
      <c r="B45" s="178" t="s">
        <v>247</v>
      </c>
      <c r="C45" s="168" t="s">
        <v>248</v>
      </c>
      <c r="D45" s="330" t="s">
        <v>235</v>
      </c>
      <c r="E45" s="330"/>
      <c r="F45" s="330"/>
      <c r="G45" s="330"/>
      <c r="H45" s="330"/>
      <c r="I45" s="174"/>
    </row>
    <row r="46" spans="1:10" s="176" customFormat="1" ht="48" hidden="1" customHeight="1" outlineLevel="1" x14ac:dyDescent="0.4">
      <c r="A46" s="173"/>
      <c r="B46" s="334"/>
      <c r="C46" s="182" t="s">
        <v>266</v>
      </c>
      <c r="D46" s="337" t="s">
        <v>267</v>
      </c>
      <c r="E46" s="337"/>
      <c r="F46" s="337"/>
      <c r="G46" s="337"/>
      <c r="H46" s="337"/>
      <c r="I46" s="174"/>
    </row>
    <row r="47" spans="1:10" s="176" customFormat="1" ht="38.25" hidden="1" customHeight="1" outlineLevel="1" x14ac:dyDescent="0.4">
      <c r="A47" s="173"/>
      <c r="B47" s="334"/>
      <c r="C47" s="182" t="s">
        <v>268</v>
      </c>
      <c r="D47" s="337" t="s">
        <v>269</v>
      </c>
      <c r="E47" s="337"/>
      <c r="F47" s="337"/>
      <c r="G47" s="337"/>
      <c r="H47" s="337"/>
      <c r="I47" s="174"/>
    </row>
    <row r="48" spans="1:10" s="176" customFormat="1" ht="60" hidden="1" customHeight="1" outlineLevel="1" x14ac:dyDescent="0.4">
      <c r="A48" s="173"/>
      <c r="B48" s="164"/>
      <c r="C48" s="182" t="s">
        <v>270</v>
      </c>
      <c r="D48" s="332" t="s">
        <v>271</v>
      </c>
      <c r="E48" s="332"/>
      <c r="F48" s="332"/>
      <c r="G48" s="332"/>
      <c r="H48" s="332"/>
      <c r="I48" s="174"/>
    </row>
    <row r="49" spans="1:13" s="176" customFormat="1" ht="85.5" hidden="1" customHeight="1" outlineLevel="1" x14ac:dyDescent="0.4">
      <c r="A49" s="173"/>
      <c r="B49" s="164"/>
      <c r="C49" s="182" t="s">
        <v>272</v>
      </c>
      <c r="D49" s="337" t="s">
        <v>273</v>
      </c>
      <c r="E49" s="337"/>
      <c r="F49" s="337"/>
      <c r="G49" s="337"/>
      <c r="H49" s="337"/>
      <c r="I49" s="174"/>
    </row>
    <row r="50" spans="1:13" s="176" customFormat="1" ht="57.75" hidden="1" customHeight="1" outlineLevel="1" x14ac:dyDescent="0.4">
      <c r="A50" s="173"/>
      <c r="B50" s="164"/>
      <c r="C50" s="183" t="s">
        <v>22</v>
      </c>
      <c r="D50" s="332" t="s">
        <v>274</v>
      </c>
      <c r="E50" s="335"/>
      <c r="F50" s="335"/>
      <c r="G50" s="335"/>
      <c r="H50" s="335"/>
      <c r="I50" s="174"/>
    </row>
    <row r="51" spans="1:13" s="176" customFormat="1" ht="48.75" hidden="1" customHeight="1" outlineLevel="1" x14ac:dyDescent="0.4">
      <c r="A51" s="173"/>
      <c r="B51" s="164"/>
      <c r="C51" s="182" t="s">
        <v>23</v>
      </c>
      <c r="D51" s="335" t="s">
        <v>275</v>
      </c>
      <c r="E51" s="335"/>
      <c r="F51" s="335"/>
      <c r="G51" s="335"/>
      <c r="H51" s="335"/>
      <c r="I51" s="174"/>
    </row>
    <row r="52" spans="1:13" s="176" customFormat="1" hidden="1" outlineLevel="1" x14ac:dyDescent="0.4">
      <c r="A52" s="173"/>
      <c r="B52" s="174"/>
      <c r="C52" s="175"/>
      <c r="D52" s="175"/>
      <c r="E52" s="175"/>
      <c r="F52" s="175"/>
      <c r="G52" s="175"/>
      <c r="H52" s="175"/>
      <c r="I52" s="174"/>
    </row>
    <row r="53" spans="1:13" s="176" customFormat="1" hidden="1" outlineLevel="1" x14ac:dyDescent="0.4">
      <c r="A53" s="173"/>
      <c r="B53" s="180" t="s">
        <v>241</v>
      </c>
      <c r="C53" s="168" t="s">
        <v>234</v>
      </c>
      <c r="D53" s="330" t="s">
        <v>242</v>
      </c>
      <c r="E53" s="330"/>
      <c r="F53" s="330"/>
      <c r="G53" s="330"/>
      <c r="H53" s="330"/>
      <c r="I53" s="174"/>
    </row>
    <row r="54" spans="1:13" s="176" customFormat="1" ht="71.25" hidden="1" customHeight="1" outlineLevel="1" x14ac:dyDescent="0.4">
      <c r="A54" s="173"/>
      <c r="B54" s="334"/>
      <c r="C54" s="182" t="s">
        <v>266</v>
      </c>
      <c r="D54" s="337" t="s">
        <v>276</v>
      </c>
      <c r="E54" s="337"/>
      <c r="F54" s="337"/>
      <c r="G54" s="337"/>
      <c r="H54" s="337"/>
      <c r="I54" s="174"/>
    </row>
    <row r="55" spans="1:13" s="176" customFormat="1" ht="53.25" hidden="1" customHeight="1" outlineLevel="1" x14ac:dyDescent="0.4">
      <c r="A55" s="173"/>
      <c r="B55" s="334"/>
      <c r="C55" s="182" t="s">
        <v>277</v>
      </c>
      <c r="D55" s="332" t="s">
        <v>278</v>
      </c>
      <c r="E55" s="332"/>
      <c r="F55" s="332"/>
      <c r="G55" s="332"/>
      <c r="H55" s="332"/>
      <c r="I55" s="174"/>
    </row>
    <row r="56" spans="1:13" s="176" customFormat="1" ht="34.5" hidden="1" customHeight="1" outlineLevel="1" x14ac:dyDescent="0.4">
      <c r="A56" s="173"/>
      <c r="B56" s="164"/>
      <c r="C56" s="182" t="s">
        <v>270</v>
      </c>
      <c r="D56" s="332" t="s">
        <v>279</v>
      </c>
      <c r="E56" s="332"/>
      <c r="F56" s="332"/>
      <c r="G56" s="332"/>
      <c r="H56" s="332"/>
      <c r="I56" s="174"/>
      <c r="J56" s="181"/>
    </row>
    <row r="57" spans="1:13" s="176" customFormat="1" ht="49.5" hidden="1" customHeight="1" outlineLevel="1" x14ac:dyDescent="0.4">
      <c r="A57" s="173"/>
      <c r="B57" s="164"/>
      <c r="C57" s="182" t="s">
        <v>272</v>
      </c>
      <c r="D57" s="335" t="s">
        <v>260</v>
      </c>
      <c r="E57" s="335"/>
      <c r="F57" s="335"/>
      <c r="G57" s="335"/>
      <c r="H57" s="335"/>
      <c r="I57" s="174"/>
    </row>
    <row r="58" spans="1:13" s="176" customFormat="1" ht="76.5" hidden="1" customHeight="1" outlineLevel="1" x14ac:dyDescent="0.4">
      <c r="A58" s="173"/>
      <c r="B58" s="164"/>
      <c r="C58" s="179" t="s">
        <v>22</v>
      </c>
      <c r="D58" s="332" t="s">
        <v>280</v>
      </c>
      <c r="E58" s="332"/>
      <c r="F58" s="332"/>
      <c r="G58" s="332"/>
      <c r="H58" s="332"/>
      <c r="I58" s="174"/>
    </row>
    <row r="59" spans="1:13" s="176" customFormat="1" ht="53.25" hidden="1" customHeight="1" outlineLevel="1" x14ac:dyDescent="0.4">
      <c r="A59" s="173"/>
      <c r="B59" s="164"/>
      <c r="C59" s="182" t="s">
        <v>23</v>
      </c>
      <c r="D59" s="332" t="s">
        <v>281</v>
      </c>
      <c r="E59" s="332"/>
      <c r="F59" s="332"/>
      <c r="G59" s="332"/>
      <c r="H59" s="332"/>
      <c r="I59" s="174"/>
    </row>
    <row r="60" spans="1:13" s="176" customFormat="1" hidden="1" outlineLevel="1" x14ac:dyDescent="0.4">
      <c r="A60" s="173"/>
      <c r="B60" s="164"/>
      <c r="C60" s="175"/>
      <c r="D60" s="175"/>
      <c r="E60" s="175"/>
      <c r="F60" s="175"/>
      <c r="G60" s="175"/>
      <c r="H60" s="175"/>
      <c r="I60" s="174"/>
    </row>
    <row r="61" spans="1:13" s="176" customFormat="1" collapsed="1" x14ac:dyDescent="0.4">
      <c r="A61" s="173"/>
      <c r="B61" s="173"/>
      <c r="C61" s="173"/>
      <c r="D61" s="173"/>
      <c r="E61" s="174"/>
      <c r="F61" s="174"/>
      <c r="G61" s="174"/>
      <c r="H61" s="174"/>
      <c r="I61" s="174"/>
      <c r="L61" s="184"/>
      <c r="M61" s="185"/>
    </row>
    <row r="62" spans="1:13" x14ac:dyDescent="0.4">
      <c r="A62" s="162" t="s">
        <v>282</v>
      </c>
      <c r="B62" s="163" t="s">
        <v>283</v>
      </c>
      <c r="C62" s="163"/>
      <c r="D62" s="163"/>
      <c r="M62" s="169"/>
    </row>
    <row r="63" spans="1:13" hidden="1" outlineLevel="1" x14ac:dyDescent="0.4">
      <c r="A63" s="162"/>
      <c r="B63" s="164" t="s">
        <v>284</v>
      </c>
      <c r="C63" s="163"/>
      <c r="D63" s="163"/>
      <c r="M63" s="169"/>
    </row>
    <row r="64" spans="1:13" hidden="1" outlineLevel="1" x14ac:dyDescent="0.4">
      <c r="A64" s="162"/>
      <c r="B64" s="167" t="s">
        <v>206</v>
      </c>
      <c r="C64" s="168" t="s">
        <v>207</v>
      </c>
      <c r="D64" s="330" t="s">
        <v>208</v>
      </c>
      <c r="E64" s="330"/>
      <c r="F64" s="330"/>
      <c r="G64" s="330"/>
      <c r="H64" s="330"/>
    </row>
    <row r="65" spans="1:8" hidden="1" outlineLevel="1" x14ac:dyDescent="0.4">
      <c r="A65" s="162"/>
      <c r="B65" s="170"/>
      <c r="C65" s="171" t="s">
        <v>211</v>
      </c>
      <c r="D65" s="331" t="s">
        <v>212</v>
      </c>
      <c r="E65" s="331"/>
      <c r="F65" s="331"/>
      <c r="G65" s="331"/>
      <c r="H65" s="331"/>
    </row>
    <row r="66" spans="1:8" hidden="1" outlineLevel="1" x14ac:dyDescent="0.4">
      <c r="A66" s="163"/>
      <c r="C66" s="171" t="s">
        <v>285</v>
      </c>
      <c r="D66" s="331" t="s">
        <v>286</v>
      </c>
      <c r="E66" s="331"/>
      <c r="F66" s="331"/>
      <c r="G66" s="331"/>
      <c r="H66" s="331"/>
    </row>
    <row r="67" spans="1:8" hidden="1" outlineLevel="1" x14ac:dyDescent="0.4">
      <c r="A67" s="163"/>
      <c r="C67" s="171" t="s">
        <v>222</v>
      </c>
      <c r="D67" s="331" t="s">
        <v>223</v>
      </c>
      <c r="E67" s="331"/>
      <c r="F67" s="331"/>
      <c r="G67" s="331"/>
      <c r="H67" s="331"/>
    </row>
    <row r="68" spans="1:8" hidden="1" outlineLevel="1" x14ac:dyDescent="0.4">
      <c r="A68" s="163"/>
      <c r="C68" s="171" t="s">
        <v>225</v>
      </c>
      <c r="D68" s="331" t="s">
        <v>226</v>
      </c>
      <c r="E68" s="331"/>
      <c r="F68" s="331"/>
      <c r="G68" s="331"/>
      <c r="H68" s="331"/>
    </row>
    <row r="69" spans="1:8" hidden="1" outlineLevel="1" x14ac:dyDescent="0.4">
      <c r="A69" s="163"/>
      <c r="C69" s="171" t="s">
        <v>227</v>
      </c>
      <c r="D69" s="331" t="s">
        <v>228</v>
      </c>
      <c r="E69" s="331"/>
      <c r="F69" s="331"/>
      <c r="G69" s="331"/>
      <c r="H69" s="331"/>
    </row>
    <row r="70" spans="1:8" hidden="1" outlineLevel="1" x14ac:dyDescent="0.4">
      <c r="A70" s="163"/>
      <c r="C70" s="171" t="s">
        <v>287</v>
      </c>
      <c r="D70" s="331" t="s">
        <v>288</v>
      </c>
      <c r="E70" s="331"/>
      <c r="F70" s="331"/>
      <c r="G70" s="331"/>
      <c r="H70" s="331"/>
    </row>
    <row r="71" spans="1:8" hidden="1" outlineLevel="1" x14ac:dyDescent="0.4">
      <c r="A71" s="163"/>
      <c r="C71" s="171" t="s">
        <v>289</v>
      </c>
      <c r="D71" s="331" t="s">
        <v>290</v>
      </c>
      <c r="E71" s="331"/>
      <c r="F71" s="331"/>
      <c r="G71" s="331"/>
      <c r="H71" s="331"/>
    </row>
    <row r="72" spans="1:8" hidden="1" outlineLevel="1" x14ac:dyDescent="0.4">
      <c r="A72" s="163"/>
      <c r="C72" s="163"/>
      <c r="D72" s="163"/>
    </row>
    <row r="73" spans="1:8" hidden="1" outlineLevel="1" x14ac:dyDescent="0.4">
      <c r="A73" s="162"/>
      <c r="B73" s="164" t="s">
        <v>291</v>
      </c>
    </row>
    <row r="74" spans="1:8" hidden="1" outlineLevel="1" x14ac:dyDescent="0.4">
      <c r="A74" s="162"/>
      <c r="B74" s="167" t="s">
        <v>236</v>
      </c>
      <c r="C74" s="168" t="s">
        <v>292</v>
      </c>
      <c r="D74" s="330" t="s">
        <v>87</v>
      </c>
      <c r="E74" s="330"/>
      <c r="F74" s="330"/>
      <c r="G74" s="330"/>
      <c r="H74" s="330"/>
    </row>
    <row r="75" spans="1:8" hidden="1" outlineLevel="1" x14ac:dyDescent="0.4">
      <c r="A75" s="162"/>
      <c r="C75" s="171" t="s">
        <v>293</v>
      </c>
      <c r="D75" s="331" t="s">
        <v>294</v>
      </c>
      <c r="E75" s="331"/>
      <c r="F75" s="331"/>
      <c r="G75" s="331"/>
      <c r="H75" s="331"/>
    </row>
    <row r="76" spans="1:8" hidden="1" outlineLevel="1" x14ac:dyDescent="0.4">
      <c r="A76" s="162"/>
      <c r="C76" s="171" t="s">
        <v>295</v>
      </c>
      <c r="D76" s="331" t="s">
        <v>294</v>
      </c>
      <c r="E76" s="331"/>
      <c r="F76" s="331"/>
      <c r="G76" s="331"/>
      <c r="H76" s="331"/>
    </row>
    <row r="77" spans="1:8" hidden="1" outlineLevel="1" x14ac:dyDescent="0.4">
      <c r="A77" s="162"/>
      <c r="C77" s="171" t="s">
        <v>296</v>
      </c>
      <c r="D77" s="331" t="s">
        <v>294</v>
      </c>
      <c r="E77" s="331"/>
      <c r="F77" s="331"/>
      <c r="G77" s="331"/>
      <c r="H77" s="331"/>
    </row>
    <row r="78" spans="1:8" hidden="1" outlineLevel="1" x14ac:dyDescent="0.4">
      <c r="A78" s="162"/>
      <c r="C78" s="171" t="s">
        <v>297</v>
      </c>
      <c r="D78" s="331" t="s">
        <v>294</v>
      </c>
      <c r="E78" s="331"/>
      <c r="F78" s="331"/>
      <c r="G78" s="331"/>
      <c r="H78" s="331"/>
    </row>
    <row r="79" spans="1:8" hidden="1" outlineLevel="1" x14ac:dyDescent="0.4">
      <c r="A79" s="162"/>
      <c r="C79" s="172"/>
      <c r="D79" s="338"/>
      <c r="E79" s="338"/>
      <c r="F79" s="338"/>
      <c r="G79" s="338"/>
      <c r="H79" s="172"/>
    </row>
    <row r="80" spans="1:8" hidden="1" outlineLevel="1" x14ac:dyDescent="0.4">
      <c r="A80" s="163"/>
      <c r="B80" s="167" t="s">
        <v>298</v>
      </c>
      <c r="C80" s="168" t="s">
        <v>292</v>
      </c>
      <c r="D80" s="330" t="s">
        <v>87</v>
      </c>
      <c r="E80" s="330"/>
      <c r="F80" s="330"/>
      <c r="G80" s="330"/>
      <c r="H80" s="330"/>
    </row>
    <row r="81" spans="1:8" hidden="1" outlineLevel="1" x14ac:dyDescent="0.4">
      <c r="A81" s="163"/>
      <c r="B81" s="170"/>
      <c r="C81" s="171" t="s">
        <v>299</v>
      </c>
      <c r="D81" s="331" t="s">
        <v>294</v>
      </c>
      <c r="E81" s="331"/>
      <c r="F81" s="331"/>
      <c r="G81" s="331"/>
      <c r="H81" s="331"/>
    </row>
    <row r="82" spans="1:8" hidden="1" outlineLevel="1" x14ac:dyDescent="0.4">
      <c r="A82" s="163"/>
      <c r="B82" s="170"/>
      <c r="C82" s="171" t="s">
        <v>300</v>
      </c>
      <c r="D82" s="331" t="s">
        <v>294</v>
      </c>
      <c r="E82" s="331"/>
      <c r="F82" s="331"/>
      <c r="G82" s="331"/>
      <c r="H82" s="331"/>
    </row>
    <row r="83" spans="1:8" hidden="1" outlineLevel="1" x14ac:dyDescent="0.4">
      <c r="A83" s="163"/>
      <c r="B83" s="170"/>
      <c r="C83" s="171" t="s">
        <v>301</v>
      </c>
      <c r="D83" s="331" t="s">
        <v>294</v>
      </c>
      <c r="E83" s="331"/>
      <c r="F83" s="331"/>
      <c r="G83" s="331"/>
      <c r="H83" s="331"/>
    </row>
    <row r="84" spans="1:8" hidden="1" outlineLevel="1" x14ac:dyDescent="0.4">
      <c r="A84" s="163"/>
      <c r="B84" s="170"/>
      <c r="C84" s="171" t="s">
        <v>302</v>
      </c>
      <c r="D84" s="331" t="s">
        <v>294</v>
      </c>
      <c r="E84" s="331"/>
      <c r="F84" s="331"/>
      <c r="G84" s="331"/>
      <c r="H84" s="331"/>
    </row>
    <row r="85" spans="1:8" hidden="1" outlineLevel="1" x14ac:dyDescent="0.4">
      <c r="A85" s="163"/>
      <c r="B85" s="170"/>
      <c r="C85" s="171" t="s">
        <v>303</v>
      </c>
      <c r="D85" s="331" t="s">
        <v>294</v>
      </c>
      <c r="E85" s="331"/>
      <c r="F85" s="331"/>
      <c r="G85" s="331"/>
      <c r="H85" s="331"/>
    </row>
    <row r="86" spans="1:8" hidden="1" outlineLevel="1" x14ac:dyDescent="0.4">
      <c r="A86" s="163"/>
      <c r="B86" s="170"/>
      <c r="C86" s="171" t="s">
        <v>296</v>
      </c>
      <c r="D86" s="331" t="s">
        <v>294</v>
      </c>
      <c r="E86" s="331"/>
      <c r="F86" s="331"/>
      <c r="G86" s="331"/>
      <c r="H86" s="331"/>
    </row>
    <row r="87" spans="1:8" hidden="1" outlineLevel="1" x14ac:dyDescent="0.4">
      <c r="A87" s="163"/>
      <c r="B87" s="170"/>
      <c r="C87" s="171" t="s">
        <v>297</v>
      </c>
      <c r="D87" s="331" t="s">
        <v>294</v>
      </c>
      <c r="E87" s="331"/>
      <c r="F87" s="331"/>
      <c r="G87" s="331"/>
      <c r="H87" s="331"/>
    </row>
    <row r="88" spans="1:8" hidden="1" outlineLevel="1" x14ac:dyDescent="0.4">
      <c r="A88" s="163"/>
      <c r="B88" s="170"/>
      <c r="C88" s="186"/>
    </row>
    <row r="89" spans="1:8" hidden="1" outlineLevel="1" x14ac:dyDescent="0.4">
      <c r="A89" s="162"/>
      <c r="B89" s="167" t="s">
        <v>304</v>
      </c>
      <c r="C89" s="168" t="s">
        <v>292</v>
      </c>
      <c r="D89" s="330" t="s">
        <v>87</v>
      </c>
      <c r="E89" s="330"/>
      <c r="F89" s="330"/>
      <c r="G89" s="330"/>
      <c r="H89" s="330"/>
    </row>
    <row r="90" spans="1:8" hidden="1" outlineLevel="1" x14ac:dyDescent="0.4">
      <c r="A90" s="162"/>
      <c r="B90" s="170"/>
      <c r="C90" s="187" t="s">
        <v>305</v>
      </c>
      <c r="D90" s="331" t="s">
        <v>294</v>
      </c>
      <c r="E90" s="331"/>
      <c r="F90" s="331"/>
      <c r="G90" s="331"/>
      <c r="H90" s="331"/>
    </row>
    <row r="91" spans="1:8" hidden="1" outlineLevel="1" x14ac:dyDescent="0.4">
      <c r="A91" s="162"/>
      <c r="B91" s="170"/>
      <c r="C91" s="187" t="s">
        <v>306</v>
      </c>
      <c r="D91" s="331" t="s">
        <v>294</v>
      </c>
      <c r="E91" s="331"/>
      <c r="F91" s="331"/>
      <c r="G91" s="331"/>
      <c r="H91" s="331"/>
    </row>
    <row r="92" spans="1:8" hidden="1" outlineLevel="1" x14ac:dyDescent="0.4">
      <c r="A92" s="162"/>
      <c r="B92" s="170"/>
      <c r="C92" s="187" t="s">
        <v>302</v>
      </c>
      <c r="D92" s="331" t="s">
        <v>294</v>
      </c>
      <c r="E92" s="331"/>
      <c r="F92" s="331"/>
      <c r="G92" s="331"/>
      <c r="H92" s="331"/>
    </row>
    <row r="93" spans="1:8" hidden="1" outlineLevel="1" x14ac:dyDescent="0.4">
      <c r="A93" s="162"/>
      <c r="B93" s="170"/>
      <c r="C93" s="187" t="s">
        <v>307</v>
      </c>
      <c r="D93" s="331" t="s">
        <v>294</v>
      </c>
      <c r="E93" s="331"/>
      <c r="F93" s="331"/>
      <c r="G93" s="331"/>
      <c r="H93" s="331"/>
    </row>
    <row r="94" spans="1:8" hidden="1" outlineLevel="1" x14ac:dyDescent="0.4">
      <c r="A94" s="162"/>
      <c r="B94" s="170"/>
      <c r="C94" s="187" t="s">
        <v>308</v>
      </c>
      <c r="D94" s="331" t="s">
        <v>294</v>
      </c>
      <c r="E94" s="331"/>
      <c r="F94" s="331"/>
      <c r="G94" s="331"/>
      <c r="H94" s="331"/>
    </row>
    <row r="95" spans="1:8" hidden="1" outlineLevel="1" x14ac:dyDescent="0.4">
      <c r="A95" s="162"/>
      <c r="B95" s="170"/>
      <c r="C95" s="187" t="s">
        <v>309</v>
      </c>
      <c r="D95" s="331" t="s">
        <v>294</v>
      </c>
      <c r="E95" s="331"/>
      <c r="F95" s="331"/>
      <c r="G95" s="331"/>
      <c r="H95" s="331"/>
    </row>
    <row r="96" spans="1:8" hidden="1" outlineLevel="1" x14ac:dyDescent="0.4">
      <c r="A96" s="162"/>
      <c r="B96" s="170"/>
      <c r="C96" s="187" t="s">
        <v>297</v>
      </c>
      <c r="D96" s="331" t="s">
        <v>294</v>
      </c>
      <c r="E96" s="331"/>
      <c r="F96" s="331"/>
      <c r="G96" s="331"/>
      <c r="H96" s="331"/>
    </row>
    <row r="97" spans="1:8" hidden="1" outlineLevel="1" x14ac:dyDescent="0.4">
      <c r="A97" s="163"/>
      <c r="C97" s="186"/>
    </row>
    <row r="98" spans="1:8" hidden="1" outlineLevel="1" x14ac:dyDescent="0.4">
      <c r="A98" s="162"/>
      <c r="B98" s="167" t="s">
        <v>310</v>
      </c>
      <c r="C98" s="168" t="s">
        <v>311</v>
      </c>
      <c r="D98" s="330" t="s">
        <v>87</v>
      </c>
      <c r="E98" s="330"/>
      <c r="F98" s="330"/>
      <c r="G98" s="330"/>
      <c r="H98" s="330"/>
    </row>
    <row r="99" spans="1:8" hidden="1" outlineLevel="1" x14ac:dyDescent="0.4">
      <c r="A99" s="162"/>
      <c r="B99" s="167"/>
      <c r="C99" s="187" t="s">
        <v>305</v>
      </c>
      <c r="D99" s="331" t="s">
        <v>294</v>
      </c>
      <c r="E99" s="331"/>
      <c r="F99" s="331"/>
      <c r="G99" s="331"/>
      <c r="H99" s="331"/>
    </row>
    <row r="100" spans="1:8" hidden="1" outlineLevel="1" x14ac:dyDescent="0.4">
      <c r="A100" s="162"/>
      <c r="B100" s="167"/>
      <c r="C100" s="187" t="s">
        <v>306</v>
      </c>
      <c r="D100" s="331" t="s">
        <v>294</v>
      </c>
      <c r="E100" s="331"/>
      <c r="F100" s="331"/>
      <c r="G100" s="331"/>
      <c r="H100" s="331"/>
    </row>
    <row r="101" spans="1:8" hidden="1" outlineLevel="1" x14ac:dyDescent="0.4">
      <c r="A101" s="162"/>
      <c r="B101" s="167"/>
      <c r="C101" s="187" t="s">
        <v>302</v>
      </c>
      <c r="D101" s="331" t="s">
        <v>294</v>
      </c>
      <c r="E101" s="331"/>
      <c r="F101" s="331"/>
      <c r="G101" s="331"/>
      <c r="H101" s="331"/>
    </row>
    <row r="102" spans="1:8" hidden="1" outlineLevel="1" x14ac:dyDescent="0.4">
      <c r="A102" s="162"/>
      <c r="B102" s="167"/>
      <c r="C102" s="187" t="s">
        <v>307</v>
      </c>
      <c r="D102" s="331" t="s">
        <v>294</v>
      </c>
      <c r="E102" s="331"/>
      <c r="F102" s="331"/>
      <c r="G102" s="331"/>
      <c r="H102" s="331"/>
    </row>
    <row r="103" spans="1:8" hidden="1" outlineLevel="1" x14ac:dyDescent="0.4">
      <c r="A103" s="162"/>
      <c r="B103" s="170"/>
      <c r="C103" s="187" t="s">
        <v>309</v>
      </c>
      <c r="D103" s="331" t="s">
        <v>294</v>
      </c>
      <c r="E103" s="331"/>
      <c r="F103" s="331"/>
      <c r="G103" s="331"/>
      <c r="H103" s="331"/>
    </row>
    <row r="104" spans="1:8" hidden="1" outlineLevel="1" x14ac:dyDescent="0.4">
      <c r="A104" s="162"/>
      <c r="B104" s="170"/>
      <c r="C104" s="187" t="s">
        <v>297</v>
      </c>
      <c r="D104" s="331" t="s">
        <v>294</v>
      </c>
      <c r="E104" s="331"/>
      <c r="F104" s="331"/>
      <c r="G104" s="331"/>
      <c r="H104" s="331"/>
    </row>
    <row r="105" spans="1:8" collapsed="1" x14ac:dyDescent="0.4">
      <c r="A105" s="163"/>
      <c r="B105" s="163"/>
      <c r="C105" s="163"/>
      <c r="D105" s="163"/>
    </row>
    <row r="106" spans="1:8" x14ac:dyDescent="0.4">
      <c r="A106" s="162" t="s">
        <v>312</v>
      </c>
      <c r="B106" s="163" t="s">
        <v>313</v>
      </c>
      <c r="C106" s="163"/>
      <c r="D106" s="163"/>
    </row>
    <row r="107" spans="1:8" hidden="1" outlineLevel="1" x14ac:dyDescent="0.4">
      <c r="A107" s="162"/>
      <c r="B107" s="164" t="s">
        <v>314</v>
      </c>
      <c r="C107" s="163"/>
      <c r="D107" s="163"/>
    </row>
    <row r="108" spans="1:8" hidden="1" outlineLevel="1" x14ac:dyDescent="0.4">
      <c r="A108" s="162"/>
      <c r="B108" s="167" t="s">
        <v>315</v>
      </c>
      <c r="C108" s="168" t="s">
        <v>316</v>
      </c>
      <c r="D108" s="330" t="s">
        <v>317</v>
      </c>
      <c r="E108" s="330"/>
      <c r="F108" s="330"/>
      <c r="G108" s="330"/>
      <c r="H108" s="330"/>
    </row>
    <row r="109" spans="1:8" hidden="1" outlineLevel="1" x14ac:dyDescent="0.4">
      <c r="A109" s="162"/>
      <c r="B109" s="163"/>
      <c r="C109" s="171" t="s">
        <v>105</v>
      </c>
      <c r="D109" s="331" t="s">
        <v>318</v>
      </c>
      <c r="E109" s="331"/>
      <c r="F109" s="331"/>
      <c r="G109" s="331"/>
      <c r="H109" s="331"/>
    </row>
    <row r="110" spans="1:8" hidden="1" outlineLevel="1" x14ac:dyDescent="0.4">
      <c r="A110" s="162"/>
      <c r="B110" s="163"/>
      <c r="C110" s="171" t="s">
        <v>77</v>
      </c>
      <c r="D110" s="331" t="s">
        <v>319</v>
      </c>
      <c r="E110" s="331"/>
      <c r="F110" s="331"/>
      <c r="G110" s="331"/>
      <c r="H110" s="331"/>
    </row>
    <row r="111" spans="1:8" hidden="1" outlineLevel="1" x14ac:dyDescent="0.4">
      <c r="A111" s="162"/>
      <c r="B111" s="163"/>
      <c r="C111" s="171" t="s">
        <v>79</v>
      </c>
      <c r="D111" s="331" t="s">
        <v>320</v>
      </c>
      <c r="E111" s="331"/>
      <c r="F111" s="331"/>
      <c r="G111" s="331"/>
      <c r="H111" s="331"/>
    </row>
    <row r="112" spans="1:8" hidden="1" outlineLevel="1" x14ac:dyDescent="0.4">
      <c r="A112" s="162"/>
      <c r="B112" s="163"/>
      <c r="C112" s="171" t="s">
        <v>104</v>
      </c>
      <c r="D112" s="331" t="s">
        <v>321</v>
      </c>
      <c r="E112" s="331"/>
      <c r="F112" s="331"/>
      <c r="G112" s="331"/>
      <c r="H112" s="331"/>
    </row>
    <row r="113" spans="1:8" hidden="1" outlineLevel="1" x14ac:dyDescent="0.4">
      <c r="A113" s="162"/>
      <c r="B113" s="163"/>
      <c r="C113" s="171" t="s">
        <v>103</v>
      </c>
      <c r="D113" s="331" t="s">
        <v>322</v>
      </c>
      <c r="E113" s="331"/>
      <c r="F113" s="331"/>
      <c r="G113" s="331"/>
      <c r="H113" s="331"/>
    </row>
    <row r="114" spans="1:8" hidden="1" outlineLevel="1" x14ac:dyDescent="0.4">
      <c r="A114" s="162"/>
      <c r="B114" s="163"/>
      <c r="C114" s="171" t="s">
        <v>62</v>
      </c>
      <c r="D114" s="331" t="s">
        <v>323</v>
      </c>
      <c r="E114" s="331"/>
      <c r="F114" s="331"/>
      <c r="G114" s="331"/>
      <c r="H114" s="331"/>
    </row>
    <row r="115" spans="1:8" hidden="1" outlineLevel="1" x14ac:dyDescent="0.4">
      <c r="A115" s="162"/>
      <c r="B115" s="163"/>
      <c r="C115" s="187" t="s">
        <v>106</v>
      </c>
      <c r="D115" s="331" t="s">
        <v>324</v>
      </c>
      <c r="E115" s="331"/>
      <c r="F115" s="331"/>
      <c r="G115" s="331"/>
      <c r="H115" s="331"/>
    </row>
    <row r="116" spans="1:8" hidden="1" outlineLevel="1" x14ac:dyDescent="0.4">
      <c r="A116" s="162"/>
      <c r="B116" s="163"/>
      <c r="C116" s="187" t="s">
        <v>325</v>
      </c>
      <c r="D116" s="331" t="s">
        <v>326</v>
      </c>
      <c r="E116" s="331"/>
      <c r="F116" s="331"/>
      <c r="G116" s="331"/>
      <c r="H116" s="331"/>
    </row>
    <row r="117" spans="1:8" collapsed="1" x14ac:dyDescent="0.4">
      <c r="A117" s="163"/>
      <c r="B117" s="163"/>
    </row>
    <row r="118" spans="1:8" x14ac:dyDescent="0.4">
      <c r="A118" s="162" t="s">
        <v>327</v>
      </c>
      <c r="B118" s="163" t="s">
        <v>328</v>
      </c>
      <c r="C118" s="163"/>
      <c r="D118" s="163"/>
    </row>
    <row r="119" spans="1:8" x14ac:dyDescent="0.4">
      <c r="B119" s="164" t="s">
        <v>329</v>
      </c>
    </row>
  </sheetData>
  <mergeCells count="97">
    <mergeCell ref="D115:H115"/>
    <mergeCell ref="D116:H116"/>
    <mergeCell ref="D109:H109"/>
    <mergeCell ref="D110:H110"/>
    <mergeCell ref="D111:H111"/>
    <mergeCell ref="D112:H112"/>
    <mergeCell ref="D113:H113"/>
    <mergeCell ref="D114:H114"/>
    <mergeCell ref="D108:H108"/>
    <mergeCell ref="D93:H93"/>
    <mergeCell ref="D94:H94"/>
    <mergeCell ref="D95:H95"/>
    <mergeCell ref="D96:H96"/>
    <mergeCell ref="D98:H98"/>
    <mergeCell ref="D99:H99"/>
    <mergeCell ref="D100:H100"/>
    <mergeCell ref="D101:H101"/>
    <mergeCell ref="D102:H102"/>
    <mergeCell ref="D103:H103"/>
    <mergeCell ref="D104:H104"/>
    <mergeCell ref="D92:H92"/>
    <mergeCell ref="D80:H80"/>
    <mergeCell ref="D81:H81"/>
    <mergeCell ref="D82:H82"/>
    <mergeCell ref="D83:H83"/>
    <mergeCell ref="D84:H84"/>
    <mergeCell ref="D85:H85"/>
    <mergeCell ref="D86:H86"/>
    <mergeCell ref="D87:H87"/>
    <mergeCell ref="D89:H89"/>
    <mergeCell ref="D90:H90"/>
    <mergeCell ref="D91:H91"/>
    <mergeCell ref="D79:G79"/>
    <mergeCell ref="D66:H66"/>
    <mergeCell ref="D67:H67"/>
    <mergeCell ref="D68:H68"/>
    <mergeCell ref="D69:H69"/>
    <mergeCell ref="D70:H70"/>
    <mergeCell ref="D71:H71"/>
    <mergeCell ref="D74:H74"/>
    <mergeCell ref="D75:H75"/>
    <mergeCell ref="D76:H76"/>
    <mergeCell ref="D77:H77"/>
    <mergeCell ref="D78:H78"/>
    <mergeCell ref="D65:H65"/>
    <mergeCell ref="D48:H48"/>
    <mergeCell ref="D49:H49"/>
    <mergeCell ref="D50:H50"/>
    <mergeCell ref="D51:H51"/>
    <mergeCell ref="D53:H53"/>
    <mergeCell ref="D56:H56"/>
    <mergeCell ref="D57:H57"/>
    <mergeCell ref="D58:H58"/>
    <mergeCell ref="D59:H59"/>
    <mergeCell ref="D64:H64"/>
    <mergeCell ref="B54:B55"/>
    <mergeCell ref="D54:H54"/>
    <mergeCell ref="D55:H55"/>
    <mergeCell ref="D38:H38"/>
    <mergeCell ref="D39:H39"/>
    <mergeCell ref="D40:H40"/>
    <mergeCell ref="D41:H41"/>
    <mergeCell ref="D45:H45"/>
    <mergeCell ref="B46:B47"/>
    <mergeCell ref="D46:H46"/>
    <mergeCell ref="D47:H47"/>
    <mergeCell ref="B36:B37"/>
    <mergeCell ref="D36:H36"/>
    <mergeCell ref="D37:H37"/>
    <mergeCell ref="D21:H21"/>
    <mergeCell ref="C22:C23"/>
    <mergeCell ref="D22:H22"/>
    <mergeCell ref="D23:H23"/>
    <mergeCell ref="D27:H27"/>
    <mergeCell ref="B28:B29"/>
    <mergeCell ref="D28:H28"/>
    <mergeCell ref="D29:H29"/>
    <mergeCell ref="D30:H30"/>
    <mergeCell ref="D31:H31"/>
    <mergeCell ref="D32:H32"/>
    <mergeCell ref="D33:H33"/>
    <mergeCell ref="D35:H35"/>
    <mergeCell ref="C17:C19"/>
    <mergeCell ref="D17:H17"/>
    <mergeCell ref="D18:H18"/>
    <mergeCell ref="D19:H19"/>
    <mergeCell ref="D4:H4"/>
    <mergeCell ref="D5:H5"/>
    <mergeCell ref="D6:H6"/>
    <mergeCell ref="D7:H7"/>
    <mergeCell ref="D8:H8"/>
    <mergeCell ref="D9:H9"/>
    <mergeCell ref="D10:H10"/>
    <mergeCell ref="D11:H11"/>
    <mergeCell ref="D12:H12"/>
    <mergeCell ref="D15:H15"/>
    <mergeCell ref="D16:H16"/>
  </mergeCells>
  <phoneticPr fontId="2"/>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O239"/>
  <sheetViews>
    <sheetView showGridLines="0" zoomScale="85" zoomScaleNormal="85" workbookViewId="0">
      <pane xSplit="13" ySplit="5" topLeftCell="N106" activePane="bottomRight" state="frozen"/>
      <selection activeCell="E174" sqref="E174:E175"/>
      <selection pane="topRight" activeCell="E174" sqref="E174:E175"/>
      <selection pane="bottomLeft" activeCell="E174" sqref="E174:E175"/>
      <selection pane="bottomRight"/>
    </sheetView>
  </sheetViews>
  <sheetFormatPr defaultColWidth="9" defaultRowHeight="20.100000000000001" customHeight="1" outlineLevelRow="1" x14ac:dyDescent="0.4"/>
  <cols>
    <col min="1" max="1" width="4.625" style="89" customWidth="1"/>
    <col min="2" max="3" width="8.375" style="89" bestFit="1" customWidth="1"/>
    <col min="4" max="4" width="9.5" style="89" bestFit="1" customWidth="1"/>
    <col min="5" max="5" width="25.25" style="89" bestFit="1" customWidth="1"/>
    <col min="6" max="6" width="20.5" style="89" bestFit="1" customWidth="1"/>
    <col min="7" max="7" width="33.875" style="93" customWidth="1"/>
    <col min="8" max="8" width="6.75" style="89" hidden="1" customWidth="1"/>
    <col min="9" max="9" width="7.375" style="89" hidden="1" customWidth="1"/>
    <col min="10" max="10" width="8.125" style="89" hidden="1" customWidth="1"/>
    <col min="11" max="11" width="9.625" style="89" hidden="1" customWidth="1"/>
    <col min="12" max="12" width="8.125" style="89" hidden="1" customWidth="1"/>
    <col min="13" max="13" width="35.75" style="89" customWidth="1"/>
    <col min="14" max="14" width="11.125" style="89" bestFit="1" customWidth="1"/>
    <col min="15" max="26" width="7.625" style="89" customWidth="1"/>
    <col min="27" max="27" width="5.875" style="89" customWidth="1" collapsed="1"/>
    <col min="28" max="31" width="5.875" style="89" customWidth="1"/>
    <col min="32" max="32" width="7" style="89" customWidth="1"/>
    <col min="33" max="33" width="9" style="89" customWidth="1"/>
    <col min="34" max="16384" width="9" style="89"/>
  </cols>
  <sheetData>
    <row r="1" spans="1:32" ht="30" customHeight="1" x14ac:dyDescent="0.4">
      <c r="A1" s="91" t="s">
        <v>36</v>
      </c>
      <c r="B1" s="92"/>
      <c r="C1" s="92"/>
      <c r="D1" s="92"/>
      <c r="E1" s="92"/>
      <c r="F1" s="92"/>
      <c r="G1" s="92"/>
      <c r="H1" s="92"/>
      <c r="I1" s="92"/>
      <c r="J1" s="92"/>
      <c r="K1" s="92"/>
      <c r="L1" s="92"/>
      <c r="M1" s="92"/>
      <c r="N1" s="92"/>
      <c r="O1" s="92"/>
      <c r="P1" s="92"/>
      <c r="Q1" s="92"/>
      <c r="R1" s="92"/>
      <c r="S1" s="80" t="s">
        <v>764</v>
      </c>
      <c r="T1" s="81"/>
      <c r="U1" s="81"/>
      <c r="V1" s="81"/>
      <c r="W1" s="81" t="s">
        <v>765</v>
      </c>
      <c r="X1" s="81"/>
      <c r="Y1" s="81"/>
      <c r="Z1" s="82"/>
      <c r="AA1" s="92"/>
      <c r="AB1" s="92"/>
      <c r="AC1" s="92"/>
      <c r="AD1" s="92"/>
      <c r="AE1" s="92"/>
      <c r="AF1" s="92"/>
    </row>
    <row r="2" spans="1:32" ht="20.25" customHeight="1" thickBot="1" x14ac:dyDescent="0.45">
      <c r="S2" s="83" t="s">
        <v>416</v>
      </c>
      <c r="T2" s="84"/>
      <c r="U2" s="84"/>
      <c r="V2" s="84"/>
      <c r="W2" s="84"/>
      <c r="X2" s="84"/>
      <c r="Y2" s="84"/>
      <c r="Z2" s="85"/>
    </row>
    <row r="3" spans="1:32" ht="20.100000000000001" customHeight="1" x14ac:dyDescent="0.4">
      <c r="A3" s="94" t="s">
        <v>17</v>
      </c>
    </row>
    <row r="4" spans="1:32" s="97" customFormat="1" ht="20.100000000000001" customHeight="1" x14ac:dyDescent="0.4">
      <c r="A4" s="339" t="s">
        <v>0</v>
      </c>
      <c r="B4" s="355" t="s">
        <v>87</v>
      </c>
      <c r="C4" s="355" t="s">
        <v>6</v>
      </c>
      <c r="D4" s="355" t="s">
        <v>158</v>
      </c>
      <c r="E4" s="355" t="s">
        <v>2</v>
      </c>
      <c r="F4" s="355" t="s">
        <v>159</v>
      </c>
      <c r="G4" s="611" t="s">
        <v>1</v>
      </c>
      <c r="H4" s="353" t="s">
        <v>166</v>
      </c>
      <c r="I4" s="353" t="s">
        <v>167</v>
      </c>
      <c r="J4" s="353" t="s">
        <v>25</v>
      </c>
      <c r="K4" s="339" t="s">
        <v>7</v>
      </c>
      <c r="L4" s="339" t="s">
        <v>8</v>
      </c>
      <c r="M4" s="339" t="s">
        <v>191</v>
      </c>
      <c r="N4" s="343" t="s">
        <v>5</v>
      </c>
      <c r="O4" s="344"/>
      <c r="P4" s="344"/>
      <c r="Q4" s="344"/>
      <c r="R4" s="344"/>
      <c r="S4" s="344"/>
      <c r="T4" s="344"/>
      <c r="U4" s="344"/>
      <c r="V4" s="344"/>
      <c r="W4" s="344"/>
      <c r="X4" s="344"/>
      <c r="Y4" s="344"/>
      <c r="Z4" s="344"/>
      <c r="AA4" s="89"/>
      <c r="AB4" s="89"/>
      <c r="AC4" s="89"/>
      <c r="AD4" s="89"/>
      <c r="AE4" s="89"/>
      <c r="AF4" s="89"/>
    </row>
    <row r="5" spans="1:32" s="97" customFormat="1" ht="20.100000000000001" customHeight="1" x14ac:dyDescent="0.4">
      <c r="A5" s="340"/>
      <c r="B5" s="355"/>
      <c r="C5" s="355"/>
      <c r="D5" s="355"/>
      <c r="E5" s="355"/>
      <c r="F5" s="355"/>
      <c r="G5" s="612"/>
      <c r="H5" s="354"/>
      <c r="I5" s="354"/>
      <c r="J5" s="354"/>
      <c r="K5" s="340"/>
      <c r="L5" s="340"/>
      <c r="M5" s="340"/>
      <c r="N5" s="95"/>
      <c r="O5" s="96" t="s">
        <v>135</v>
      </c>
      <c r="P5" s="96" t="s">
        <v>136</v>
      </c>
      <c r="Q5" s="96" t="s">
        <v>138</v>
      </c>
      <c r="R5" s="96" t="s">
        <v>139</v>
      </c>
      <c r="S5" s="96" t="s">
        <v>140</v>
      </c>
      <c r="T5" s="96" t="s">
        <v>141</v>
      </c>
      <c r="U5" s="96" t="s">
        <v>142</v>
      </c>
      <c r="V5" s="96" t="s">
        <v>143</v>
      </c>
      <c r="W5" s="96" t="s">
        <v>144</v>
      </c>
      <c r="X5" s="96" t="s">
        <v>145</v>
      </c>
      <c r="Y5" s="96" t="s">
        <v>30</v>
      </c>
      <c r="Z5" s="96" t="s">
        <v>146</v>
      </c>
    </row>
    <row r="6" spans="1:32" s="154" customFormat="1" ht="20.100000000000001" customHeight="1" x14ac:dyDescent="0.4">
      <c r="A6" s="345">
        <v>1</v>
      </c>
      <c r="B6" s="347" t="s">
        <v>46</v>
      </c>
      <c r="C6" s="347" t="s">
        <v>14</v>
      </c>
      <c r="D6" s="349" t="s">
        <v>684</v>
      </c>
      <c r="E6" s="349" t="s">
        <v>379</v>
      </c>
      <c r="F6" s="349" t="s">
        <v>380</v>
      </c>
      <c r="G6" s="563" t="s">
        <v>381</v>
      </c>
      <c r="H6" s="341"/>
      <c r="I6" s="341"/>
      <c r="J6" s="341"/>
      <c r="K6" s="356"/>
      <c r="L6" s="356"/>
      <c r="M6" s="358"/>
      <c r="N6" s="153" t="s">
        <v>24</v>
      </c>
      <c r="O6" s="153">
        <f>SUM('案件．要員情報'!O7:X7)</f>
        <v>0.7</v>
      </c>
      <c r="P6" s="153">
        <f>SUM('案件．要員情報'!Y7:AH7)</f>
        <v>0.44444444444444442</v>
      </c>
      <c r="Q6" s="153">
        <f>SUM('案件．要員情報'!AI7:AR7)</f>
        <v>0.3936507936507937</v>
      </c>
      <c r="R6" s="153">
        <f>SUM('案件．要員情報'!AS7:BB7)</f>
        <v>0.42424242424242431</v>
      </c>
      <c r="S6" s="153">
        <f>SUM('案件．要員情報'!BC7:BL7)</f>
        <v>0.66666666666666674</v>
      </c>
      <c r="T6" s="153">
        <f>SUM('案件．要員情報'!BM7:BV7)</f>
        <v>0.42424242424242425</v>
      </c>
      <c r="U6" s="153">
        <f>SUM('案件．要員情報'!BW7:CF7)</f>
        <v>0.4</v>
      </c>
      <c r="V6" s="153">
        <f>SUM('案件．要員情報'!CG7:CP7)</f>
        <v>0.29629629629629628</v>
      </c>
      <c r="W6" s="153">
        <f>SUM('案件．要員情報'!CQ7:CW7)</f>
        <v>0.23333333333333334</v>
      </c>
      <c r="X6" s="153">
        <f>SUM('案件．要員情報'!CX7:DD7)</f>
        <v>0.2857142857142857</v>
      </c>
      <c r="Y6" s="153">
        <f>SUM('案件．要員情報'!DE7:DK7)</f>
        <v>0.47058823529411764</v>
      </c>
      <c r="Z6" s="153">
        <f>SUM('案件．要員情報'!DL7:DS7)</f>
        <v>0</v>
      </c>
      <c r="AA6" s="215">
        <f>SUM(O6:Z6)</f>
        <v>4.7391789038847865</v>
      </c>
    </row>
    <row r="7" spans="1:32" s="154" customFormat="1" ht="20.100000000000001" customHeight="1" x14ac:dyDescent="0.4">
      <c r="A7" s="346"/>
      <c r="B7" s="348"/>
      <c r="C7" s="348"/>
      <c r="D7" s="350"/>
      <c r="E7" s="350"/>
      <c r="F7" s="350"/>
      <c r="G7" s="565"/>
      <c r="H7" s="342"/>
      <c r="I7" s="342"/>
      <c r="J7" s="342"/>
      <c r="K7" s="357"/>
      <c r="L7" s="357"/>
      <c r="M7" s="359"/>
      <c r="N7" s="155" t="s">
        <v>25</v>
      </c>
      <c r="O7" s="156">
        <f>SUM('案件．要員情報'!O8:X8)</f>
        <v>0.64583333333333337</v>
      </c>
      <c r="P7" s="156">
        <f>SUM('案件．要員情報'!Y8:AH8)</f>
        <v>0.40317460317460319</v>
      </c>
      <c r="Q7" s="156">
        <f>SUM('案件．要員情報'!AI8:AR8)</f>
        <v>0.37777777777777777</v>
      </c>
      <c r="R7" s="156">
        <f>SUM('案件．要員情報'!AS8:BB8)</f>
        <v>0.38787878787878788</v>
      </c>
      <c r="S7" s="156">
        <f>SUM('案件．要員情報'!BC8:BL8)</f>
        <v>0.66031746031746041</v>
      </c>
      <c r="T7" s="156">
        <f>SUM('案件．要員情報'!BM8:BV8)</f>
        <v>0.3666666666666667</v>
      </c>
      <c r="U7" s="156">
        <f>SUM('案件．要員情報'!BW8:CF8)</f>
        <v>0.39666666666666667</v>
      </c>
      <c r="V7" s="156">
        <f>SUM('案件．要員情報'!CG8:CP8)</f>
        <v>0.21851851851851853</v>
      </c>
      <c r="W7" s="156">
        <f>SUM('案件．要員情報'!CQ8:CW8)</f>
        <v>0.21333333333333335</v>
      </c>
      <c r="X7" s="156">
        <f>SUM('案件．要員情報'!CX8:DD8)</f>
        <v>0.26349206349206344</v>
      </c>
      <c r="Y7" s="156">
        <f>SUM('案件．要員情報'!DE8:DK8)</f>
        <v>0.24313725490196078</v>
      </c>
      <c r="Z7" s="156">
        <f>SUM('案件．要員情報'!DL8:DS8)</f>
        <v>0</v>
      </c>
      <c r="AA7" s="159">
        <f>SUM(O7:Z7)</f>
        <v>4.1767964660611714</v>
      </c>
    </row>
    <row r="8" spans="1:32" s="154" customFormat="1" ht="20.100000000000001" hidden="1" customHeight="1" outlineLevel="1" x14ac:dyDescent="0.4">
      <c r="A8" s="345">
        <v>2</v>
      </c>
      <c r="B8" s="347" t="s">
        <v>47</v>
      </c>
      <c r="C8" s="347" t="s">
        <v>14</v>
      </c>
      <c r="D8" s="349" t="s">
        <v>384</v>
      </c>
      <c r="E8" s="349" t="s">
        <v>385</v>
      </c>
      <c r="F8" s="349" t="s">
        <v>386</v>
      </c>
      <c r="G8" s="563" t="s">
        <v>387</v>
      </c>
      <c r="H8" s="341"/>
      <c r="I8" s="341"/>
      <c r="J8" s="341"/>
      <c r="K8" s="356"/>
      <c r="L8" s="356"/>
      <c r="M8" s="358"/>
      <c r="N8" s="157" t="s">
        <v>24</v>
      </c>
      <c r="O8" s="153">
        <f>SUM('案件．要員情報'!O9:X9)</f>
        <v>0</v>
      </c>
      <c r="P8" s="153">
        <f>SUM('案件．要員情報'!Y9:AH9)</f>
        <v>0</v>
      </c>
      <c r="Q8" s="153">
        <f>SUM('案件．要員情報'!AI9:AR9)</f>
        <v>0</v>
      </c>
      <c r="R8" s="153">
        <f>SUM('案件．要員情報'!AS9:BB9)</f>
        <v>0</v>
      </c>
      <c r="S8" s="153">
        <f>SUM('案件．要員情報'!BC9:BL9)</f>
        <v>0</v>
      </c>
      <c r="T8" s="153">
        <f>SUM('案件．要員情報'!BM9:BV9)</f>
        <v>0</v>
      </c>
      <c r="U8" s="153">
        <f>SUM('案件．要員情報'!BW9:CF9)</f>
        <v>0</v>
      </c>
      <c r="V8" s="153">
        <f>SUM('案件．要員情報'!CG9:CP9)</f>
        <v>0</v>
      </c>
      <c r="W8" s="153">
        <f>SUM('案件．要員情報'!CQ9:CW9)</f>
        <v>0</v>
      </c>
      <c r="X8" s="153">
        <f>SUM('案件．要員情報'!CX9:DD9)</f>
        <v>0</v>
      </c>
      <c r="Y8" s="153">
        <f>SUM('案件．要員情報'!DE9:DK9)</f>
        <v>0</v>
      </c>
      <c r="Z8" s="153">
        <f>SUM('案件．要員情報'!DL9:DS9)</f>
        <v>0</v>
      </c>
      <c r="AA8" s="215">
        <f t="shared" ref="AA8:AA37" si="0">SUM(O8:Z8)</f>
        <v>0</v>
      </c>
    </row>
    <row r="9" spans="1:32" s="154" customFormat="1" ht="20.100000000000001" hidden="1" customHeight="1" outlineLevel="1" x14ac:dyDescent="0.4">
      <c r="A9" s="346"/>
      <c r="B9" s="348"/>
      <c r="C9" s="348"/>
      <c r="D9" s="350"/>
      <c r="E9" s="350"/>
      <c r="F9" s="350"/>
      <c r="G9" s="565"/>
      <c r="H9" s="342"/>
      <c r="I9" s="342"/>
      <c r="J9" s="342"/>
      <c r="K9" s="357"/>
      <c r="L9" s="357"/>
      <c r="M9" s="381"/>
      <c r="N9" s="158" t="s">
        <v>25</v>
      </c>
      <c r="O9" s="156">
        <f>SUM('案件．要員情報'!O10:X10)</f>
        <v>0</v>
      </c>
      <c r="P9" s="156">
        <f>SUM('案件．要員情報'!Y10:AH10)</f>
        <v>0</v>
      </c>
      <c r="Q9" s="156">
        <f>SUM('案件．要員情報'!AI10:AR10)</f>
        <v>0</v>
      </c>
      <c r="R9" s="156">
        <f>SUM('案件．要員情報'!AS10:BB10)</f>
        <v>0</v>
      </c>
      <c r="S9" s="156">
        <f>SUM('案件．要員情報'!BC10:BL10)</f>
        <v>0</v>
      </c>
      <c r="T9" s="156">
        <f>SUM('案件．要員情報'!BM10:BV10)</f>
        <v>0</v>
      </c>
      <c r="U9" s="156">
        <f>SUM('案件．要員情報'!BW10:CF10)</f>
        <v>0</v>
      </c>
      <c r="V9" s="156">
        <f>SUM('案件．要員情報'!CG10:CP10)</f>
        <v>0</v>
      </c>
      <c r="W9" s="156">
        <f>SUM('案件．要員情報'!CQ10:CW10)</f>
        <v>0</v>
      </c>
      <c r="X9" s="156">
        <f>SUM('案件．要員情報'!CX10:DD10)</f>
        <v>0</v>
      </c>
      <c r="Y9" s="156">
        <f>SUM('案件．要員情報'!DE10:DK10)</f>
        <v>0</v>
      </c>
      <c r="Z9" s="156">
        <f>SUM('案件．要員情報'!DL10:DS10)</f>
        <v>0</v>
      </c>
      <c r="AA9" s="159">
        <f t="shared" si="0"/>
        <v>0</v>
      </c>
      <c r="AD9" s="159"/>
    </row>
    <row r="10" spans="1:32" s="154" customFormat="1" ht="20.100000000000001" hidden="1" customHeight="1" outlineLevel="1" x14ac:dyDescent="0.4">
      <c r="A10" s="347">
        <v>3</v>
      </c>
      <c r="B10" s="347" t="s">
        <v>47</v>
      </c>
      <c r="C10" s="347" t="s">
        <v>14</v>
      </c>
      <c r="D10" s="349" t="s">
        <v>392</v>
      </c>
      <c r="E10" s="349" t="s">
        <v>393</v>
      </c>
      <c r="F10" s="349"/>
      <c r="G10" s="563" t="s">
        <v>394</v>
      </c>
      <c r="H10" s="362"/>
      <c r="I10" s="362"/>
      <c r="J10" s="362"/>
      <c r="K10" s="364"/>
      <c r="L10" s="364"/>
      <c r="M10" s="366"/>
      <c r="N10" s="157" t="s">
        <v>24</v>
      </c>
      <c r="O10" s="153">
        <f>SUM('案件．要員情報'!O11:X11)</f>
        <v>1.3083333333333333</v>
      </c>
      <c r="P10" s="153">
        <f>SUM('案件．要員情報'!Y11:AH11)</f>
        <v>1.9682539682539681</v>
      </c>
      <c r="Q10" s="153">
        <f>SUM('案件．要員情報'!AI11:AR11)</f>
        <v>1.9047619047619049E-2</v>
      </c>
      <c r="R10" s="153">
        <f>SUM('案件．要員情報'!AS11:BB11)</f>
        <v>0.45454545454545453</v>
      </c>
      <c r="S10" s="153">
        <f>SUM('案件．要員情報'!BC11:BL11)</f>
        <v>0.2857142857142857</v>
      </c>
      <c r="T10" s="153">
        <f>SUM('案件．要員情報'!BM11:BV11)</f>
        <v>0.60606060606060608</v>
      </c>
      <c r="U10" s="153">
        <f>SUM('案件．要員情報'!BW11:CF11)</f>
        <v>0.30000000000000004</v>
      </c>
      <c r="V10" s="153">
        <f>SUM('案件．要員情報'!CG11:CP11)</f>
        <v>0</v>
      </c>
      <c r="W10" s="153">
        <f>SUM('案件．要員情報'!CQ11:CW11)</f>
        <v>0</v>
      </c>
      <c r="X10" s="153">
        <f>SUM('案件．要員情報'!CX11:DD11)</f>
        <v>0</v>
      </c>
      <c r="Y10" s="153">
        <f>SUM('案件．要員情報'!DE11:DK11)</f>
        <v>0</v>
      </c>
      <c r="Z10" s="153">
        <f>SUM('案件．要員情報'!DL11:DS11)</f>
        <v>0</v>
      </c>
      <c r="AA10" s="215">
        <f t="shared" si="0"/>
        <v>4.9419552669552669</v>
      </c>
    </row>
    <row r="11" spans="1:32" s="154" customFormat="1" ht="20.100000000000001" hidden="1" customHeight="1" outlineLevel="1" x14ac:dyDescent="0.4">
      <c r="A11" s="348"/>
      <c r="B11" s="348"/>
      <c r="C11" s="348"/>
      <c r="D11" s="350"/>
      <c r="E11" s="350"/>
      <c r="F11" s="350"/>
      <c r="G11" s="565"/>
      <c r="H11" s="363"/>
      <c r="I11" s="363"/>
      <c r="J11" s="363"/>
      <c r="K11" s="365"/>
      <c r="L11" s="365"/>
      <c r="M11" s="359"/>
      <c r="N11" s="158" t="s">
        <v>25</v>
      </c>
      <c r="O11" s="156">
        <f>SUM('案件．要員情報'!O12:X12)</f>
        <v>1.270833333333333</v>
      </c>
      <c r="P11" s="156">
        <f>SUM('案件．要員情報'!Y12:AH12)</f>
        <v>1.9492063492063494</v>
      </c>
      <c r="Q11" s="156">
        <f>SUM('案件．要員情報'!AI12:AR12)</f>
        <v>1.5873015873015872E-2</v>
      </c>
      <c r="R11" s="156">
        <f>SUM('案件．要員情報'!AS12:BB12)</f>
        <v>0.4363636363636364</v>
      </c>
      <c r="S11" s="156">
        <f>SUM('案件．要員情報'!BC12:BL12)</f>
        <v>0.26031746031746028</v>
      </c>
      <c r="T11" s="156">
        <f>SUM('案件．要員情報'!BM12:BV12)</f>
        <v>0.61818181818181817</v>
      </c>
      <c r="U11" s="156">
        <f>SUM('案件．要員情報'!BW12:CF12)</f>
        <v>0.28666666666666668</v>
      </c>
      <c r="V11" s="156">
        <f>SUM('案件．要員情報'!CG12:CP12)</f>
        <v>0</v>
      </c>
      <c r="W11" s="156">
        <f>SUM('案件．要員情報'!CQ12:CW12)</f>
        <v>0</v>
      </c>
      <c r="X11" s="156">
        <f>SUM('案件．要員情報'!CX12:DD12)</f>
        <v>0</v>
      </c>
      <c r="Y11" s="156">
        <f>SUM('案件．要員情報'!DE12:DK12)</f>
        <v>0</v>
      </c>
      <c r="Z11" s="156">
        <f>SUM('案件．要員情報'!DL12:DS12)</f>
        <v>0</v>
      </c>
      <c r="AA11" s="159">
        <f>SUM(O11:Z11)</f>
        <v>4.8374422799422803</v>
      </c>
      <c r="AD11" s="159"/>
    </row>
    <row r="12" spans="1:32" s="154" customFormat="1" ht="20.100000000000001" hidden="1" customHeight="1" outlineLevel="1" x14ac:dyDescent="0.4">
      <c r="A12" s="347">
        <v>4</v>
      </c>
      <c r="B12" s="347" t="s">
        <v>47</v>
      </c>
      <c r="C12" s="347" t="s">
        <v>347</v>
      </c>
      <c r="D12" s="349" t="s">
        <v>392</v>
      </c>
      <c r="E12" s="349" t="s">
        <v>397</v>
      </c>
      <c r="F12" s="349" t="s">
        <v>398</v>
      </c>
      <c r="G12" s="563" t="s">
        <v>399</v>
      </c>
      <c r="H12" s="362"/>
      <c r="I12" s="362"/>
      <c r="J12" s="362"/>
      <c r="K12" s="364"/>
      <c r="L12" s="364"/>
      <c r="M12" s="358"/>
      <c r="N12" s="157" t="s">
        <v>24</v>
      </c>
      <c r="O12" s="153">
        <f>SUM('案件．要員情報'!O13:X13)</f>
        <v>0.15</v>
      </c>
      <c r="P12" s="153">
        <f>SUM('案件．要員情報'!Y13:AH13)</f>
        <v>0</v>
      </c>
      <c r="Q12" s="153">
        <f>SUM('案件．要員情報'!AI13:AR13)</f>
        <v>0</v>
      </c>
      <c r="R12" s="153">
        <f>SUM('案件．要員情報'!AS13:BB13)</f>
        <v>0</v>
      </c>
      <c r="S12" s="153">
        <f>SUM('案件．要員情報'!BC13:BL13)</f>
        <v>0</v>
      </c>
      <c r="T12" s="153">
        <f>SUM('案件．要員情報'!BM13:BV13)</f>
        <v>0</v>
      </c>
      <c r="U12" s="153">
        <f>SUM('案件．要員情報'!BW13:CF13)</f>
        <v>0</v>
      </c>
      <c r="V12" s="153">
        <f>SUM('案件．要員情報'!CG13:CP13)</f>
        <v>0</v>
      </c>
      <c r="W12" s="153">
        <f>SUM('案件．要員情報'!CQ13:CW13)</f>
        <v>0</v>
      </c>
      <c r="X12" s="153">
        <f>SUM('案件．要員情報'!CX13:DD13)</f>
        <v>0</v>
      </c>
      <c r="Y12" s="153">
        <f>SUM('案件．要員情報'!DE13:DK13)</f>
        <v>0</v>
      </c>
      <c r="Z12" s="153">
        <f>SUM('案件．要員情報'!DL13:DS13)</f>
        <v>0</v>
      </c>
      <c r="AA12" s="215">
        <f t="shared" si="0"/>
        <v>0.15</v>
      </c>
    </row>
    <row r="13" spans="1:32" s="154" customFormat="1" ht="20.100000000000001" hidden="1" customHeight="1" outlineLevel="1" x14ac:dyDescent="0.4">
      <c r="A13" s="348"/>
      <c r="B13" s="348"/>
      <c r="C13" s="348"/>
      <c r="D13" s="370"/>
      <c r="E13" s="350"/>
      <c r="F13" s="350"/>
      <c r="G13" s="565"/>
      <c r="H13" s="363"/>
      <c r="I13" s="363"/>
      <c r="J13" s="363"/>
      <c r="K13" s="365"/>
      <c r="L13" s="365"/>
      <c r="M13" s="359"/>
      <c r="N13" s="158" t="s">
        <v>25</v>
      </c>
      <c r="O13" s="156">
        <f>SUM('案件．要員情報'!O14:X14)</f>
        <v>0.14166666666666669</v>
      </c>
      <c r="P13" s="156">
        <f>SUM('案件．要員情報'!Y14:AH14)</f>
        <v>0</v>
      </c>
      <c r="Q13" s="156">
        <f>SUM('案件．要員情報'!AI14:AR14)</f>
        <v>0</v>
      </c>
      <c r="R13" s="156">
        <f>SUM('案件．要員情報'!AS14:BB14)</f>
        <v>0</v>
      </c>
      <c r="S13" s="156">
        <f>SUM('案件．要員情報'!BC14:BL14)</f>
        <v>0</v>
      </c>
      <c r="T13" s="156">
        <f>SUM('案件．要員情報'!BM14:BV14)</f>
        <v>0</v>
      </c>
      <c r="U13" s="156">
        <f>SUM('案件．要員情報'!BW14:CF14)</f>
        <v>0</v>
      </c>
      <c r="V13" s="156">
        <f>SUM('案件．要員情報'!CG14:CP14)</f>
        <v>0</v>
      </c>
      <c r="W13" s="156">
        <f>SUM('案件．要員情報'!CQ14:CW14)</f>
        <v>0</v>
      </c>
      <c r="X13" s="156">
        <f>SUM('案件．要員情報'!CX14:DD14)</f>
        <v>0</v>
      </c>
      <c r="Y13" s="156">
        <f>SUM('案件．要員情報'!DE14:DK14)</f>
        <v>0</v>
      </c>
      <c r="Z13" s="156">
        <f>SUM('案件．要員情報'!DL14:DS14)</f>
        <v>0</v>
      </c>
      <c r="AA13" s="159">
        <f t="shared" si="0"/>
        <v>0.14166666666666669</v>
      </c>
    </row>
    <row r="14" spans="1:32" s="154" customFormat="1" ht="20.100000000000001" hidden="1" customHeight="1" outlineLevel="1" x14ac:dyDescent="0.4">
      <c r="A14" s="347">
        <v>5</v>
      </c>
      <c r="B14" s="347" t="s">
        <v>47</v>
      </c>
      <c r="C14" s="347" t="s">
        <v>347</v>
      </c>
      <c r="D14" s="349" t="s">
        <v>348</v>
      </c>
      <c r="E14" s="349" t="s">
        <v>426</v>
      </c>
      <c r="F14" s="349" t="s">
        <v>406</v>
      </c>
      <c r="G14" s="563" t="s">
        <v>407</v>
      </c>
      <c r="H14" s="362"/>
      <c r="I14" s="362"/>
      <c r="J14" s="362"/>
      <c r="K14" s="364"/>
      <c r="L14" s="364"/>
      <c r="M14" s="369"/>
      <c r="N14" s="157" t="s">
        <v>24</v>
      </c>
      <c r="O14" s="153">
        <f>SUM('案件．要員情報'!O15:X15)</f>
        <v>0.29166666666666663</v>
      </c>
      <c r="P14" s="153">
        <f>SUM('案件．要員情報'!Y15:AH15)</f>
        <v>0</v>
      </c>
      <c r="Q14" s="153">
        <f>SUM('案件．要員情報'!AI15:AR15)</f>
        <v>0</v>
      </c>
      <c r="R14" s="153">
        <f>SUM('案件．要員情報'!AS15:BB15)</f>
        <v>0</v>
      </c>
      <c r="S14" s="153">
        <f>SUM('案件．要員情報'!BC15:BL15)</f>
        <v>0</v>
      </c>
      <c r="T14" s="153">
        <f>SUM('案件．要員情報'!BM15:BV15)</f>
        <v>0</v>
      </c>
      <c r="U14" s="153">
        <f>SUM('案件．要員情報'!BW15:CF15)</f>
        <v>0</v>
      </c>
      <c r="V14" s="153">
        <f>SUM('案件．要員情報'!CG15:CP15)</f>
        <v>0</v>
      </c>
      <c r="W14" s="153">
        <f>SUM('案件．要員情報'!CQ15:CW15)</f>
        <v>0</v>
      </c>
      <c r="X14" s="153">
        <f>SUM('案件．要員情報'!CX15:DD15)</f>
        <v>0</v>
      </c>
      <c r="Y14" s="153">
        <f>SUM('案件．要員情報'!DE15:DK15)</f>
        <v>0</v>
      </c>
      <c r="Z14" s="153">
        <f>SUM('案件．要員情報'!DL15:DS15)</f>
        <v>0</v>
      </c>
      <c r="AA14" s="215">
        <f t="shared" si="0"/>
        <v>0.29166666666666663</v>
      </c>
    </row>
    <row r="15" spans="1:32" s="154" customFormat="1" ht="20.100000000000001" hidden="1" customHeight="1" outlineLevel="1" x14ac:dyDescent="0.4">
      <c r="A15" s="348"/>
      <c r="B15" s="348"/>
      <c r="C15" s="348"/>
      <c r="D15" s="350"/>
      <c r="E15" s="350"/>
      <c r="F15" s="350"/>
      <c r="G15" s="565"/>
      <c r="H15" s="363"/>
      <c r="I15" s="363"/>
      <c r="J15" s="363"/>
      <c r="K15" s="365"/>
      <c r="L15" s="365"/>
      <c r="M15" s="359"/>
      <c r="N15" s="158" t="s">
        <v>25</v>
      </c>
      <c r="O15" s="156">
        <f>SUM('案件．要員情報'!O16:X16)</f>
        <v>0.28333333333333333</v>
      </c>
      <c r="P15" s="156">
        <f>SUM('案件．要員情報'!Y16:AH16)</f>
        <v>0</v>
      </c>
      <c r="Q15" s="156">
        <f>SUM('案件．要員情報'!AI16:AR16)</f>
        <v>0</v>
      </c>
      <c r="R15" s="156">
        <f>SUM('案件．要員情報'!AS16:BB16)</f>
        <v>0</v>
      </c>
      <c r="S15" s="156">
        <f>SUM('案件．要員情報'!BC16:BL16)</f>
        <v>0</v>
      </c>
      <c r="T15" s="156">
        <f>SUM('案件．要員情報'!BM16:BV16)</f>
        <v>0</v>
      </c>
      <c r="U15" s="156">
        <f>SUM('案件．要員情報'!BW16:CF16)</f>
        <v>0</v>
      </c>
      <c r="V15" s="156">
        <f>SUM('案件．要員情報'!CG16:CP16)</f>
        <v>0</v>
      </c>
      <c r="W15" s="156">
        <f>SUM('案件．要員情報'!CQ16:CW16)</f>
        <v>0</v>
      </c>
      <c r="X15" s="156">
        <f>SUM('案件．要員情報'!CX16:DD16)</f>
        <v>0</v>
      </c>
      <c r="Y15" s="156">
        <f>SUM('案件．要員情報'!DE16:DK16)</f>
        <v>0</v>
      </c>
      <c r="Z15" s="156">
        <f>SUM('案件．要員情報'!DL16:DS16)</f>
        <v>0</v>
      </c>
      <c r="AA15" s="159">
        <f t="shared" si="0"/>
        <v>0.28333333333333333</v>
      </c>
    </row>
    <row r="16" spans="1:32" s="154" customFormat="1" ht="20.100000000000001" hidden="1" customHeight="1" outlineLevel="1" x14ac:dyDescent="0.4">
      <c r="A16" s="347">
        <v>6</v>
      </c>
      <c r="B16" s="347" t="s">
        <v>47</v>
      </c>
      <c r="C16" s="347" t="s">
        <v>347</v>
      </c>
      <c r="D16" s="349" t="s">
        <v>348</v>
      </c>
      <c r="E16" s="349" t="s">
        <v>427</v>
      </c>
      <c r="F16" s="349" t="s">
        <v>410</v>
      </c>
      <c r="G16" s="563" t="s">
        <v>411</v>
      </c>
      <c r="H16" s="362"/>
      <c r="I16" s="362"/>
      <c r="J16" s="362"/>
      <c r="K16" s="364"/>
      <c r="L16" s="364"/>
      <c r="M16" s="198"/>
      <c r="N16" s="157" t="s">
        <v>24</v>
      </c>
      <c r="O16" s="153">
        <f>SUM('案件．要員情報'!O17:X17)</f>
        <v>0.79166666666666663</v>
      </c>
      <c r="P16" s="153">
        <f>SUM('案件．要員情報'!Y17:AH17)</f>
        <v>0</v>
      </c>
      <c r="Q16" s="153">
        <f>SUM('案件．要員情報'!AI17:AR17)</f>
        <v>0</v>
      </c>
      <c r="R16" s="153">
        <f>SUM('案件．要員情報'!AS17:BB17)</f>
        <v>0</v>
      </c>
      <c r="S16" s="153">
        <f>SUM('案件．要員情報'!BC17:BL17)</f>
        <v>0</v>
      </c>
      <c r="T16" s="153">
        <f>SUM('案件．要員情報'!BM17:BV17)</f>
        <v>0</v>
      </c>
      <c r="U16" s="153">
        <f>SUM('案件．要員情報'!BW17:CF17)</f>
        <v>0</v>
      </c>
      <c r="V16" s="153">
        <f>SUM('案件．要員情報'!CG17:CP17)</f>
        <v>0</v>
      </c>
      <c r="W16" s="153">
        <f>SUM('案件．要員情報'!CQ17:CW17)</f>
        <v>0</v>
      </c>
      <c r="X16" s="153">
        <f>SUM('案件．要員情報'!CX17:DD17)</f>
        <v>0</v>
      </c>
      <c r="Y16" s="153">
        <f>SUM('案件．要員情報'!DE17:DK17)</f>
        <v>0</v>
      </c>
      <c r="Z16" s="153">
        <f>SUM('案件．要員情報'!DL17:DS17)</f>
        <v>0</v>
      </c>
      <c r="AA16" s="215">
        <f t="shared" si="0"/>
        <v>0.79166666666666663</v>
      </c>
    </row>
    <row r="17" spans="1:27" s="154" customFormat="1" ht="20.100000000000001" hidden="1" customHeight="1" outlineLevel="1" x14ac:dyDescent="0.4">
      <c r="A17" s="348"/>
      <c r="B17" s="348"/>
      <c r="C17" s="348"/>
      <c r="D17" s="350"/>
      <c r="E17" s="350"/>
      <c r="F17" s="350"/>
      <c r="G17" s="565"/>
      <c r="H17" s="363"/>
      <c r="I17" s="363"/>
      <c r="J17" s="363"/>
      <c r="K17" s="365"/>
      <c r="L17" s="365"/>
      <c r="M17" s="199"/>
      <c r="N17" s="158" t="s">
        <v>25</v>
      </c>
      <c r="O17" s="156">
        <f>SUM('案件．要員情報'!O18:X18)</f>
        <v>0.77916666666666679</v>
      </c>
      <c r="P17" s="156">
        <f>SUM('案件．要員情報'!Y18:AH18)</f>
        <v>0</v>
      </c>
      <c r="Q17" s="156">
        <f>SUM('案件．要員情報'!AI18:AR18)</f>
        <v>0</v>
      </c>
      <c r="R17" s="156">
        <f>SUM('案件．要員情報'!AS18:BB18)</f>
        <v>0</v>
      </c>
      <c r="S17" s="156">
        <f>SUM('案件．要員情報'!BC18:BL18)</f>
        <v>0</v>
      </c>
      <c r="T17" s="156">
        <f>SUM('案件．要員情報'!BM18:BV18)</f>
        <v>0</v>
      </c>
      <c r="U17" s="156">
        <f>SUM('案件．要員情報'!BW18:CF18)</f>
        <v>0</v>
      </c>
      <c r="V17" s="156">
        <f>SUM('案件．要員情報'!CG18:CP18)</f>
        <v>0</v>
      </c>
      <c r="W17" s="156">
        <f>SUM('案件．要員情報'!CQ18:CW18)</f>
        <v>0</v>
      </c>
      <c r="X17" s="156">
        <f>SUM('案件．要員情報'!CX18:DD18)</f>
        <v>0</v>
      </c>
      <c r="Y17" s="156">
        <f>SUM('案件．要員情報'!DE18:DK18)</f>
        <v>0</v>
      </c>
      <c r="Z17" s="156">
        <f>SUM('案件．要員情報'!DL18:DS18)</f>
        <v>0</v>
      </c>
      <c r="AA17" s="159">
        <f t="shared" si="0"/>
        <v>0.77916666666666679</v>
      </c>
    </row>
    <row r="18" spans="1:27" s="154" customFormat="1" ht="20.100000000000001" hidden="1" customHeight="1" outlineLevel="1" x14ac:dyDescent="0.4">
      <c r="A18" s="347">
        <v>7</v>
      </c>
      <c r="B18" s="347" t="s">
        <v>47</v>
      </c>
      <c r="C18" s="347" t="s">
        <v>14</v>
      </c>
      <c r="D18" s="349" t="s">
        <v>436</v>
      </c>
      <c r="E18" s="349" t="s">
        <v>434</v>
      </c>
      <c r="F18" s="349"/>
      <c r="G18" s="563" t="s">
        <v>435</v>
      </c>
      <c r="H18" s="362"/>
      <c r="I18" s="362"/>
      <c r="J18" s="362"/>
      <c r="K18" s="364"/>
      <c r="L18" s="364"/>
      <c r="M18" s="358"/>
      <c r="N18" s="157" t="s">
        <v>24</v>
      </c>
      <c r="O18" s="153">
        <f>SUM('案件．要員情報'!O19:X19)</f>
        <v>0.70833333333333326</v>
      </c>
      <c r="P18" s="153">
        <f>SUM('案件．要員情報'!Y19:AH19)</f>
        <v>0</v>
      </c>
      <c r="Q18" s="153">
        <f>SUM('案件．要員情報'!AI19:AR19)</f>
        <v>0</v>
      </c>
      <c r="R18" s="153">
        <f>SUM('案件．要員情報'!AS19:BB19)</f>
        <v>0</v>
      </c>
      <c r="S18" s="153">
        <f>SUM('案件．要員情報'!BC19:BL19)</f>
        <v>0</v>
      </c>
      <c r="T18" s="153">
        <f>SUM('案件．要員情報'!BM19:BV19)</f>
        <v>0</v>
      </c>
      <c r="U18" s="153">
        <f>SUM('案件．要員情報'!BW19:CF19)</f>
        <v>0</v>
      </c>
      <c r="V18" s="153">
        <f>SUM('案件．要員情報'!CG19:CP19)</f>
        <v>0</v>
      </c>
      <c r="W18" s="153">
        <f>SUM('案件．要員情報'!CQ19:CW19)</f>
        <v>0</v>
      </c>
      <c r="X18" s="153">
        <f>SUM('案件．要員情報'!CX19:DD19)</f>
        <v>0</v>
      </c>
      <c r="Y18" s="153">
        <f>SUM('案件．要員情報'!DE19:DK19)</f>
        <v>0</v>
      </c>
      <c r="Z18" s="153">
        <f>SUM('案件．要員情報'!DL19:DS19)</f>
        <v>0</v>
      </c>
      <c r="AA18" s="215">
        <f t="shared" si="0"/>
        <v>0.70833333333333326</v>
      </c>
    </row>
    <row r="19" spans="1:27" s="154" customFormat="1" ht="20.100000000000001" hidden="1" customHeight="1" outlineLevel="1" x14ac:dyDescent="0.4">
      <c r="A19" s="348"/>
      <c r="B19" s="348"/>
      <c r="C19" s="348"/>
      <c r="D19" s="350"/>
      <c r="E19" s="350"/>
      <c r="F19" s="350"/>
      <c r="G19" s="565"/>
      <c r="H19" s="363"/>
      <c r="I19" s="363"/>
      <c r="J19" s="363"/>
      <c r="K19" s="365"/>
      <c r="L19" s="365"/>
      <c r="M19" s="359"/>
      <c r="N19" s="158" t="s">
        <v>25</v>
      </c>
      <c r="O19" s="156">
        <f>SUM('案件．要員情報'!O20:X20)</f>
        <v>0.69583333333333341</v>
      </c>
      <c r="P19" s="156">
        <f>SUM('案件．要員情報'!Y20:AH20)</f>
        <v>0</v>
      </c>
      <c r="Q19" s="156">
        <f>SUM('案件．要員情報'!AI20:AR20)</f>
        <v>0</v>
      </c>
      <c r="R19" s="156">
        <f>SUM('案件．要員情報'!AS20:BB20)</f>
        <v>0</v>
      </c>
      <c r="S19" s="156">
        <f>SUM('案件．要員情報'!BC20:BL20)</f>
        <v>0</v>
      </c>
      <c r="T19" s="156">
        <f>SUM('案件．要員情報'!BM20:BV20)</f>
        <v>0</v>
      </c>
      <c r="U19" s="156">
        <f>SUM('案件．要員情報'!BW20:CF20)</f>
        <v>0</v>
      </c>
      <c r="V19" s="156">
        <f>SUM('案件．要員情報'!CG20:CP20)</f>
        <v>0</v>
      </c>
      <c r="W19" s="156">
        <f>SUM('案件．要員情報'!CQ20:CW20)</f>
        <v>0</v>
      </c>
      <c r="X19" s="156">
        <f>SUM('案件．要員情報'!CX20:DD20)</f>
        <v>0</v>
      </c>
      <c r="Y19" s="156">
        <f>SUM('案件．要員情報'!DE20:DK20)</f>
        <v>0</v>
      </c>
      <c r="Z19" s="156">
        <f>SUM('案件．要員情報'!DL20:DS20)</f>
        <v>0</v>
      </c>
      <c r="AA19" s="159">
        <f t="shared" si="0"/>
        <v>0.69583333333333341</v>
      </c>
    </row>
    <row r="20" spans="1:27" s="154" customFormat="1" ht="20.100000000000001" hidden="1" customHeight="1" outlineLevel="1" x14ac:dyDescent="0.4">
      <c r="A20" s="347">
        <v>8</v>
      </c>
      <c r="B20" s="347" t="s">
        <v>47</v>
      </c>
      <c r="C20" s="347" t="s">
        <v>14</v>
      </c>
      <c r="D20" s="349" t="s">
        <v>440</v>
      </c>
      <c r="E20" s="349" t="s">
        <v>437</v>
      </c>
      <c r="F20" s="349"/>
      <c r="G20" s="563" t="s">
        <v>441</v>
      </c>
      <c r="H20" s="362"/>
      <c r="I20" s="362"/>
      <c r="J20" s="362"/>
      <c r="K20" s="364"/>
      <c r="L20" s="364"/>
      <c r="M20" s="358"/>
      <c r="N20" s="157" t="s">
        <v>24</v>
      </c>
      <c r="O20" s="153">
        <f>SUM('案件．要員情報'!O21:X21)</f>
        <v>1.7500000000000002</v>
      </c>
      <c r="P20" s="153">
        <f>SUM('案件．要員情報'!Y21:AH21)</f>
        <v>1.7142857142857142</v>
      </c>
      <c r="Q20" s="153">
        <f>SUM('案件．要員情報'!AI21:AR21)</f>
        <v>0</v>
      </c>
      <c r="R20" s="153">
        <f>SUM('案件．要員情報'!AS21:BB21)</f>
        <v>0</v>
      </c>
      <c r="S20" s="153">
        <f>SUM('案件．要員情報'!BC21:BL21)</f>
        <v>0</v>
      </c>
      <c r="T20" s="153">
        <f>SUM('案件．要員情報'!BM21:BV21)</f>
        <v>0</v>
      </c>
      <c r="U20" s="153">
        <f>SUM('案件．要員情報'!BW21:CF21)</f>
        <v>0</v>
      </c>
      <c r="V20" s="153">
        <f>SUM('案件．要員情報'!CG21:CP21)</f>
        <v>0</v>
      </c>
      <c r="W20" s="153">
        <f>SUM('案件．要員情報'!CQ21:CW21)</f>
        <v>0</v>
      </c>
      <c r="X20" s="153">
        <f>SUM('案件．要員情報'!CX21:DD21)</f>
        <v>0</v>
      </c>
      <c r="Y20" s="153">
        <f>SUM('案件．要員情報'!DE21:DK21)</f>
        <v>0</v>
      </c>
      <c r="Z20" s="153">
        <f>SUM('案件．要員情報'!DL21:DS21)</f>
        <v>0</v>
      </c>
      <c r="AA20" s="215">
        <f t="shared" si="0"/>
        <v>3.4642857142857144</v>
      </c>
    </row>
    <row r="21" spans="1:27" s="154" customFormat="1" ht="18.75" hidden="1" customHeight="1" outlineLevel="1" x14ac:dyDescent="0.4">
      <c r="A21" s="348"/>
      <c r="B21" s="348"/>
      <c r="C21" s="348"/>
      <c r="D21" s="350"/>
      <c r="E21" s="350"/>
      <c r="F21" s="350"/>
      <c r="G21" s="565"/>
      <c r="H21" s="363"/>
      <c r="I21" s="363"/>
      <c r="J21" s="363"/>
      <c r="K21" s="365"/>
      <c r="L21" s="365"/>
      <c r="M21" s="359"/>
      <c r="N21" s="158" t="s">
        <v>25</v>
      </c>
      <c r="O21" s="156">
        <f>SUM('案件．要員情報'!O22:X22)</f>
        <v>1.7416666666666667</v>
      </c>
      <c r="P21" s="156">
        <f>SUM('案件．要員情報'!Y22:AH22)</f>
        <v>1.6825396825396826</v>
      </c>
      <c r="Q21" s="156">
        <f>SUM('案件．要員情報'!AI22:AR22)</f>
        <v>0</v>
      </c>
      <c r="R21" s="156">
        <f>SUM('案件．要員情報'!AS22:BB22)</f>
        <v>0</v>
      </c>
      <c r="S21" s="156">
        <f>SUM('案件．要員情報'!BC22:BL22)</f>
        <v>0</v>
      </c>
      <c r="T21" s="156">
        <f>SUM('案件．要員情報'!BM22:BV22)</f>
        <v>0</v>
      </c>
      <c r="U21" s="156">
        <f>SUM('案件．要員情報'!BW22:CF22)</f>
        <v>0</v>
      </c>
      <c r="V21" s="156">
        <f>SUM('案件．要員情報'!CG22:CP22)</f>
        <v>0</v>
      </c>
      <c r="W21" s="156">
        <f>SUM('案件．要員情報'!CQ22:CW22)</f>
        <v>0</v>
      </c>
      <c r="X21" s="156">
        <f>SUM('案件．要員情報'!CX22:DD22)</f>
        <v>0</v>
      </c>
      <c r="Y21" s="156">
        <f>SUM('案件．要員情報'!DE22:DK22)</f>
        <v>0</v>
      </c>
      <c r="Z21" s="156">
        <f>SUM('案件．要員情報'!DL22:DS22)</f>
        <v>0</v>
      </c>
      <c r="AA21" s="159">
        <f t="shared" si="0"/>
        <v>3.424206349206349</v>
      </c>
    </row>
    <row r="22" spans="1:27" s="154" customFormat="1" ht="18.75" hidden="1" customHeight="1" outlineLevel="1" x14ac:dyDescent="0.4">
      <c r="A22" s="347">
        <v>9</v>
      </c>
      <c r="B22" s="347" t="s">
        <v>47</v>
      </c>
      <c r="C22" s="347" t="s">
        <v>14</v>
      </c>
      <c r="D22" s="349" t="s">
        <v>440</v>
      </c>
      <c r="E22" s="349" t="s">
        <v>438</v>
      </c>
      <c r="F22" s="349"/>
      <c r="G22" s="563" t="s">
        <v>442</v>
      </c>
      <c r="H22" s="362"/>
      <c r="I22" s="362"/>
      <c r="J22" s="362"/>
      <c r="K22" s="364"/>
      <c r="L22" s="364"/>
      <c r="M22" s="358"/>
      <c r="N22" s="157" t="s">
        <v>24</v>
      </c>
      <c r="O22" s="153">
        <f>SUM('案件．要員情報'!O23:X23)</f>
        <v>0.91666666666666663</v>
      </c>
      <c r="P22" s="153">
        <f>SUM('案件．要員情報'!Y23:AH23)</f>
        <v>9.5238095238095233E-2</v>
      </c>
      <c r="Q22" s="153">
        <f>SUM('案件．要員情報'!AI23:AR23)</f>
        <v>0</v>
      </c>
      <c r="R22" s="153">
        <f>SUM('案件．要員情報'!AS23:BB23)</f>
        <v>0</v>
      </c>
      <c r="S22" s="153">
        <f>SUM('案件．要員情報'!BC23:BL23)</f>
        <v>0</v>
      </c>
      <c r="T22" s="153">
        <f>SUM('案件．要員情報'!BM23:BV23)</f>
        <v>0</v>
      </c>
      <c r="U22" s="153">
        <f>SUM('案件．要員情報'!BW23:CF23)</f>
        <v>0</v>
      </c>
      <c r="V22" s="153">
        <f>SUM('案件．要員情報'!CG23:CP23)</f>
        <v>0</v>
      </c>
      <c r="W22" s="153">
        <f>SUM('案件．要員情報'!CQ23:CW23)</f>
        <v>0</v>
      </c>
      <c r="X22" s="153">
        <f>SUM('案件．要員情報'!CX23:DD23)</f>
        <v>0</v>
      </c>
      <c r="Y22" s="153">
        <f>SUM('案件．要員情報'!DE23:DK23)</f>
        <v>0</v>
      </c>
      <c r="Z22" s="153">
        <f>SUM('案件．要員情報'!DL23:DS23)</f>
        <v>0</v>
      </c>
      <c r="AA22" s="215">
        <f t="shared" si="0"/>
        <v>1.0119047619047619</v>
      </c>
    </row>
    <row r="23" spans="1:27" s="154" customFormat="1" ht="18.75" hidden="1" customHeight="1" outlineLevel="1" x14ac:dyDescent="0.4">
      <c r="A23" s="348"/>
      <c r="B23" s="348"/>
      <c r="C23" s="348"/>
      <c r="D23" s="350"/>
      <c r="E23" s="350"/>
      <c r="F23" s="350"/>
      <c r="G23" s="565"/>
      <c r="H23" s="363"/>
      <c r="I23" s="363"/>
      <c r="J23" s="363"/>
      <c r="K23" s="365"/>
      <c r="L23" s="365"/>
      <c r="M23" s="359"/>
      <c r="N23" s="158" t="s">
        <v>25</v>
      </c>
      <c r="O23" s="156">
        <f>SUM('案件．要員情報'!O24:X24)</f>
        <v>0.85000000000000009</v>
      </c>
      <c r="P23" s="156">
        <f>SUM('案件．要員情報'!Y24:AH24)</f>
        <v>8.2539682539682538E-2</v>
      </c>
      <c r="Q23" s="156">
        <f>SUM('案件．要員情報'!AI24:AR24)</f>
        <v>0</v>
      </c>
      <c r="R23" s="156">
        <f>SUM('案件．要員情報'!AS24:BB24)</f>
        <v>0</v>
      </c>
      <c r="S23" s="156">
        <f>SUM('案件．要員情報'!BC24:BL24)</f>
        <v>0</v>
      </c>
      <c r="T23" s="156">
        <f>SUM('案件．要員情報'!BM24:BV24)</f>
        <v>0</v>
      </c>
      <c r="U23" s="156">
        <f>SUM('案件．要員情報'!BW24:CF24)</f>
        <v>0</v>
      </c>
      <c r="V23" s="156">
        <f>SUM('案件．要員情報'!CG24:CP24)</f>
        <v>0</v>
      </c>
      <c r="W23" s="156">
        <f>SUM('案件．要員情報'!CQ24:CW24)</f>
        <v>0</v>
      </c>
      <c r="X23" s="156">
        <f>SUM('案件．要員情報'!CX24:DD24)</f>
        <v>0</v>
      </c>
      <c r="Y23" s="156">
        <f>SUM('案件．要員情報'!DE24:DK24)</f>
        <v>0</v>
      </c>
      <c r="Z23" s="156">
        <f>SUM('案件．要員情報'!DL24:DS24)</f>
        <v>0</v>
      </c>
      <c r="AA23" s="159">
        <f t="shared" si="0"/>
        <v>0.93253968253968267</v>
      </c>
    </row>
    <row r="24" spans="1:27" s="154" customFormat="1" ht="18.75" hidden="1" customHeight="1" outlineLevel="1" x14ac:dyDescent="0.4">
      <c r="A24" s="347">
        <v>10</v>
      </c>
      <c r="B24" s="347" t="s">
        <v>47</v>
      </c>
      <c r="C24" s="347" t="s">
        <v>347</v>
      </c>
      <c r="D24" s="349" t="s">
        <v>462</v>
      </c>
      <c r="E24" s="349" t="s">
        <v>456</v>
      </c>
      <c r="F24" s="349" t="s">
        <v>459</v>
      </c>
      <c r="G24" s="563" t="s">
        <v>458</v>
      </c>
      <c r="H24" s="362"/>
      <c r="I24" s="362"/>
      <c r="J24" s="362"/>
      <c r="K24" s="364"/>
      <c r="L24" s="364"/>
      <c r="M24" s="358"/>
      <c r="N24" s="157" t="s">
        <v>24</v>
      </c>
      <c r="O24" s="153">
        <f>SUM('案件．要員情報'!O25:X25)</f>
        <v>0.16666666666666669</v>
      </c>
      <c r="P24" s="153">
        <f>SUM('案件．要員情報'!Y25:AH25)</f>
        <v>5.7142857142857148E-2</v>
      </c>
      <c r="Q24" s="153">
        <f>SUM('案件．要員情報'!AI25:AR25)</f>
        <v>0</v>
      </c>
      <c r="R24" s="153">
        <f>SUM('案件．要員情報'!AS25:BB25)</f>
        <v>0</v>
      </c>
      <c r="S24" s="153">
        <f>SUM('案件．要員情報'!BC25:BL25)</f>
        <v>0</v>
      </c>
      <c r="T24" s="153">
        <f>SUM('案件．要員情報'!BM25:BV25)</f>
        <v>0</v>
      </c>
      <c r="U24" s="153">
        <f>SUM('案件．要員情報'!BW25:CF25)</f>
        <v>0</v>
      </c>
      <c r="V24" s="153">
        <f>SUM('案件．要員情報'!CG25:CP25)</f>
        <v>0</v>
      </c>
      <c r="W24" s="153">
        <f>SUM('案件．要員情報'!CQ25:CW25)</f>
        <v>0</v>
      </c>
      <c r="X24" s="153">
        <f>SUM('案件．要員情報'!CX25:DD25)</f>
        <v>0</v>
      </c>
      <c r="Y24" s="153">
        <f>SUM('案件．要員情報'!DE25:DK25)</f>
        <v>0</v>
      </c>
      <c r="Z24" s="153">
        <f>SUM('案件．要員情報'!DL25:DS25)</f>
        <v>0</v>
      </c>
      <c r="AA24" s="215">
        <f t="shared" si="0"/>
        <v>0.22380952380952385</v>
      </c>
    </row>
    <row r="25" spans="1:27" s="154" customFormat="1" ht="18.75" hidden="1" customHeight="1" outlineLevel="1" x14ac:dyDescent="0.4">
      <c r="A25" s="348"/>
      <c r="B25" s="348"/>
      <c r="C25" s="348"/>
      <c r="D25" s="370"/>
      <c r="E25" s="350"/>
      <c r="F25" s="370"/>
      <c r="G25" s="565"/>
      <c r="H25" s="363"/>
      <c r="I25" s="363"/>
      <c r="J25" s="363"/>
      <c r="K25" s="365"/>
      <c r="L25" s="365"/>
      <c r="M25" s="359"/>
      <c r="N25" s="158" t="s">
        <v>25</v>
      </c>
      <c r="O25" s="156">
        <f>SUM('案件．要員情報'!O26:X26)</f>
        <v>0.15</v>
      </c>
      <c r="P25" s="156">
        <f>SUM('案件．要員情報'!Y26:AH26)</f>
        <v>5.0793650793650794E-2</v>
      </c>
      <c r="Q25" s="156">
        <f>SUM('案件．要員情報'!AI26:AR26)</f>
        <v>0</v>
      </c>
      <c r="R25" s="156">
        <f>SUM('案件．要員情報'!AS26:BB26)</f>
        <v>0</v>
      </c>
      <c r="S25" s="156">
        <f>SUM('案件．要員情報'!BC26:BL26)</f>
        <v>0</v>
      </c>
      <c r="T25" s="156">
        <f>SUM('案件．要員情報'!BM26:BV26)</f>
        <v>0</v>
      </c>
      <c r="U25" s="156">
        <f>SUM('案件．要員情報'!BW26:CF26)</f>
        <v>0</v>
      </c>
      <c r="V25" s="156">
        <f>SUM('案件．要員情報'!CG26:CP26)</f>
        <v>0</v>
      </c>
      <c r="W25" s="156">
        <f>SUM('案件．要員情報'!CQ26:CW26)</f>
        <v>0</v>
      </c>
      <c r="X25" s="156">
        <f>SUM('案件．要員情報'!CX26:DD26)</f>
        <v>0</v>
      </c>
      <c r="Y25" s="156">
        <f>SUM('案件．要員情報'!DE26:DK26)</f>
        <v>0</v>
      </c>
      <c r="Z25" s="156">
        <f>SUM('案件．要員情報'!DL26:DS26)</f>
        <v>0</v>
      </c>
      <c r="AA25" s="159">
        <f t="shared" si="0"/>
        <v>0.2007936507936508</v>
      </c>
    </row>
    <row r="26" spans="1:27" s="154" customFormat="1" ht="18.75" hidden="1" customHeight="1" outlineLevel="1" collapsed="1" x14ac:dyDescent="0.4">
      <c r="A26" s="347">
        <v>11</v>
      </c>
      <c r="B26" s="347" t="s">
        <v>47</v>
      </c>
      <c r="C26" s="347" t="s">
        <v>347</v>
      </c>
      <c r="D26" s="349" t="s">
        <v>467</v>
      </c>
      <c r="E26" s="349" t="s">
        <v>457</v>
      </c>
      <c r="F26" s="349" t="s">
        <v>463</v>
      </c>
      <c r="G26" s="563" t="s">
        <v>464</v>
      </c>
      <c r="H26" s="362"/>
      <c r="I26" s="362"/>
      <c r="J26" s="362"/>
      <c r="K26" s="364"/>
      <c r="L26" s="364"/>
      <c r="M26" s="358"/>
      <c r="N26" s="157" t="s">
        <v>24</v>
      </c>
      <c r="O26" s="153">
        <f>SUM('案件．要員情報'!O27:X27)</f>
        <v>0.55000000000000004</v>
      </c>
      <c r="P26" s="153">
        <f>SUM('案件．要員情報'!Y27:AH27)</f>
        <v>1.2698412698412698E-2</v>
      </c>
      <c r="Q26" s="153">
        <f>SUM('案件．要員情報'!AI27:AR27)</f>
        <v>0</v>
      </c>
      <c r="R26" s="153">
        <f>SUM('案件．要員情報'!AS27:BB27)</f>
        <v>0</v>
      </c>
      <c r="S26" s="153">
        <f>SUM('案件．要員情報'!BC27:BL27)</f>
        <v>0</v>
      </c>
      <c r="T26" s="153">
        <f>SUM('案件．要員情報'!BM27:BV27)</f>
        <v>0</v>
      </c>
      <c r="U26" s="153">
        <f>SUM('案件．要員情報'!BW27:CF27)</f>
        <v>0</v>
      </c>
      <c r="V26" s="153">
        <f>SUM('案件．要員情報'!CG27:CP27)</f>
        <v>0</v>
      </c>
      <c r="W26" s="153">
        <f>SUM('案件．要員情報'!CQ27:CW27)</f>
        <v>0</v>
      </c>
      <c r="X26" s="153">
        <f>SUM('案件．要員情報'!CX27:DD27)</f>
        <v>0</v>
      </c>
      <c r="Y26" s="153">
        <f>SUM('案件．要員情報'!DE27:DK27)</f>
        <v>0</v>
      </c>
      <c r="Z26" s="153">
        <f>SUM('案件．要員情報'!DL27:DS27)</f>
        <v>0</v>
      </c>
      <c r="AA26" s="215">
        <f t="shared" si="0"/>
        <v>0.5626984126984127</v>
      </c>
    </row>
    <row r="27" spans="1:27" s="154" customFormat="1" ht="18.75" hidden="1" customHeight="1" outlineLevel="1" x14ac:dyDescent="0.4">
      <c r="A27" s="348"/>
      <c r="B27" s="348"/>
      <c r="C27" s="348"/>
      <c r="D27" s="350"/>
      <c r="E27" s="350"/>
      <c r="F27" s="350"/>
      <c r="G27" s="565"/>
      <c r="H27" s="363"/>
      <c r="I27" s="363"/>
      <c r="J27" s="363"/>
      <c r="K27" s="365"/>
      <c r="L27" s="365"/>
      <c r="M27" s="359"/>
      <c r="N27" s="158" t="s">
        <v>25</v>
      </c>
      <c r="O27" s="156">
        <f>SUM('案件．要員情報'!O28:X28)</f>
        <v>0.52500000000000002</v>
      </c>
      <c r="P27" s="156">
        <f>SUM('案件．要員情報'!Y28:AH28)</f>
        <v>6.3492063492063492E-3</v>
      </c>
      <c r="Q27" s="156">
        <f>SUM('案件．要員情報'!AI28:AR28)</f>
        <v>0</v>
      </c>
      <c r="R27" s="156">
        <f>SUM('案件．要員情報'!AS28:BB28)</f>
        <v>0</v>
      </c>
      <c r="S27" s="156">
        <f>SUM('案件．要員情報'!BC28:BL28)</f>
        <v>0</v>
      </c>
      <c r="T27" s="156">
        <f>SUM('案件．要員情報'!BM28:BV28)</f>
        <v>0</v>
      </c>
      <c r="U27" s="156">
        <f>SUM('案件．要員情報'!BW28:CF28)</f>
        <v>0</v>
      </c>
      <c r="V27" s="156">
        <f>SUM('案件．要員情報'!CG28:CP28)</f>
        <v>0</v>
      </c>
      <c r="W27" s="156">
        <f>SUM('案件．要員情報'!CQ28:CW28)</f>
        <v>0</v>
      </c>
      <c r="X27" s="156">
        <f>SUM('案件．要員情報'!CX28:DD28)</f>
        <v>0</v>
      </c>
      <c r="Y27" s="156">
        <f>SUM('案件．要員情報'!DE28:DK28)</f>
        <v>0</v>
      </c>
      <c r="Z27" s="156">
        <f>SUM('案件．要員情報'!DL28:DS28)</f>
        <v>0</v>
      </c>
      <c r="AA27" s="159">
        <f t="shared" si="0"/>
        <v>0.53134920634920635</v>
      </c>
    </row>
    <row r="28" spans="1:27" s="154" customFormat="1" ht="18.75" hidden="1" customHeight="1" outlineLevel="1" x14ac:dyDescent="0.4">
      <c r="A28" s="347">
        <v>12</v>
      </c>
      <c r="B28" s="347" t="s">
        <v>47</v>
      </c>
      <c r="C28" s="347" t="s">
        <v>14</v>
      </c>
      <c r="D28" s="349" t="s">
        <v>440</v>
      </c>
      <c r="E28" s="349" t="s">
        <v>478</v>
      </c>
      <c r="F28" s="349"/>
      <c r="G28" s="563" t="s">
        <v>479</v>
      </c>
      <c r="H28" s="362"/>
      <c r="I28" s="362"/>
      <c r="J28" s="362"/>
      <c r="K28" s="364"/>
      <c r="L28" s="364"/>
      <c r="M28" s="358"/>
      <c r="N28" s="157" t="s">
        <v>24</v>
      </c>
      <c r="O28" s="153">
        <f>SUM('案件．要員情報'!O29:X29)</f>
        <v>9.1666666666666674E-2</v>
      </c>
      <c r="P28" s="153">
        <f>SUM('案件．要員情報'!Y29:AH29)</f>
        <v>0</v>
      </c>
      <c r="Q28" s="153">
        <f>SUM('案件．要員情報'!AI29:AR29)</f>
        <v>0</v>
      </c>
      <c r="R28" s="153">
        <f>SUM('案件．要員情報'!AS29:BB29)</f>
        <v>0</v>
      </c>
      <c r="S28" s="153">
        <f>SUM('案件．要員情報'!BC29:BL29)</f>
        <v>0</v>
      </c>
      <c r="T28" s="153">
        <f>SUM('案件．要員情報'!BM29:BV29)</f>
        <v>0</v>
      </c>
      <c r="U28" s="153">
        <f>SUM('案件．要員情報'!BW29:CF29)</f>
        <v>0</v>
      </c>
      <c r="V28" s="153">
        <f>SUM('案件．要員情報'!CG29:CP29)</f>
        <v>0</v>
      </c>
      <c r="W28" s="153">
        <f>SUM('案件．要員情報'!CQ29:CW29)</f>
        <v>0</v>
      </c>
      <c r="X28" s="153">
        <f>SUM('案件．要員情報'!CX29:DD29)</f>
        <v>0</v>
      </c>
      <c r="Y28" s="153">
        <f>SUM('案件．要員情報'!DE29:DK29)</f>
        <v>0</v>
      </c>
      <c r="Z28" s="153">
        <f>SUM('案件．要員情報'!DL29:DS29)</f>
        <v>0</v>
      </c>
      <c r="AA28" s="215">
        <f t="shared" si="0"/>
        <v>9.1666666666666674E-2</v>
      </c>
    </row>
    <row r="29" spans="1:27" s="154" customFormat="1" ht="18.75" hidden="1" customHeight="1" outlineLevel="1" x14ac:dyDescent="0.4">
      <c r="A29" s="348"/>
      <c r="B29" s="348"/>
      <c r="C29" s="348"/>
      <c r="D29" s="350"/>
      <c r="E29" s="350"/>
      <c r="F29" s="350"/>
      <c r="G29" s="565"/>
      <c r="H29" s="363"/>
      <c r="I29" s="363"/>
      <c r="J29" s="363"/>
      <c r="K29" s="365"/>
      <c r="L29" s="365"/>
      <c r="M29" s="359"/>
      <c r="N29" s="158" t="s">
        <v>25</v>
      </c>
      <c r="O29" s="156">
        <f>SUM('案件．要員情報'!O30:X30)</f>
        <v>7.0833333333333331E-2</v>
      </c>
      <c r="P29" s="156">
        <f>SUM('案件．要員情報'!Y30:AH30)</f>
        <v>0</v>
      </c>
      <c r="Q29" s="156">
        <f>SUM('案件．要員情報'!AI30:AR30)</f>
        <v>0</v>
      </c>
      <c r="R29" s="156">
        <f>SUM('案件．要員情報'!AS30:BB30)</f>
        <v>0</v>
      </c>
      <c r="S29" s="156">
        <f>SUM('案件．要員情報'!BC30:BL30)</f>
        <v>0</v>
      </c>
      <c r="T29" s="156">
        <f>SUM('案件．要員情報'!BM30:BV30)</f>
        <v>0</v>
      </c>
      <c r="U29" s="156">
        <f>SUM('案件．要員情報'!BW30:CF30)</f>
        <v>0</v>
      </c>
      <c r="V29" s="156">
        <f>SUM('案件．要員情報'!CG30:CP30)</f>
        <v>0</v>
      </c>
      <c r="W29" s="156">
        <f>SUM('案件．要員情報'!CQ30:CW30)</f>
        <v>0</v>
      </c>
      <c r="X29" s="156">
        <f>SUM('案件．要員情報'!CX30:DD30)</f>
        <v>0</v>
      </c>
      <c r="Y29" s="156">
        <f>SUM('案件．要員情報'!DE30:DK30)</f>
        <v>0</v>
      </c>
      <c r="Z29" s="156">
        <f>SUM('案件．要員情報'!DL30:DS30)</f>
        <v>0</v>
      </c>
      <c r="AA29" s="159">
        <f t="shared" si="0"/>
        <v>7.0833333333333331E-2</v>
      </c>
    </row>
    <row r="30" spans="1:27" s="154" customFormat="1" ht="18.75" hidden="1" customHeight="1" outlineLevel="1" x14ac:dyDescent="0.4">
      <c r="A30" s="347">
        <v>13</v>
      </c>
      <c r="B30" s="347" t="s">
        <v>47</v>
      </c>
      <c r="C30" s="347" t="s">
        <v>14</v>
      </c>
      <c r="D30" s="349" t="s">
        <v>487</v>
      </c>
      <c r="E30" s="349" t="s">
        <v>486</v>
      </c>
      <c r="F30" s="349"/>
      <c r="G30" s="563" t="s">
        <v>488</v>
      </c>
      <c r="H30" s="362"/>
      <c r="I30" s="362"/>
      <c r="J30" s="362"/>
      <c r="K30" s="364"/>
      <c r="L30" s="364"/>
      <c r="M30" s="358"/>
      <c r="N30" s="157" t="s">
        <v>24</v>
      </c>
      <c r="O30" s="153">
        <f>SUM('案件．要員情報'!O31:X31)</f>
        <v>0</v>
      </c>
      <c r="P30" s="153">
        <f>SUM('案件．要員情報'!Y31:AH31)</f>
        <v>0.47619047619047616</v>
      </c>
      <c r="Q30" s="153">
        <f>SUM('案件．要員情報'!AI31:AR31)</f>
        <v>0.20952380952380953</v>
      </c>
      <c r="R30" s="153">
        <f>SUM('案件．要員情報'!AS31:BB31)</f>
        <v>0</v>
      </c>
      <c r="S30" s="153">
        <f>SUM('案件．要員情報'!BC31:BL31)</f>
        <v>0</v>
      </c>
      <c r="T30" s="153">
        <f>SUM('案件．要員情報'!BM31:BV31)</f>
        <v>0</v>
      </c>
      <c r="U30" s="153">
        <f>SUM('案件．要員情報'!BW31:CF31)</f>
        <v>0</v>
      </c>
      <c r="V30" s="153">
        <f>SUM('案件．要員情報'!CG31:CP31)</f>
        <v>0</v>
      </c>
      <c r="W30" s="153">
        <f>SUM('案件．要員情報'!CQ31:CW31)</f>
        <v>0</v>
      </c>
      <c r="X30" s="153">
        <f>SUM('案件．要員情報'!CX31:DD31)</f>
        <v>0</v>
      </c>
      <c r="Y30" s="153">
        <f>SUM('案件．要員情報'!DE31:DK31)</f>
        <v>0</v>
      </c>
      <c r="Z30" s="153">
        <f>SUM('案件．要員情報'!DL31:DS31)</f>
        <v>0</v>
      </c>
      <c r="AA30" s="215">
        <f t="shared" si="0"/>
        <v>0.68571428571428572</v>
      </c>
    </row>
    <row r="31" spans="1:27" s="154" customFormat="1" ht="18.75" hidden="1" customHeight="1" outlineLevel="1" x14ac:dyDescent="0.4">
      <c r="A31" s="348"/>
      <c r="B31" s="348"/>
      <c r="C31" s="348"/>
      <c r="D31" s="350"/>
      <c r="E31" s="350"/>
      <c r="F31" s="350"/>
      <c r="G31" s="565"/>
      <c r="H31" s="363"/>
      <c r="I31" s="363"/>
      <c r="J31" s="363"/>
      <c r="K31" s="365"/>
      <c r="L31" s="365"/>
      <c r="M31" s="359"/>
      <c r="N31" s="158" t="s">
        <v>25</v>
      </c>
      <c r="O31" s="156">
        <f>SUM('案件．要員情報'!O32:X32)</f>
        <v>0</v>
      </c>
      <c r="P31" s="156">
        <f>SUM('案件．要員情報'!Y32:AH32)</f>
        <v>0.39365079365079364</v>
      </c>
      <c r="Q31" s="156">
        <f>SUM('案件．要員情報'!AI32:AR32)</f>
        <v>0.20317460317460317</v>
      </c>
      <c r="R31" s="156">
        <f>SUM('案件．要員情報'!AS32:BB32)</f>
        <v>0</v>
      </c>
      <c r="S31" s="156">
        <f>SUM('案件．要員情報'!BC32:BL32)</f>
        <v>0</v>
      </c>
      <c r="T31" s="156">
        <f>SUM('案件．要員情報'!BM32:BV32)</f>
        <v>0</v>
      </c>
      <c r="U31" s="156">
        <f>SUM('案件．要員情報'!BW32:CF32)</f>
        <v>0</v>
      </c>
      <c r="V31" s="156">
        <f>SUM('案件．要員情報'!CG32:CP32)</f>
        <v>0</v>
      </c>
      <c r="W31" s="156">
        <f>SUM('案件．要員情報'!CQ32:CW32)</f>
        <v>0</v>
      </c>
      <c r="X31" s="156">
        <f>SUM('案件．要員情報'!CX32:DD32)</f>
        <v>0</v>
      </c>
      <c r="Y31" s="156">
        <f>SUM('案件．要員情報'!DE32:DK32)</f>
        <v>0</v>
      </c>
      <c r="Z31" s="156">
        <f>SUM('案件．要員情報'!DL32:DS32)</f>
        <v>0</v>
      </c>
      <c r="AA31" s="159">
        <f t="shared" si="0"/>
        <v>0.59682539682539681</v>
      </c>
    </row>
    <row r="32" spans="1:27" s="154" customFormat="1" ht="18.75" hidden="1" customHeight="1" outlineLevel="1" collapsed="1" x14ac:dyDescent="0.4">
      <c r="A32" s="347">
        <v>14</v>
      </c>
      <c r="B32" s="347" t="s">
        <v>47</v>
      </c>
      <c r="C32" s="347" t="s">
        <v>14</v>
      </c>
      <c r="D32" s="349" t="s">
        <v>503</v>
      </c>
      <c r="E32" s="349" t="s">
        <v>504</v>
      </c>
      <c r="F32" s="349"/>
      <c r="G32" s="610" t="s">
        <v>505</v>
      </c>
      <c r="H32" s="362"/>
      <c r="I32" s="362"/>
      <c r="J32" s="362"/>
      <c r="K32" s="364"/>
      <c r="L32" s="364"/>
      <c r="M32" s="358"/>
      <c r="N32" s="157" t="s">
        <v>24</v>
      </c>
      <c r="O32" s="153">
        <f>SUM('案件．要員情報'!O33:X33)</f>
        <v>0</v>
      </c>
      <c r="P32" s="153">
        <f>SUM('案件．要員情報'!Y33:AH33)</f>
        <v>0.60317460317460314</v>
      </c>
      <c r="Q32" s="153">
        <f>SUM('案件．要員情報'!AI33:AR33)</f>
        <v>3.2777777777777781</v>
      </c>
      <c r="R32" s="153">
        <f>SUM('案件．要員情報'!AS33:BB33)</f>
        <v>2.5333333333333337</v>
      </c>
      <c r="S32" s="153">
        <f>SUM('案件．要員情報'!BC33:BL33)</f>
        <v>3.301587301587301</v>
      </c>
      <c r="T32" s="153">
        <f>SUM('案件．要員情報'!BM33:BV33)</f>
        <v>0</v>
      </c>
      <c r="U32" s="153">
        <f>SUM('案件．要員情報'!BW33:CF33)</f>
        <v>0</v>
      </c>
      <c r="V32" s="153">
        <f>SUM('案件．要員情報'!CG33:CP33)</f>
        <v>0</v>
      </c>
      <c r="W32" s="153">
        <f>SUM('案件．要員情報'!CQ33:CW33)</f>
        <v>0</v>
      </c>
      <c r="X32" s="153">
        <f>SUM('案件．要員情報'!CX33:DD33)</f>
        <v>0</v>
      </c>
      <c r="Y32" s="153">
        <f>SUM('案件．要員情報'!DE33:DK33)</f>
        <v>0</v>
      </c>
      <c r="Z32" s="153">
        <f>SUM('案件．要員情報'!DL33:DS33)</f>
        <v>0</v>
      </c>
      <c r="AA32" s="215">
        <f t="shared" si="0"/>
        <v>9.7158730158730151</v>
      </c>
    </row>
    <row r="33" spans="1:27" s="154" customFormat="1" ht="18.75" hidden="1" customHeight="1" outlineLevel="1" x14ac:dyDescent="0.4">
      <c r="A33" s="348"/>
      <c r="B33" s="348"/>
      <c r="C33" s="348"/>
      <c r="D33" s="350"/>
      <c r="E33" s="350"/>
      <c r="F33" s="350"/>
      <c r="G33" s="610"/>
      <c r="H33" s="363"/>
      <c r="I33" s="363"/>
      <c r="J33" s="363"/>
      <c r="K33" s="365"/>
      <c r="L33" s="365"/>
      <c r="M33" s="359"/>
      <c r="N33" s="158" t="s">
        <v>25</v>
      </c>
      <c r="O33" s="156">
        <f>SUM('案件．要員情報'!O34:X34)</f>
        <v>0</v>
      </c>
      <c r="P33" s="156">
        <f>SUM('案件．要員情報'!Y34:AH34)</f>
        <v>0.580952380952381</v>
      </c>
      <c r="Q33" s="156">
        <f>SUM('案件．要員情報'!AI34:AR34)</f>
        <v>3.2698412698412698</v>
      </c>
      <c r="R33" s="156">
        <f>SUM('案件．要員情報'!AS34:BB34)</f>
        <v>2.4575757575757575</v>
      </c>
      <c r="S33" s="156">
        <f>SUM('案件．要員情報'!BC34:BL34)</f>
        <v>3.2888888888888888</v>
      </c>
      <c r="T33" s="156">
        <f>SUM('案件．要員情報'!BM34:BV34)</f>
        <v>0</v>
      </c>
      <c r="U33" s="156">
        <f>SUM('案件．要員情報'!BW34:CF34)</f>
        <v>0</v>
      </c>
      <c r="V33" s="156">
        <f>SUM('案件．要員情報'!CG34:CP34)</f>
        <v>0</v>
      </c>
      <c r="W33" s="156">
        <f>SUM('案件．要員情報'!CQ34:CW34)</f>
        <v>0</v>
      </c>
      <c r="X33" s="156">
        <f>SUM('案件．要員情報'!CX34:DD34)</f>
        <v>0</v>
      </c>
      <c r="Y33" s="156">
        <f>SUM('案件．要員情報'!DE34:DK34)</f>
        <v>0</v>
      </c>
      <c r="Z33" s="156">
        <f>SUM('案件．要員情報'!DL34:DS34)</f>
        <v>0</v>
      </c>
      <c r="AA33" s="159">
        <f t="shared" si="0"/>
        <v>9.5972582972582963</v>
      </c>
    </row>
    <row r="34" spans="1:27" s="154" customFormat="1" ht="18.75" hidden="1" customHeight="1" outlineLevel="1" x14ac:dyDescent="0.4">
      <c r="A34" s="347">
        <v>15</v>
      </c>
      <c r="B34" s="347" t="s">
        <v>47</v>
      </c>
      <c r="C34" s="347" t="s">
        <v>14</v>
      </c>
      <c r="D34" s="349" t="s">
        <v>520</v>
      </c>
      <c r="E34" s="349" t="s">
        <v>519</v>
      </c>
      <c r="F34" s="349"/>
      <c r="G34" s="563" t="s">
        <v>514</v>
      </c>
      <c r="H34" s="362"/>
      <c r="I34" s="362"/>
      <c r="J34" s="362"/>
      <c r="K34" s="364"/>
      <c r="L34" s="364"/>
      <c r="M34" s="358"/>
      <c r="N34" s="157" t="s">
        <v>24</v>
      </c>
      <c r="O34" s="153">
        <f>SUM('案件．要員情報'!O35:X35)</f>
        <v>0</v>
      </c>
      <c r="P34" s="153">
        <f>SUM('案件．要員情報'!Y35:AH35)</f>
        <v>0.63492063492063489</v>
      </c>
      <c r="Q34" s="153">
        <f>SUM('案件．要員情報'!AI35:AR35)</f>
        <v>1.2634920634920634</v>
      </c>
      <c r="R34" s="153">
        <f>SUM('案件．要員情報'!AS35:BB35)</f>
        <v>0.84848484848484851</v>
      </c>
      <c r="S34" s="153">
        <f>SUM('案件．要員情報'!BC35:BL35)</f>
        <v>1.8412698412698412</v>
      </c>
      <c r="T34" s="153">
        <f>SUM('案件．要員情報'!BM35:BV35)</f>
        <v>0</v>
      </c>
      <c r="U34" s="153">
        <f>SUM('案件．要員情報'!BW35:CF35)</f>
        <v>0</v>
      </c>
      <c r="V34" s="153">
        <f>SUM('案件．要員情報'!CG35:CP35)</f>
        <v>0</v>
      </c>
      <c r="W34" s="153">
        <f>SUM('案件．要員情報'!CQ35:CW35)</f>
        <v>0</v>
      </c>
      <c r="X34" s="153">
        <f>SUM('案件．要員情報'!CX35:DD35)</f>
        <v>0</v>
      </c>
      <c r="Y34" s="153">
        <f>SUM('案件．要員情報'!DE35:DK35)</f>
        <v>0</v>
      </c>
      <c r="Z34" s="153">
        <f>SUM('案件．要員情報'!DL35:DS35)</f>
        <v>0</v>
      </c>
      <c r="AA34" s="215">
        <f t="shared" si="0"/>
        <v>4.5881673881673883</v>
      </c>
    </row>
    <row r="35" spans="1:27" s="154" customFormat="1" ht="20.100000000000001" hidden="1" customHeight="1" outlineLevel="1" x14ac:dyDescent="0.4">
      <c r="A35" s="348"/>
      <c r="B35" s="348"/>
      <c r="C35" s="348"/>
      <c r="D35" s="350"/>
      <c r="E35" s="350"/>
      <c r="F35" s="350"/>
      <c r="G35" s="565"/>
      <c r="H35" s="363"/>
      <c r="I35" s="363"/>
      <c r="J35" s="363"/>
      <c r="K35" s="365"/>
      <c r="L35" s="365"/>
      <c r="M35" s="359"/>
      <c r="N35" s="158" t="s">
        <v>25</v>
      </c>
      <c r="O35" s="156">
        <f>SUM('案件．要員情報'!O36:X36)</f>
        <v>0</v>
      </c>
      <c r="P35" s="156">
        <f>SUM('案件．要員情報'!Y36:AH36)</f>
        <v>0.61269841269841274</v>
      </c>
      <c r="Q35" s="156">
        <f>SUM('案件．要員情報'!AI36:AR36)</f>
        <v>1.2476190476190476</v>
      </c>
      <c r="R35" s="156">
        <f>SUM('案件．要員情報'!AS36:BB36)</f>
        <v>0.87575757575757585</v>
      </c>
      <c r="S35" s="156">
        <f>SUM('案件．要員情報'!BC36:BL36)</f>
        <v>1.7111111111111108</v>
      </c>
      <c r="T35" s="156">
        <f>SUM('案件．要員情報'!BM36:BV36)</f>
        <v>0</v>
      </c>
      <c r="U35" s="156">
        <f>SUM('案件．要員情報'!BW36:CF36)</f>
        <v>0</v>
      </c>
      <c r="V35" s="156">
        <f>SUM('案件．要員情報'!CG36:CP36)</f>
        <v>0</v>
      </c>
      <c r="W35" s="156">
        <f>SUM('案件．要員情報'!CQ36:CW36)</f>
        <v>0</v>
      </c>
      <c r="X35" s="156">
        <f>SUM('案件．要員情報'!CX36:DD36)</f>
        <v>0</v>
      </c>
      <c r="Y35" s="156">
        <f>SUM('案件．要員情報'!DE36:DK36)</f>
        <v>0</v>
      </c>
      <c r="Z35" s="156">
        <f>SUM('案件．要員情報'!DL36:DS36)</f>
        <v>0</v>
      </c>
      <c r="AA35" s="159">
        <f t="shared" si="0"/>
        <v>4.4471861471861471</v>
      </c>
    </row>
    <row r="36" spans="1:27" s="154" customFormat="1" ht="20.100000000000001" hidden="1" customHeight="1" outlineLevel="1" x14ac:dyDescent="0.4">
      <c r="A36" s="347">
        <v>16</v>
      </c>
      <c r="B36" s="347" t="s">
        <v>47</v>
      </c>
      <c r="C36" s="347" t="s">
        <v>14</v>
      </c>
      <c r="D36" s="349" t="s">
        <v>521</v>
      </c>
      <c r="E36" s="349" t="s">
        <v>512</v>
      </c>
      <c r="F36" s="349"/>
      <c r="G36" s="563" t="s">
        <v>515</v>
      </c>
      <c r="H36" s="362"/>
      <c r="I36" s="362"/>
      <c r="J36" s="362"/>
      <c r="K36" s="364"/>
      <c r="L36" s="364"/>
      <c r="M36" s="358"/>
      <c r="N36" s="157" t="s">
        <v>24</v>
      </c>
      <c r="O36" s="153">
        <f>SUM('案件．要員情報'!O37:X37)</f>
        <v>0</v>
      </c>
      <c r="P36" s="153">
        <f>SUM('案件．要員情報'!Y37:AH37)</f>
        <v>0.31746031746031744</v>
      </c>
      <c r="Q36" s="153">
        <f>SUM('案件．要員情報'!AI37:AR37)</f>
        <v>0.43180952380952381</v>
      </c>
      <c r="R36" s="153">
        <f>SUM('案件．要員情報'!AS37:BB37)</f>
        <v>0</v>
      </c>
      <c r="S36" s="153">
        <f>SUM('案件．要員情報'!BC37:BL37)</f>
        <v>0</v>
      </c>
      <c r="T36" s="153">
        <f>SUM('案件．要員情報'!BM37:BV37)</f>
        <v>0</v>
      </c>
      <c r="U36" s="153">
        <f>SUM('案件．要員情報'!BW37:CF37)</f>
        <v>0</v>
      </c>
      <c r="V36" s="153">
        <f>SUM('案件．要員情報'!CG37:CP37)</f>
        <v>0</v>
      </c>
      <c r="W36" s="153">
        <f>SUM('案件．要員情報'!CQ37:CW37)</f>
        <v>0</v>
      </c>
      <c r="X36" s="153">
        <f>SUM('案件．要員情報'!CX37:DD37)</f>
        <v>0</v>
      </c>
      <c r="Y36" s="153">
        <f>SUM('案件．要員情報'!DE37:DK37)</f>
        <v>0</v>
      </c>
      <c r="Z36" s="153">
        <f>SUM('案件．要員情報'!DL37:DS37)</f>
        <v>0</v>
      </c>
      <c r="AA36" s="215">
        <f t="shared" si="0"/>
        <v>0.74926984126984131</v>
      </c>
    </row>
    <row r="37" spans="1:27" s="154" customFormat="1" ht="20.100000000000001" hidden="1" customHeight="1" outlineLevel="1" x14ac:dyDescent="0.4">
      <c r="A37" s="348"/>
      <c r="B37" s="348"/>
      <c r="C37" s="348"/>
      <c r="D37" s="350"/>
      <c r="E37" s="350"/>
      <c r="F37" s="350"/>
      <c r="G37" s="565"/>
      <c r="H37" s="363"/>
      <c r="I37" s="363"/>
      <c r="J37" s="363"/>
      <c r="K37" s="365"/>
      <c r="L37" s="365"/>
      <c r="M37" s="359"/>
      <c r="N37" s="158" t="s">
        <v>25</v>
      </c>
      <c r="O37" s="156">
        <f>SUM('案件．要員情報'!O38:X38)</f>
        <v>0</v>
      </c>
      <c r="P37" s="156">
        <f>SUM('案件．要員情報'!Y38:AH38)</f>
        <v>0.27936507936507937</v>
      </c>
      <c r="Q37" s="156">
        <f>SUM('案件．要員情報'!AI38:AR38)</f>
        <v>0.4285714285714286</v>
      </c>
      <c r="R37" s="156">
        <f>SUM('案件．要員情報'!AS38:BB38)</f>
        <v>0</v>
      </c>
      <c r="S37" s="156">
        <f>SUM('案件．要員情報'!BC38:BL38)</f>
        <v>0</v>
      </c>
      <c r="T37" s="156">
        <f>SUM('案件．要員情報'!BM38:BV38)</f>
        <v>0</v>
      </c>
      <c r="U37" s="156">
        <f>SUM('案件．要員情報'!BW38:CF38)</f>
        <v>0</v>
      </c>
      <c r="V37" s="156">
        <f>SUM('案件．要員情報'!CG38:CP38)</f>
        <v>0</v>
      </c>
      <c r="W37" s="156">
        <f>SUM('案件．要員情報'!CQ38:CW38)</f>
        <v>0</v>
      </c>
      <c r="X37" s="156">
        <f>SUM('案件．要員情報'!CX38:DD38)</f>
        <v>0</v>
      </c>
      <c r="Y37" s="156">
        <f>SUM('案件．要員情報'!DE38:DK38)</f>
        <v>0</v>
      </c>
      <c r="Z37" s="156">
        <f>SUM('案件．要員情報'!DL38:DS38)</f>
        <v>0</v>
      </c>
      <c r="AA37" s="159">
        <f t="shared" si="0"/>
        <v>0.70793650793650797</v>
      </c>
    </row>
    <row r="38" spans="1:27" s="154" customFormat="1" ht="20.100000000000001" hidden="1" customHeight="1" outlineLevel="1" x14ac:dyDescent="0.4">
      <c r="A38" s="347">
        <v>17</v>
      </c>
      <c r="B38" s="347" t="s">
        <v>47</v>
      </c>
      <c r="C38" s="347" t="s">
        <v>14</v>
      </c>
      <c r="D38" s="349" t="s">
        <v>436</v>
      </c>
      <c r="E38" s="349" t="s">
        <v>537</v>
      </c>
      <c r="F38" s="349"/>
      <c r="G38" s="563" t="s">
        <v>538</v>
      </c>
      <c r="H38" s="362"/>
      <c r="I38" s="362"/>
      <c r="J38" s="362"/>
      <c r="K38" s="364"/>
      <c r="L38" s="364"/>
      <c r="M38" s="358"/>
      <c r="N38" s="157" t="s">
        <v>24</v>
      </c>
      <c r="O38" s="153">
        <f>SUM('案件．要員情報'!O39:X39)</f>
        <v>0</v>
      </c>
      <c r="P38" s="153">
        <f>SUM('案件．要員情報'!Y39:AH39)</f>
        <v>0</v>
      </c>
      <c r="Q38" s="153">
        <f>SUM('案件．要員情報'!AI39:AR39)</f>
        <v>0.36825396825396822</v>
      </c>
      <c r="R38" s="153">
        <f>SUM('案件．要員情報'!AS39:BB39)</f>
        <v>0</v>
      </c>
      <c r="S38" s="153">
        <f>SUM('案件．要員情報'!BC39:BL39)</f>
        <v>0</v>
      </c>
      <c r="T38" s="153">
        <f>SUM('案件．要員情報'!BM39:BV39)</f>
        <v>0</v>
      </c>
      <c r="U38" s="153">
        <f>SUM('案件．要員情報'!BW39:CF39)</f>
        <v>0</v>
      </c>
      <c r="V38" s="153">
        <f>SUM('案件．要員情報'!CG39:CP39)</f>
        <v>0</v>
      </c>
      <c r="W38" s="153">
        <f>SUM('案件．要員情報'!CQ39:CW39)</f>
        <v>0</v>
      </c>
      <c r="X38" s="153">
        <f>SUM('案件．要員情報'!CX39:DD39)</f>
        <v>0</v>
      </c>
      <c r="Y38" s="153">
        <f>SUM('案件．要員情報'!DE39:DK39)</f>
        <v>0</v>
      </c>
      <c r="Z38" s="153">
        <f>SUM('案件．要員情報'!DL39:DS39)</f>
        <v>0</v>
      </c>
      <c r="AA38" s="215">
        <f t="shared" ref="AA38:AA51" si="1">SUM(O38:Z38)</f>
        <v>0.36825396825396822</v>
      </c>
    </row>
    <row r="39" spans="1:27" s="154" customFormat="1" ht="20.100000000000001" hidden="1" customHeight="1" outlineLevel="1" x14ac:dyDescent="0.4">
      <c r="A39" s="348"/>
      <c r="B39" s="348"/>
      <c r="C39" s="348"/>
      <c r="D39" s="350"/>
      <c r="E39" s="350"/>
      <c r="F39" s="350"/>
      <c r="G39" s="565"/>
      <c r="H39" s="363"/>
      <c r="I39" s="363"/>
      <c r="J39" s="363"/>
      <c r="K39" s="365"/>
      <c r="L39" s="365"/>
      <c r="M39" s="359"/>
      <c r="N39" s="158" t="s">
        <v>25</v>
      </c>
      <c r="O39" s="156">
        <f>SUM('案件．要員情報'!O40:X40)</f>
        <v>0</v>
      </c>
      <c r="P39" s="156">
        <f>SUM('案件．要員情報'!Y40:AH40)</f>
        <v>0</v>
      </c>
      <c r="Q39" s="156">
        <f>SUM('案件．要員情報'!AI40:AR40)</f>
        <v>0.36507936507936511</v>
      </c>
      <c r="R39" s="156">
        <f>SUM('案件．要員情報'!AS40:BB40)</f>
        <v>0</v>
      </c>
      <c r="S39" s="156">
        <f>SUM('案件．要員情報'!BC40:BL40)</f>
        <v>0</v>
      </c>
      <c r="T39" s="156">
        <f>SUM('案件．要員情報'!BM40:BV40)</f>
        <v>0</v>
      </c>
      <c r="U39" s="156">
        <f>SUM('案件．要員情報'!BW40:CF40)</f>
        <v>0</v>
      </c>
      <c r="V39" s="156">
        <f>SUM('案件．要員情報'!CG40:CP40)</f>
        <v>0</v>
      </c>
      <c r="W39" s="156">
        <f>SUM('案件．要員情報'!CQ40:CW40)</f>
        <v>0</v>
      </c>
      <c r="X39" s="156">
        <f>SUM('案件．要員情報'!CX40:DD40)</f>
        <v>0</v>
      </c>
      <c r="Y39" s="156">
        <f>SUM('案件．要員情報'!DE40:DK40)</f>
        <v>0</v>
      </c>
      <c r="Z39" s="156">
        <f>SUM('案件．要員情報'!DL40:DS40)</f>
        <v>0</v>
      </c>
      <c r="AA39" s="159">
        <f t="shared" si="1"/>
        <v>0.36507936507936511</v>
      </c>
    </row>
    <row r="40" spans="1:27" s="154" customFormat="1" ht="20.100000000000001" hidden="1" customHeight="1" outlineLevel="1" collapsed="1" x14ac:dyDescent="0.4">
      <c r="A40" s="347">
        <v>18</v>
      </c>
      <c r="B40" s="347" t="s">
        <v>47</v>
      </c>
      <c r="C40" s="347" t="s">
        <v>14</v>
      </c>
      <c r="D40" s="349" t="s">
        <v>436</v>
      </c>
      <c r="E40" s="349" t="s">
        <v>548</v>
      </c>
      <c r="F40" s="349"/>
      <c r="G40" s="563" t="s">
        <v>541</v>
      </c>
      <c r="H40" s="362"/>
      <c r="I40" s="362"/>
      <c r="J40" s="362"/>
      <c r="K40" s="364"/>
      <c r="L40" s="364"/>
      <c r="M40" s="358"/>
      <c r="N40" s="157" t="s">
        <v>24</v>
      </c>
      <c r="O40" s="153">
        <f>SUM('案件．要員情報'!O41:X41)</f>
        <v>0</v>
      </c>
      <c r="P40" s="153">
        <f>SUM('案件．要員情報'!Y41:AH41)</f>
        <v>0</v>
      </c>
      <c r="Q40" s="153">
        <f>SUM('案件．要員情報'!AI41:AR41)</f>
        <v>1.0793650793650793</v>
      </c>
      <c r="R40" s="153">
        <f>SUM('案件．要員情報'!AS41:BB41)</f>
        <v>0.58181818181818179</v>
      </c>
      <c r="S40" s="153">
        <f>SUM('案件．要員情報'!BC41:BL41)</f>
        <v>0</v>
      </c>
      <c r="T40" s="153">
        <f>SUM('案件．要員情報'!BM41:BV41)</f>
        <v>0</v>
      </c>
      <c r="U40" s="153">
        <f>SUM('案件．要員情報'!BW41:CF41)</f>
        <v>0</v>
      </c>
      <c r="V40" s="153">
        <f>SUM('案件．要員情報'!CG41:CP41)</f>
        <v>0</v>
      </c>
      <c r="W40" s="153">
        <f>SUM('案件．要員情報'!CQ41:CW41)</f>
        <v>0</v>
      </c>
      <c r="X40" s="153">
        <f>SUM('案件．要員情報'!CX41:DD41)</f>
        <v>0</v>
      </c>
      <c r="Y40" s="153">
        <f>SUM('案件．要員情報'!DE41:DK41)</f>
        <v>0</v>
      </c>
      <c r="Z40" s="153">
        <f>SUM('案件．要員情報'!DL41:DS41)</f>
        <v>0</v>
      </c>
      <c r="AA40" s="215">
        <f t="shared" si="1"/>
        <v>1.6611832611832611</v>
      </c>
    </row>
    <row r="41" spans="1:27" s="154" customFormat="1" ht="20.100000000000001" hidden="1" customHeight="1" outlineLevel="1" x14ac:dyDescent="0.4">
      <c r="A41" s="348"/>
      <c r="B41" s="348"/>
      <c r="C41" s="348"/>
      <c r="D41" s="350"/>
      <c r="E41" s="350"/>
      <c r="F41" s="350"/>
      <c r="G41" s="565"/>
      <c r="H41" s="363"/>
      <c r="I41" s="363"/>
      <c r="J41" s="363"/>
      <c r="K41" s="365"/>
      <c r="L41" s="365"/>
      <c r="M41" s="359"/>
      <c r="N41" s="158" t="s">
        <v>25</v>
      </c>
      <c r="O41" s="156">
        <f>SUM('案件．要員情報'!O42:X42)</f>
        <v>0</v>
      </c>
      <c r="P41" s="156">
        <f>SUM('案件．要員情報'!Y42:AH42)</f>
        <v>0</v>
      </c>
      <c r="Q41" s="156">
        <f>SUM('案件．要員情報'!AI42:AR42)</f>
        <v>1.0666666666666667</v>
      </c>
      <c r="R41" s="156">
        <f>SUM('案件．要員情報'!AS42:BB42)</f>
        <v>0.57575757575757569</v>
      </c>
      <c r="S41" s="156">
        <f>SUM('案件．要員情報'!BC42:BL42)</f>
        <v>0</v>
      </c>
      <c r="T41" s="156">
        <f>SUM('案件．要員情報'!BM42:BV42)</f>
        <v>0</v>
      </c>
      <c r="U41" s="156">
        <f>SUM('案件．要員情報'!BW42:CF42)</f>
        <v>0</v>
      </c>
      <c r="V41" s="156">
        <f>SUM('案件．要員情報'!CG42:CP42)</f>
        <v>0</v>
      </c>
      <c r="W41" s="156">
        <f>SUM('案件．要員情報'!CQ42:CW42)</f>
        <v>0</v>
      </c>
      <c r="X41" s="156">
        <f>SUM('案件．要員情報'!CX42:DD42)</f>
        <v>0</v>
      </c>
      <c r="Y41" s="156">
        <f>SUM('案件．要員情報'!DE42:DK42)</f>
        <v>0</v>
      </c>
      <c r="Z41" s="156">
        <f>SUM('案件．要員情報'!DL42:DS42)</f>
        <v>0</v>
      </c>
      <c r="AA41" s="159">
        <f t="shared" si="1"/>
        <v>1.6424242424242423</v>
      </c>
    </row>
    <row r="42" spans="1:27" s="154" customFormat="1" ht="20.100000000000001" hidden="1" customHeight="1" outlineLevel="1" x14ac:dyDescent="0.4">
      <c r="A42" s="347">
        <v>19</v>
      </c>
      <c r="B42" s="347" t="s">
        <v>47</v>
      </c>
      <c r="C42" s="347" t="s">
        <v>14</v>
      </c>
      <c r="D42" s="349" t="s">
        <v>576</v>
      </c>
      <c r="E42" s="349" t="s">
        <v>575</v>
      </c>
      <c r="F42" s="349"/>
      <c r="G42" s="563" t="s">
        <v>577</v>
      </c>
      <c r="H42" s="362"/>
      <c r="I42" s="362"/>
      <c r="J42" s="362"/>
      <c r="K42" s="364"/>
      <c r="L42" s="364"/>
      <c r="M42" s="358"/>
      <c r="N42" s="157" t="s">
        <v>24</v>
      </c>
      <c r="O42" s="153">
        <f>SUM('案件．要員情報'!O43:X43)</f>
        <v>0</v>
      </c>
      <c r="P42" s="153">
        <f>SUM('案件．要員情報'!Y43:AH43)</f>
        <v>0</v>
      </c>
      <c r="Q42" s="153">
        <f>SUM('案件．要員情報'!AI43:AR43)</f>
        <v>0</v>
      </c>
      <c r="R42" s="153">
        <f>SUM('案件．要員情報'!AS43:BB43)</f>
        <v>0.45454545454545453</v>
      </c>
      <c r="S42" s="153">
        <f>SUM('案件．要員情報'!BC43:BL43)</f>
        <v>0.11428571428571428</v>
      </c>
      <c r="T42" s="153">
        <f>SUM('案件．要員情報'!BM43:BV43)</f>
        <v>0</v>
      </c>
      <c r="U42" s="153">
        <f>SUM('案件．要員情報'!BW43:CF43)</f>
        <v>0</v>
      </c>
      <c r="V42" s="153">
        <f>SUM('案件．要員情報'!CG43:CP43)</f>
        <v>0</v>
      </c>
      <c r="W42" s="153">
        <f>SUM('案件．要員情報'!CQ43:CW43)</f>
        <v>0</v>
      </c>
      <c r="X42" s="153">
        <f>SUM('案件．要員情報'!CX43:DD43)</f>
        <v>0</v>
      </c>
      <c r="Y42" s="153">
        <f>SUM('案件．要員情報'!DE43:DK43)</f>
        <v>0</v>
      </c>
      <c r="Z42" s="153">
        <f>SUM('案件．要員情報'!DL43:DS43)</f>
        <v>0</v>
      </c>
      <c r="AA42" s="215">
        <f t="shared" si="1"/>
        <v>0.5688311688311688</v>
      </c>
    </row>
    <row r="43" spans="1:27" s="154" customFormat="1" ht="20.100000000000001" hidden="1" customHeight="1" outlineLevel="1" x14ac:dyDescent="0.4">
      <c r="A43" s="348"/>
      <c r="B43" s="348"/>
      <c r="C43" s="348"/>
      <c r="D43" s="350"/>
      <c r="E43" s="350"/>
      <c r="F43" s="350"/>
      <c r="G43" s="565"/>
      <c r="H43" s="363"/>
      <c r="I43" s="363"/>
      <c r="J43" s="363"/>
      <c r="K43" s="365"/>
      <c r="L43" s="365"/>
      <c r="M43" s="359"/>
      <c r="N43" s="158" t="s">
        <v>25</v>
      </c>
      <c r="O43" s="156">
        <f>SUM('案件．要員情報'!O44:X44)</f>
        <v>0</v>
      </c>
      <c r="P43" s="156">
        <f>SUM('案件．要員情報'!Y44:AH44)</f>
        <v>0</v>
      </c>
      <c r="Q43" s="156">
        <f>SUM('案件．要員情報'!AI44:AR44)</f>
        <v>0</v>
      </c>
      <c r="R43" s="156">
        <f>SUM('案件．要員情報'!AS44:BB44)</f>
        <v>0.4242424242424242</v>
      </c>
      <c r="S43" s="156">
        <f>SUM('案件．要員情報'!BC44:BL44)</f>
        <v>7.6190476190476183E-2</v>
      </c>
      <c r="T43" s="156">
        <f>SUM('案件．要員情報'!BM44:BV44)</f>
        <v>0</v>
      </c>
      <c r="U43" s="156">
        <f>SUM('案件．要員情報'!BW44:CF44)</f>
        <v>0</v>
      </c>
      <c r="V43" s="156">
        <f>SUM('案件．要員情報'!CG44:CP44)</f>
        <v>0</v>
      </c>
      <c r="W43" s="156">
        <f>SUM('案件．要員情報'!CQ44:CW44)</f>
        <v>0</v>
      </c>
      <c r="X43" s="156">
        <f>SUM('案件．要員情報'!CX44:DD44)</f>
        <v>0</v>
      </c>
      <c r="Y43" s="156">
        <f>SUM('案件．要員情報'!DE44:DK44)</f>
        <v>0</v>
      </c>
      <c r="Z43" s="156">
        <f>SUM('案件．要員情報'!DL44:DS44)</f>
        <v>0</v>
      </c>
      <c r="AA43" s="159">
        <f t="shared" si="1"/>
        <v>0.50043290043290034</v>
      </c>
    </row>
    <row r="44" spans="1:27" s="154" customFormat="1" ht="20.100000000000001" hidden="1" customHeight="1" outlineLevel="1" x14ac:dyDescent="0.4">
      <c r="A44" s="347">
        <v>20</v>
      </c>
      <c r="B44" s="347" t="s">
        <v>47</v>
      </c>
      <c r="C44" s="347" t="s">
        <v>14</v>
      </c>
      <c r="D44" s="349" t="s">
        <v>348</v>
      </c>
      <c r="E44" s="349" t="s">
        <v>578</v>
      </c>
      <c r="F44" s="349"/>
      <c r="G44" s="563" t="s">
        <v>579</v>
      </c>
      <c r="H44" s="362"/>
      <c r="I44" s="362"/>
      <c r="J44" s="362"/>
      <c r="K44" s="364"/>
      <c r="L44" s="364"/>
      <c r="M44" s="358"/>
      <c r="N44" s="157" t="s">
        <v>24</v>
      </c>
      <c r="O44" s="153">
        <f>SUM('案件．要員情報'!O45:X45)</f>
        <v>0</v>
      </c>
      <c r="P44" s="153">
        <f>SUM('案件．要員情報'!Y45:AH45)</f>
        <v>0</v>
      </c>
      <c r="Q44" s="153">
        <f>SUM('案件．要員情報'!AI45:AR45)</f>
        <v>0</v>
      </c>
      <c r="R44" s="153">
        <f>SUM('案件．要員情報'!AS45:BB45)</f>
        <v>0.39393939393939392</v>
      </c>
      <c r="S44" s="153">
        <f>SUM('案件．要員情報'!BC45:BL45)</f>
        <v>1.9047619047619049E-2</v>
      </c>
      <c r="T44" s="153">
        <f>SUM('案件．要員情報'!BM45:BV45)</f>
        <v>0</v>
      </c>
      <c r="U44" s="153">
        <f>SUM('案件．要員情報'!BW45:CF45)</f>
        <v>0</v>
      </c>
      <c r="V44" s="153">
        <f>SUM('案件．要員情報'!CG45:CP45)</f>
        <v>0</v>
      </c>
      <c r="W44" s="153">
        <f>SUM('案件．要員情報'!CQ45:CW45)</f>
        <v>0</v>
      </c>
      <c r="X44" s="153">
        <f>SUM('案件．要員情報'!CX45:DD45)</f>
        <v>0</v>
      </c>
      <c r="Y44" s="153">
        <f>SUM('案件．要員情報'!DE45:DK45)</f>
        <v>0</v>
      </c>
      <c r="Z44" s="153">
        <f>SUM('案件．要員情報'!DL45:DS45)</f>
        <v>0</v>
      </c>
      <c r="AA44" s="215">
        <f t="shared" si="1"/>
        <v>0.41298701298701296</v>
      </c>
    </row>
    <row r="45" spans="1:27" s="154" customFormat="1" ht="15.75" hidden="1" customHeight="1" outlineLevel="1" x14ac:dyDescent="0.4">
      <c r="A45" s="348"/>
      <c r="B45" s="348"/>
      <c r="C45" s="348"/>
      <c r="D45" s="350"/>
      <c r="E45" s="350"/>
      <c r="F45" s="350"/>
      <c r="G45" s="565"/>
      <c r="H45" s="363"/>
      <c r="I45" s="363"/>
      <c r="J45" s="363"/>
      <c r="K45" s="365"/>
      <c r="L45" s="365"/>
      <c r="M45" s="359"/>
      <c r="N45" s="158" t="s">
        <v>25</v>
      </c>
      <c r="O45" s="156">
        <f>SUM('案件．要員情報'!O46:X46)</f>
        <v>0</v>
      </c>
      <c r="P45" s="156">
        <f>SUM('案件．要員情報'!Y46:AH46)</f>
        <v>0</v>
      </c>
      <c r="Q45" s="156">
        <f>SUM('案件．要員情報'!AI46:AR46)</f>
        <v>0</v>
      </c>
      <c r="R45" s="156">
        <f>SUM('案件．要員情報'!AS46:BB46)</f>
        <v>0.3575757575757576</v>
      </c>
      <c r="S45" s="156">
        <f>SUM('案件．要員情報'!BC46:BL46)</f>
        <v>1.5873015873015872E-2</v>
      </c>
      <c r="T45" s="156">
        <f>SUM('案件．要員情報'!BM46:BV46)</f>
        <v>0</v>
      </c>
      <c r="U45" s="156">
        <f>SUM('案件．要員情報'!BW46:CF46)</f>
        <v>0</v>
      </c>
      <c r="V45" s="156">
        <f>SUM('案件．要員情報'!CG46:CP46)</f>
        <v>0</v>
      </c>
      <c r="W45" s="156">
        <f>SUM('案件．要員情報'!CQ46:CW46)</f>
        <v>0</v>
      </c>
      <c r="X45" s="156">
        <f>SUM('案件．要員情報'!CX46:DD46)</f>
        <v>0</v>
      </c>
      <c r="Y45" s="156">
        <f>SUM('案件．要員情報'!DE46:DK46)</f>
        <v>0</v>
      </c>
      <c r="Z45" s="156">
        <f>SUM('案件．要員情報'!DL46:DS46)</f>
        <v>0</v>
      </c>
      <c r="AA45" s="159">
        <f t="shared" si="1"/>
        <v>0.37344877344877347</v>
      </c>
    </row>
    <row r="46" spans="1:27" s="154" customFormat="1" ht="20.100000000000001" hidden="1" customHeight="1" outlineLevel="1" collapsed="1" x14ac:dyDescent="0.4">
      <c r="A46" s="347">
        <v>21</v>
      </c>
      <c r="B46" s="347" t="s">
        <v>47</v>
      </c>
      <c r="C46" s="347" t="s">
        <v>14</v>
      </c>
      <c r="D46" s="349" t="s">
        <v>392</v>
      </c>
      <c r="E46" s="349" t="s">
        <v>598</v>
      </c>
      <c r="F46" s="349"/>
      <c r="G46" s="563" t="s">
        <v>597</v>
      </c>
      <c r="H46" s="362"/>
      <c r="I46" s="362"/>
      <c r="J46" s="362"/>
      <c r="K46" s="364"/>
      <c r="L46" s="364"/>
      <c r="M46" s="358"/>
      <c r="N46" s="157" t="s">
        <v>24</v>
      </c>
      <c r="O46" s="153">
        <f>SUM('案件．要員情報'!O47:X47)</f>
        <v>0</v>
      </c>
      <c r="P46" s="153">
        <f>SUM('案件．要員情報'!Y47:AH47)</f>
        <v>0</v>
      </c>
      <c r="Q46" s="153">
        <f>SUM('案件．要員情報'!AI47:AR47)</f>
        <v>0</v>
      </c>
      <c r="R46" s="153">
        <f>SUM('案件．要員情報'!AS47:BB47)</f>
        <v>0.26666666666666666</v>
      </c>
      <c r="S46" s="153">
        <f>SUM('案件．要員情報'!BC47:BL47)</f>
        <v>0.63492063492063489</v>
      </c>
      <c r="T46" s="153">
        <f>SUM('案件．要員情報'!BM47:BV47)</f>
        <v>0</v>
      </c>
      <c r="U46" s="153">
        <f>SUM('案件．要員情報'!BW47:CF47)</f>
        <v>0</v>
      </c>
      <c r="V46" s="153">
        <f>SUM('案件．要員情報'!CG47:CP47)</f>
        <v>0</v>
      </c>
      <c r="W46" s="153">
        <f>SUM('案件．要員情報'!CQ47:CW47)</f>
        <v>0</v>
      </c>
      <c r="X46" s="153">
        <f>SUM('案件．要員情報'!CX47:DD47)</f>
        <v>0</v>
      </c>
      <c r="Y46" s="153">
        <f>SUM('案件．要員情報'!DE47:DK47)</f>
        <v>0</v>
      </c>
      <c r="Z46" s="153">
        <f>SUM('案件．要員情報'!DL47:DS47)</f>
        <v>0</v>
      </c>
      <c r="AA46" s="215">
        <f t="shared" si="1"/>
        <v>0.90158730158730149</v>
      </c>
    </row>
    <row r="47" spans="1:27" s="154" customFormat="1" ht="20.100000000000001" hidden="1" customHeight="1" outlineLevel="1" x14ac:dyDescent="0.4">
      <c r="A47" s="348"/>
      <c r="B47" s="348"/>
      <c r="C47" s="348"/>
      <c r="D47" s="350"/>
      <c r="E47" s="350"/>
      <c r="F47" s="350"/>
      <c r="G47" s="565"/>
      <c r="H47" s="363"/>
      <c r="I47" s="363"/>
      <c r="J47" s="363"/>
      <c r="K47" s="365"/>
      <c r="L47" s="365"/>
      <c r="M47" s="359"/>
      <c r="N47" s="158" t="s">
        <v>25</v>
      </c>
      <c r="O47" s="156">
        <f>SUM('案件．要員情報'!O48:X48)</f>
        <v>0</v>
      </c>
      <c r="P47" s="156">
        <f>SUM('案件．要員情報'!Y48:AH48)</f>
        <v>0</v>
      </c>
      <c r="Q47" s="156">
        <f>SUM('案件．要員情報'!AI48:AR48)</f>
        <v>0</v>
      </c>
      <c r="R47" s="156">
        <f>SUM('案件．要員情報'!AS48:BB48)</f>
        <v>0.26363636363636361</v>
      </c>
      <c r="S47" s="156">
        <f>SUM('案件．要員情報'!BC48:BL48)</f>
        <v>0.65079365079365081</v>
      </c>
      <c r="T47" s="156">
        <f>SUM('案件．要員情報'!BM48:BV48)</f>
        <v>0</v>
      </c>
      <c r="U47" s="156">
        <f>SUM('案件．要員情報'!BW48:CF48)</f>
        <v>0</v>
      </c>
      <c r="V47" s="156">
        <f>SUM('案件．要員情報'!CG48:CP48)</f>
        <v>0</v>
      </c>
      <c r="W47" s="156">
        <f>SUM('案件．要員情報'!CQ48:CW48)</f>
        <v>0</v>
      </c>
      <c r="X47" s="156">
        <f>SUM('案件．要員情報'!CX48:DD48)</f>
        <v>0</v>
      </c>
      <c r="Y47" s="156">
        <f>SUM('案件．要員情報'!DE48:DK48)</f>
        <v>0</v>
      </c>
      <c r="Z47" s="156">
        <f>SUM('案件．要員情報'!DL48:DS48)</f>
        <v>0</v>
      </c>
      <c r="AA47" s="159">
        <f t="shared" si="1"/>
        <v>0.91443001443001437</v>
      </c>
    </row>
    <row r="48" spans="1:27" s="154" customFormat="1" ht="20.100000000000001" customHeight="1" collapsed="1" x14ac:dyDescent="0.4">
      <c r="A48" s="347">
        <v>22</v>
      </c>
      <c r="B48" s="347" t="s">
        <v>47</v>
      </c>
      <c r="C48" s="347" t="s">
        <v>14</v>
      </c>
      <c r="D48" s="349" t="s">
        <v>489</v>
      </c>
      <c r="E48" s="349" t="s">
        <v>601</v>
      </c>
      <c r="F48" s="349"/>
      <c r="G48" s="563" t="s">
        <v>600</v>
      </c>
      <c r="H48" s="351"/>
      <c r="I48" s="351"/>
      <c r="J48" s="351"/>
      <c r="K48" s="351"/>
      <c r="L48" s="351"/>
      <c r="M48" s="351"/>
      <c r="N48" s="157" t="s">
        <v>24</v>
      </c>
      <c r="O48" s="153">
        <f>SUM('案件．要員情報'!O49:X49)</f>
        <v>0</v>
      </c>
      <c r="P48" s="153">
        <f>SUM('案件．要員情報'!Y49:AH49)</f>
        <v>0</v>
      </c>
      <c r="Q48" s="153">
        <f>SUM('案件．要員情報'!AI49:AR49)</f>
        <v>0</v>
      </c>
      <c r="R48" s="153">
        <f>SUM('案件．要員情報'!AS49:BB49)</f>
        <v>0.48484848484848486</v>
      </c>
      <c r="S48" s="153">
        <f>SUM('案件．要員情報'!BC49:BL49)</f>
        <v>0.19047619047619047</v>
      </c>
      <c r="T48" s="153">
        <f>SUM('案件．要員情報'!BM49:BV49)</f>
        <v>0</v>
      </c>
      <c r="U48" s="153">
        <f>SUM('案件．要員情報'!BW49:CF49)</f>
        <v>0</v>
      </c>
      <c r="V48" s="153">
        <f>SUM('案件．要員情報'!CG49:CP49)</f>
        <v>0.44444444444444442</v>
      </c>
      <c r="W48" s="153">
        <f>SUM('案件．要員情報'!CQ49:CW49)</f>
        <v>0.33999999999999997</v>
      </c>
      <c r="X48" s="153">
        <f>SUM('案件．要員情報'!CX49:DD49)</f>
        <v>0.12063492063492064</v>
      </c>
      <c r="Y48" s="153">
        <f>SUM('案件．要員情報'!DE49:DK49)</f>
        <v>0.10196078431372549</v>
      </c>
      <c r="Z48" s="153">
        <f>SUM('案件．要員情報'!DL49:DS49)</f>
        <v>0</v>
      </c>
      <c r="AA48" s="215">
        <f t="shared" si="1"/>
        <v>1.6823648247177658</v>
      </c>
    </row>
    <row r="49" spans="1:27" s="154" customFormat="1" ht="20.100000000000001" customHeight="1" x14ac:dyDescent="0.4">
      <c r="A49" s="348"/>
      <c r="B49" s="348"/>
      <c r="C49" s="348"/>
      <c r="D49" s="350"/>
      <c r="E49" s="350"/>
      <c r="F49" s="350"/>
      <c r="G49" s="565"/>
      <c r="H49" s="352"/>
      <c r="I49" s="352"/>
      <c r="J49" s="352"/>
      <c r="K49" s="352"/>
      <c r="L49" s="352"/>
      <c r="M49" s="352"/>
      <c r="N49" s="158" t="s">
        <v>25</v>
      </c>
      <c r="O49" s="156">
        <f>SUM('案件．要員情報'!O50:X50)</f>
        <v>0</v>
      </c>
      <c r="P49" s="156">
        <f>SUM('案件．要員情報'!Y50:AH50)</f>
        <v>0</v>
      </c>
      <c r="Q49" s="156">
        <f>SUM('案件．要員情報'!AI50:AR50)</f>
        <v>0</v>
      </c>
      <c r="R49" s="156">
        <f>SUM('案件．要員情報'!AS50:BB50)</f>
        <v>0.47272727272727272</v>
      </c>
      <c r="S49" s="156">
        <f>SUM('案件．要員情報'!BC50:BL50)</f>
        <v>0.17777777777777778</v>
      </c>
      <c r="T49" s="156">
        <f>SUM('案件．要員情報'!BM50:BV50)</f>
        <v>0</v>
      </c>
      <c r="U49" s="156">
        <f>SUM('案件．要員情報'!BW50:CF50)</f>
        <v>0</v>
      </c>
      <c r="V49" s="156">
        <f>SUM('案件．要員情報'!CG50:CP50)</f>
        <v>0.38148148148148148</v>
      </c>
      <c r="W49" s="156">
        <f>SUM('案件．要員情報'!CQ50:CW50)</f>
        <v>0.32</v>
      </c>
      <c r="X49" s="156">
        <f>SUM('案件．要員情報'!CX50:DD50)</f>
        <v>0.1142857142857143</v>
      </c>
      <c r="Y49" s="156">
        <f>SUM('案件．要員情報'!DE50:DK50)</f>
        <v>7.0588235294117646E-2</v>
      </c>
      <c r="Z49" s="156">
        <f>SUM('案件．要員情報'!DL50:DS50)</f>
        <v>0</v>
      </c>
      <c r="AA49" s="159">
        <f t="shared" si="1"/>
        <v>1.536860481566364</v>
      </c>
    </row>
    <row r="50" spans="1:27" s="154" customFormat="1" ht="20.100000000000001" hidden="1" customHeight="1" outlineLevel="1" x14ac:dyDescent="0.4">
      <c r="A50" s="347">
        <v>23</v>
      </c>
      <c r="B50" s="347" t="s">
        <v>47</v>
      </c>
      <c r="C50" s="347" t="s">
        <v>347</v>
      </c>
      <c r="D50" s="349" t="s">
        <v>348</v>
      </c>
      <c r="E50" s="349" t="s">
        <v>604</v>
      </c>
      <c r="F50" s="349" t="s">
        <v>605</v>
      </c>
      <c r="G50" s="563" t="s">
        <v>606</v>
      </c>
      <c r="H50" s="351"/>
      <c r="I50" s="351"/>
      <c r="J50" s="351"/>
      <c r="K50" s="351"/>
      <c r="L50" s="351"/>
      <c r="M50" s="351"/>
      <c r="N50" s="157" t="s">
        <v>24</v>
      </c>
      <c r="O50" s="153">
        <f>SUM('案件．要員情報'!O51:X51)</f>
        <v>0</v>
      </c>
      <c r="P50" s="153">
        <f>SUM('案件．要員情報'!Y51:AH51)</f>
        <v>0</v>
      </c>
      <c r="Q50" s="153">
        <f>SUM('案件．要員情報'!AI51:AR51)</f>
        <v>0</v>
      </c>
      <c r="R50" s="153">
        <f>SUM('案件．要員情報'!AS51:BB51)</f>
        <v>0.16969696969696971</v>
      </c>
      <c r="S50" s="153">
        <f>SUM('案件．要員情報'!BC51:BL51)</f>
        <v>0</v>
      </c>
      <c r="T50" s="153">
        <f>SUM('案件．要員情報'!BM51:BV51)</f>
        <v>0</v>
      </c>
      <c r="U50" s="153">
        <f>SUM('案件．要員情報'!BW51:CF51)</f>
        <v>0</v>
      </c>
      <c r="V50" s="153">
        <f>SUM('案件．要員情報'!CG51:CP51)</f>
        <v>0</v>
      </c>
      <c r="W50" s="153">
        <f>SUM('案件．要員情報'!CQ51:CW51)</f>
        <v>0</v>
      </c>
      <c r="X50" s="153">
        <f>SUM('案件．要員情報'!CX51:DD51)</f>
        <v>0</v>
      </c>
      <c r="Y50" s="153">
        <f>SUM('案件．要員情報'!DE51:DK51)</f>
        <v>0</v>
      </c>
      <c r="Z50" s="153">
        <f>SUM('案件．要員情報'!DL51:DS51)</f>
        <v>0</v>
      </c>
      <c r="AA50" s="215">
        <f t="shared" si="1"/>
        <v>0.16969696969696971</v>
      </c>
    </row>
    <row r="51" spans="1:27" s="154" customFormat="1" ht="20.100000000000001" hidden="1" customHeight="1" outlineLevel="1" x14ac:dyDescent="0.4">
      <c r="A51" s="348"/>
      <c r="B51" s="348"/>
      <c r="C51" s="348"/>
      <c r="D51" s="350"/>
      <c r="E51" s="350"/>
      <c r="F51" s="350"/>
      <c r="G51" s="565"/>
      <c r="H51" s="352"/>
      <c r="I51" s="352"/>
      <c r="J51" s="352"/>
      <c r="K51" s="352"/>
      <c r="L51" s="352"/>
      <c r="M51" s="352"/>
      <c r="N51" s="158" t="s">
        <v>25</v>
      </c>
      <c r="O51" s="156">
        <f>SUM('案件．要員情報'!O52:X52)</f>
        <v>0</v>
      </c>
      <c r="P51" s="156">
        <f>SUM('案件．要員情報'!Y52:AH52)</f>
        <v>0</v>
      </c>
      <c r="Q51" s="156">
        <f>SUM('案件．要員情報'!AI52:AR52)</f>
        <v>0</v>
      </c>
      <c r="R51" s="156">
        <f>SUM('案件．要員情報'!AS52:BB52)</f>
        <v>0.15757575757575756</v>
      </c>
      <c r="S51" s="156">
        <f>SUM('案件．要員情報'!BC52:BL52)</f>
        <v>0</v>
      </c>
      <c r="T51" s="156">
        <f>SUM('案件．要員情報'!BM52:BV52)</f>
        <v>0</v>
      </c>
      <c r="U51" s="156">
        <f>SUM('案件．要員情報'!BW52:CF52)</f>
        <v>0</v>
      </c>
      <c r="V51" s="156">
        <f>SUM('案件．要員情報'!CG52:CP52)</f>
        <v>0</v>
      </c>
      <c r="W51" s="156">
        <f>SUM('案件．要員情報'!CQ52:CW52)</f>
        <v>0</v>
      </c>
      <c r="X51" s="156">
        <f>SUM('案件．要員情報'!CX52:DD52)</f>
        <v>0</v>
      </c>
      <c r="Y51" s="156">
        <f>SUM('案件．要員情報'!DE52:DK52)</f>
        <v>0</v>
      </c>
      <c r="Z51" s="156">
        <f>SUM('案件．要員情報'!DL52:DS52)</f>
        <v>0</v>
      </c>
      <c r="AA51" s="159">
        <f t="shared" si="1"/>
        <v>0.15757575757575756</v>
      </c>
    </row>
    <row r="52" spans="1:27" s="154" customFormat="1" ht="20.100000000000001" hidden="1" customHeight="1" outlineLevel="1" x14ac:dyDescent="0.4">
      <c r="A52" s="347">
        <v>24</v>
      </c>
      <c r="B52" s="347" t="s">
        <v>47</v>
      </c>
      <c r="C52" s="347" t="s">
        <v>14</v>
      </c>
      <c r="D52" s="349" t="s">
        <v>517</v>
      </c>
      <c r="E52" s="349" t="s">
        <v>614</v>
      </c>
      <c r="F52" s="349"/>
      <c r="G52" s="563" t="s">
        <v>615</v>
      </c>
      <c r="H52" s="351"/>
      <c r="I52" s="351"/>
      <c r="J52" s="351"/>
      <c r="K52" s="351"/>
      <c r="L52" s="351"/>
      <c r="M52" s="351"/>
      <c r="N52" s="157" t="s">
        <v>24</v>
      </c>
      <c r="O52" s="153">
        <f>SUM('案件．要員情報'!O53:X53)</f>
        <v>0</v>
      </c>
      <c r="P52" s="153">
        <f>SUM('案件．要員情報'!Y53:AH53)</f>
        <v>0</v>
      </c>
      <c r="Q52" s="153">
        <f>SUM('案件．要員情報'!AI53:AR53)</f>
        <v>0</v>
      </c>
      <c r="R52" s="153">
        <f>SUM('案件．要員情報'!AS53:BB53)</f>
        <v>0.78181818181818186</v>
      </c>
      <c r="S52" s="153">
        <f>SUM('案件．要員情報'!BC53:BL53)</f>
        <v>7.6190476190476197E-2</v>
      </c>
      <c r="T52" s="153">
        <f>SUM('案件．要員情報'!BM53:BV53)</f>
        <v>0</v>
      </c>
      <c r="U52" s="153">
        <f>SUM('案件．要員情報'!BW53:CF53)</f>
        <v>0</v>
      </c>
      <c r="V52" s="153">
        <f>SUM('案件．要員情報'!CG53:CP53)</f>
        <v>0</v>
      </c>
      <c r="W52" s="153">
        <f>SUM('案件．要員情報'!CQ53:CW53)</f>
        <v>0</v>
      </c>
      <c r="X52" s="153">
        <f>SUM('案件．要員情報'!CX53:DD53)</f>
        <v>0</v>
      </c>
      <c r="Y52" s="153">
        <f>SUM('案件．要員情報'!DE53:DK53)</f>
        <v>0</v>
      </c>
      <c r="Z52" s="153">
        <f>SUM('案件．要員情報'!DL53:DS53)</f>
        <v>0</v>
      </c>
      <c r="AA52" s="215">
        <f t="shared" ref="AA52:AA55" si="2">SUM(O52:Z52)</f>
        <v>0.85800865800865811</v>
      </c>
    </row>
    <row r="53" spans="1:27" s="154" customFormat="1" ht="20.100000000000001" hidden="1" customHeight="1" outlineLevel="1" x14ac:dyDescent="0.4">
      <c r="A53" s="348"/>
      <c r="B53" s="348"/>
      <c r="C53" s="348"/>
      <c r="D53" s="350"/>
      <c r="E53" s="350"/>
      <c r="F53" s="350"/>
      <c r="G53" s="565"/>
      <c r="H53" s="352"/>
      <c r="I53" s="352"/>
      <c r="J53" s="352"/>
      <c r="K53" s="352"/>
      <c r="L53" s="352"/>
      <c r="M53" s="352"/>
      <c r="N53" s="158" t="s">
        <v>25</v>
      </c>
      <c r="O53" s="156">
        <f>SUM('案件．要員情報'!O54:X54)</f>
        <v>0</v>
      </c>
      <c r="P53" s="156">
        <f>SUM('案件．要員情報'!Y54:AH54)</f>
        <v>0</v>
      </c>
      <c r="Q53" s="156">
        <f>SUM('案件．要員情報'!AI54:AR54)</f>
        <v>0</v>
      </c>
      <c r="R53" s="156">
        <f>SUM('案件．要員情報'!AS54:BB54)</f>
        <v>0.76363636363636367</v>
      </c>
      <c r="S53" s="156">
        <f>SUM('案件．要員情報'!BC54:BL54)</f>
        <v>7.3015873015873006E-2</v>
      </c>
      <c r="T53" s="156">
        <f>SUM('案件．要員情報'!BM54:BV54)</f>
        <v>0</v>
      </c>
      <c r="U53" s="156">
        <f>SUM('案件．要員情報'!BW54:CF54)</f>
        <v>0</v>
      </c>
      <c r="V53" s="156">
        <f>SUM('案件．要員情報'!CG54:CP54)</f>
        <v>0</v>
      </c>
      <c r="W53" s="156">
        <f>SUM('案件．要員情報'!CQ54:CW54)</f>
        <v>0</v>
      </c>
      <c r="X53" s="156">
        <f>SUM('案件．要員情報'!CX54:DD54)</f>
        <v>0</v>
      </c>
      <c r="Y53" s="156">
        <f>SUM('案件．要員情報'!DE54:DK54)</f>
        <v>0</v>
      </c>
      <c r="Z53" s="156">
        <f>SUM('案件．要員情報'!DL54:DS54)</f>
        <v>0</v>
      </c>
      <c r="AA53" s="159">
        <f t="shared" si="2"/>
        <v>0.83665223665223665</v>
      </c>
    </row>
    <row r="54" spans="1:27" s="154" customFormat="1" ht="20.100000000000001" hidden="1" customHeight="1" outlineLevel="1" x14ac:dyDescent="0.4">
      <c r="A54" s="347">
        <v>25</v>
      </c>
      <c r="B54" s="347" t="s">
        <v>47</v>
      </c>
      <c r="C54" s="347" t="s">
        <v>347</v>
      </c>
      <c r="D54" s="349" t="s">
        <v>348</v>
      </c>
      <c r="E54" s="349" t="s">
        <v>641</v>
      </c>
      <c r="F54" s="349" t="s">
        <v>643</v>
      </c>
      <c r="G54" s="563" t="s">
        <v>642</v>
      </c>
      <c r="H54" s="351"/>
      <c r="I54" s="351"/>
      <c r="J54" s="351"/>
      <c r="K54" s="351"/>
      <c r="L54" s="351"/>
      <c r="M54" s="351"/>
      <c r="N54" s="157" t="s">
        <v>24</v>
      </c>
      <c r="O54" s="153">
        <f>SUM('案件．要員情報'!O55:X55)</f>
        <v>0</v>
      </c>
      <c r="P54" s="153">
        <f>SUM('案件．要員情報'!Y55:AH55)</f>
        <v>0</v>
      </c>
      <c r="Q54" s="153">
        <f>SUM('案件．要員情報'!AI55:AR55)</f>
        <v>0</v>
      </c>
      <c r="R54" s="153">
        <f>SUM('案件．要員情報'!AS55:BB55)</f>
        <v>0</v>
      </c>
      <c r="S54" s="153">
        <f>SUM('案件．要員情報'!BC55:BL55)</f>
        <v>0.63492063492063489</v>
      </c>
      <c r="T54" s="153">
        <f>SUM('案件．要員情報'!BM55:BV55)</f>
        <v>0.24242424242424243</v>
      </c>
      <c r="U54" s="153">
        <f>SUM('案件．要員情報'!BW55:CF55)</f>
        <v>0</v>
      </c>
      <c r="V54" s="153">
        <f>SUM('案件．要員情報'!CG55:CP55)</f>
        <v>0</v>
      </c>
      <c r="W54" s="153">
        <f>SUM('案件．要員情報'!CQ55:CW55)</f>
        <v>0</v>
      </c>
      <c r="X54" s="153">
        <f>SUM('案件．要員情報'!CX55:DD55)</f>
        <v>0</v>
      </c>
      <c r="Y54" s="153">
        <f>SUM('案件．要員情報'!DE55:DK55)</f>
        <v>0</v>
      </c>
      <c r="Z54" s="153">
        <f>SUM('案件．要員情報'!DL55:DS55)</f>
        <v>0</v>
      </c>
      <c r="AA54" s="215">
        <f t="shared" si="2"/>
        <v>0.87734487734487732</v>
      </c>
    </row>
    <row r="55" spans="1:27" s="154" customFormat="1" ht="20.100000000000001" hidden="1" customHeight="1" outlineLevel="1" x14ac:dyDescent="0.4">
      <c r="A55" s="348"/>
      <c r="B55" s="348"/>
      <c r="C55" s="348"/>
      <c r="D55" s="350"/>
      <c r="E55" s="350"/>
      <c r="F55" s="350"/>
      <c r="G55" s="565"/>
      <c r="H55" s="352"/>
      <c r="I55" s="352"/>
      <c r="J55" s="352"/>
      <c r="K55" s="352"/>
      <c r="L55" s="352"/>
      <c r="M55" s="352"/>
      <c r="N55" s="158" t="s">
        <v>25</v>
      </c>
      <c r="O55" s="156">
        <f>SUM('案件．要員情報'!O56:X56)</f>
        <v>0</v>
      </c>
      <c r="P55" s="156">
        <f>SUM('案件．要員情報'!Y56:AH56)</f>
        <v>0</v>
      </c>
      <c r="Q55" s="156">
        <f>SUM('案件．要員情報'!AI56:AR56)</f>
        <v>0</v>
      </c>
      <c r="R55" s="156">
        <f>SUM('案件．要員情報'!AS56:BB56)</f>
        <v>0</v>
      </c>
      <c r="S55" s="156">
        <f>SUM('案件．要員情報'!BC56:BL56)</f>
        <v>0.61904761904761907</v>
      </c>
      <c r="T55" s="156">
        <f>SUM('案件．要員情報'!BM56:BV56)</f>
        <v>0.23333333333333334</v>
      </c>
      <c r="U55" s="156">
        <f>SUM('案件．要員情報'!BW56:CF56)</f>
        <v>0</v>
      </c>
      <c r="V55" s="156">
        <f>SUM('案件．要員情報'!CG56:CP56)</f>
        <v>0</v>
      </c>
      <c r="W55" s="156">
        <f>SUM('案件．要員情報'!CQ56:CW56)</f>
        <v>0</v>
      </c>
      <c r="X55" s="156">
        <f>SUM('案件．要員情報'!CX56:DD56)</f>
        <v>0</v>
      </c>
      <c r="Y55" s="156">
        <f>SUM('案件．要員情報'!DE56:DK56)</f>
        <v>0</v>
      </c>
      <c r="Z55" s="156">
        <f>SUM('案件．要員情報'!DL56:DS56)</f>
        <v>0</v>
      </c>
      <c r="AA55" s="159">
        <f t="shared" si="2"/>
        <v>0.85238095238095246</v>
      </c>
    </row>
    <row r="56" spans="1:27" s="154" customFormat="1" ht="20.100000000000001" hidden="1" customHeight="1" outlineLevel="1" x14ac:dyDescent="0.4">
      <c r="A56" s="345">
        <v>26</v>
      </c>
      <c r="B56" s="347" t="s">
        <v>47</v>
      </c>
      <c r="C56" s="347" t="s">
        <v>14</v>
      </c>
      <c r="D56" s="349" t="s">
        <v>517</v>
      </c>
      <c r="E56" s="349" t="s">
        <v>649</v>
      </c>
      <c r="F56" s="349" t="s">
        <v>654</v>
      </c>
      <c r="G56" s="563" t="s">
        <v>653</v>
      </c>
      <c r="H56" s="351"/>
      <c r="I56" s="351"/>
      <c r="J56" s="351"/>
      <c r="K56" s="351"/>
      <c r="L56" s="351"/>
      <c r="M56" s="351"/>
      <c r="N56" s="157" t="s">
        <v>24</v>
      </c>
      <c r="O56" s="153">
        <f>SUM('案件．要員情報'!O57:X57)</f>
        <v>0</v>
      </c>
      <c r="P56" s="153">
        <f>SUM('案件．要員情報'!Y57:AH57)</f>
        <v>0</v>
      </c>
      <c r="Q56" s="153">
        <f>SUM('案件．要員情報'!AI57:AR57)</f>
        <v>0</v>
      </c>
      <c r="R56" s="153">
        <f>SUM('案件．要員情報'!AS57:BB57)</f>
        <v>0</v>
      </c>
      <c r="S56" s="153">
        <f>SUM('案件．要員情報'!BC57:BL57)</f>
        <v>0.12698412698412698</v>
      </c>
      <c r="T56" s="153">
        <f>SUM('案件．要員情報'!BM57:BV57)</f>
        <v>1.1515151515151516</v>
      </c>
      <c r="U56" s="153">
        <f>SUM('案件．要員情報'!BW57:CF57)</f>
        <v>4.6666666666666669E-2</v>
      </c>
      <c r="V56" s="153">
        <f>SUM('案件．要員情報'!CG57:CP57)</f>
        <v>0.14814814814814814</v>
      </c>
      <c r="W56" s="153">
        <f>SUM('案件．要員情報'!CQ57:CW57)</f>
        <v>0</v>
      </c>
      <c r="X56" s="153">
        <f>SUM('案件．要員情報'!CX57:DD57)</f>
        <v>0</v>
      </c>
      <c r="Y56" s="153">
        <f>SUM('案件．要員情報'!DE57:DK57)</f>
        <v>0</v>
      </c>
      <c r="Z56" s="153">
        <f>SUM('案件．要員情報'!DL57:DS57)</f>
        <v>0</v>
      </c>
      <c r="AA56" s="215">
        <f t="shared" ref="AA56:AA63" si="3">SUM(O56:Z56)</f>
        <v>1.4733140933140934</v>
      </c>
    </row>
    <row r="57" spans="1:27" s="154" customFormat="1" ht="20.100000000000001" hidden="1" customHeight="1" outlineLevel="1" x14ac:dyDescent="0.4">
      <c r="A57" s="346"/>
      <c r="B57" s="348"/>
      <c r="C57" s="348"/>
      <c r="D57" s="350"/>
      <c r="E57" s="350"/>
      <c r="F57" s="350"/>
      <c r="G57" s="565"/>
      <c r="H57" s="352"/>
      <c r="I57" s="352"/>
      <c r="J57" s="352"/>
      <c r="K57" s="352"/>
      <c r="L57" s="352"/>
      <c r="M57" s="352"/>
      <c r="N57" s="158" t="s">
        <v>25</v>
      </c>
      <c r="O57" s="156">
        <f>SUM('案件．要員情報'!O58:X58)</f>
        <v>0</v>
      </c>
      <c r="P57" s="156">
        <f>SUM('案件．要員情報'!Y58:AH58)</f>
        <v>0</v>
      </c>
      <c r="Q57" s="156">
        <f>SUM('案件．要員情報'!AI58:AR58)</f>
        <v>0</v>
      </c>
      <c r="R57" s="156">
        <f>SUM('案件．要員情報'!AS58:BB58)</f>
        <v>0</v>
      </c>
      <c r="S57" s="156">
        <f>SUM('案件．要員情報'!BC58:BL58)</f>
        <v>0.12698412698412698</v>
      </c>
      <c r="T57" s="156">
        <f>SUM('案件．要員情報'!BM58:BV58)</f>
        <v>1.1212121212121213</v>
      </c>
      <c r="U57" s="156">
        <f>SUM('案件．要員情報'!BW58:CF58)</f>
        <v>0.03</v>
      </c>
      <c r="V57" s="156">
        <f>SUM('案件．要員情報'!CG58:CP58)</f>
        <v>9.6296296296296297E-2</v>
      </c>
      <c r="W57" s="156">
        <f>SUM('案件．要員情報'!CQ58:CW58)</f>
        <v>0</v>
      </c>
      <c r="X57" s="156">
        <f>SUM('案件．要員情報'!CX58:DD58)</f>
        <v>0</v>
      </c>
      <c r="Y57" s="156">
        <f>SUM('案件．要員情報'!DE58:DK58)</f>
        <v>0</v>
      </c>
      <c r="Z57" s="156">
        <f>SUM('案件．要員情報'!DL58:DS58)</f>
        <v>0</v>
      </c>
      <c r="AA57" s="159">
        <f t="shared" si="3"/>
        <v>1.3744925444925447</v>
      </c>
    </row>
    <row r="58" spans="1:27" s="154" customFormat="1" ht="20.100000000000001" hidden="1" customHeight="1" outlineLevel="1" x14ac:dyDescent="0.4">
      <c r="A58" s="345">
        <v>27</v>
      </c>
      <c r="B58" s="347" t="s">
        <v>47</v>
      </c>
      <c r="C58" s="347" t="s">
        <v>14</v>
      </c>
      <c r="D58" s="349" t="s">
        <v>655</v>
      </c>
      <c r="E58" s="349" t="s">
        <v>650</v>
      </c>
      <c r="F58" s="349" t="s">
        <v>657</v>
      </c>
      <c r="G58" s="563" t="s">
        <v>656</v>
      </c>
      <c r="H58" s="351"/>
      <c r="I58" s="351"/>
      <c r="J58" s="351"/>
      <c r="K58" s="351"/>
      <c r="L58" s="351"/>
      <c r="M58" s="351"/>
      <c r="N58" s="157" t="s">
        <v>24</v>
      </c>
      <c r="O58" s="153">
        <f>SUM('案件．要員情報'!O59:X59)</f>
        <v>0</v>
      </c>
      <c r="P58" s="153">
        <f>SUM('案件．要員情報'!Y59:AH59)</f>
        <v>0</v>
      </c>
      <c r="Q58" s="153">
        <f>SUM('案件．要員情報'!AI59:AR59)</f>
        <v>0</v>
      </c>
      <c r="R58" s="153">
        <f>SUM('案件．要員情報'!AS59:BB59)</f>
        <v>0</v>
      </c>
      <c r="S58" s="153">
        <f>SUM('案件．要員情報'!BC59:BL59)</f>
        <v>0</v>
      </c>
      <c r="T58" s="153">
        <f>SUM('案件．要員情報'!BM59:BV59)</f>
        <v>4.7575757575757578</v>
      </c>
      <c r="U58" s="153">
        <f>SUM('案件．要員情報'!BW59:CF59)</f>
        <v>1.1333333333333331</v>
      </c>
      <c r="V58" s="153">
        <f>SUM('案件．要員情報'!CG59:CP59)</f>
        <v>0</v>
      </c>
      <c r="W58" s="153">
        <f>SUM('案件．要員情報'!CQ59:CW59)</f>
        <v>0.78</v>
      </c>
      <c r="X58" s="153">
        <f>SUM('案件．要員情報'!CX59:DD59)</f>
        <v>0</v>
      </c>
      <c r="Y58" s="153">
        <f>SUM('案件．要員情報'!DE59:DK59)</f>
        <v>0</v>
      </c>
      <c r="Z58" s="153">
        <f>SUM('案件．要員情報'!DL59:DS59)</f>
        <v>0</v>
      </c>
      <c r="AA58" s="215">
        <f t="shared" si="3"/>
        <v>6.6709090909090909</v>
      </c>
    </row>
    <row r="59" spans="1:27" s="154" customFormat="1" ht="20.100000000000001" hidden="1" customHeight="1" outlineLevel="1" x14ac:dyDescent="0.4">
      <c r="A59" s="346"/>
      <c r="B59" s="348"/>
      <c r="C59" s="348"/>
      <c r="D59" s="350"/>
      <c r="E59" s="350"/>
      <c r="F59" s="350"/>
      <c r="G59" s="565"/>
      <c r="H59" s="352"/>
      <c r="I59" s="352"/>
      <c r="J59" s="352"/>
      <c r="K59" s="352"/>
      <c r="L59" s="352"/>
      <c r="M59" s="352"/>
      <c r="N59" s="158" t="s">
        <v>25</v>
      </c>
      <c r="O59" s="156">
        <f>SUM('案件．要員情報'!O60:X60)</f>
        <v>0</v>
      </c>
      <c r="P59" s="156">
        <f>SUM('案件．要員情報'!Y60:AH60)</f>
        <v>0</v>
      </c>
      <c r="Q59" s="156">
        <f>SUM('案件．要員情報'!AI60:AR60)</f>
        <v>0</v>
      </c>
      <c r="R59" s="156">
        <f>SUM('案件．要員情報'!AS60:BB60)</f>
        <v>0</v>
      </c>
      <c r="S59" s="156">
        <f>SUM('案件．要員情報'!BC60:BL60)</f>
        <v>0</v>
      </c>
      <c r="T59" s="156">
        <f>SUM('案件．要員情報'!BM60:BV60)</f>
        <v>4.7287878787878785</v>
      </c>
      <c r="U59" s="156">
        <f>SUM('案件．要員情報'!BW60:CF60)</f>
        <v>1.1133333333333333</v>
      </c>
      <c r="V59" s="156">
        <f>SUM('案件．要員情報'!CG60:CP60)</f>
        <v>0</v>
      </c>
      <c r="W59" s="156">
        <f>SUM('案件．要員情報'!CQ60:CW60)</f>
        <v>0.76833333333333331</v>
      </c>
      <c r="X59" s="156">
        <f>SUM('案件．要員情報'!CX60:DD60)</f>
        <v>0</v>
      </c>
      <c r="Y59" s="156">
        <f>SUM('案件．要員情報'!DE60:DK60)</f>
        <v>0</v>
      </c>
      <c r="Z59" s="156">
        <f>SUM('案件．要員情報'!DL60:DS60)</f>
        <v>0</v>
      </c>
      <c r="AA59" s="159">
        <f t="shared" si="3"/>
        <v>6.6104545454545454</v>
      </c>
    </row>
    <row r="60" spans="1:27" s="154" customFormat="1" ht="20.100000000000001" hidden="1" customHeight="1" outlineLevel="1" x14ac:dyDescent="0.4">
      <c r="A60" s="345">
        <v>28</v>
      </c>
      <c r="B60" s="347" t="s">
        <v>47</v>
      </c>
      <c r="C60" s="347" t="s">
        <v>347</v>
      </c>
      <c r="D60" s="349" t="s">
        <v>348</v>
      </c>
      <c r="E60" s="349" t="s">
        <v>651</v>
      </c>
      <c r="F60" s="349" t="s">
        <v>659</v>
      </c>
      <c r="G60" s="563" t="s">
        <v>658</v>
      </c>
      <c r="H60" s="351"/>
      <c r="I60" s="351"/>
      <c r="J60" s="351"/>
      <c r="K60" s="351"/>
      <c r="L60" s="351"/>
      <c r="M60" s="351"/>
      <c r="N60" s="157" t="s">
        <v>24</v>
      </c>
      <c r="O60" s="153">
        <f>SUM('案件．要員情報'!O61:X61)</f>
        <v>0</v>
      </c>
      <c r="P60" s="153">
        <f>SUM('案件．要員情報'!Y61:AH61)</f>
        <v>0</v>
      </c>
      <c r="Q60" s="153">
        <f>SUM('案件．要員情報'!AI61:AR61)</f>
        <v>0</v>
      </c>
      <c r="R60" s="153">
        <f>SUM('案件．要員情報'!AS61:BB61)</f>
        <v>0</v>
      </c>
      <c r="S60" s="153">
        <f>SUM('案件．要員情報'!BC61:BL61)</f>
        <v>0</v>
      </c>
      <c r="T60" s="153">
        <f>SUM('案件．要員情報'!BM61:BV61)</f>
        <v>0.36363636363636365</v>
      </c>
      <c r="U60" s="153">
        <f>SUM('案件．要員情報'!BW61:CF61)</f>
        <v>0</v>
      </c>
      <c r="V60" s="153">
        <f>SUM('案件．要員情報'!CG61:CP61)</f>
        <v>0</v>
      </c>
      <c r="W60" s="153">
        <f>SUM('案件．要員情報'!CQ61:CW61)</f>
        <v>0</v>
      </c>
      <c r="X60" s="153">
        <f>SUM('案件．要員情報'!CX61:DD61)</f>
        <v>0</v>
      </c>
      <c r="Y60" s="153">
        <f>SUM('案件．要員情報'!DE61:DK61)</f>
        <v>0</v>
      </c>
      <c r="Z60" s="153">
        <f>SUM('案件．要員情報'!DL61:DS61)</f>
        <v>0</v>
      </c>
      <c r="AA60" s="215">
        <f t="shared" si="3"/>
        <v>0.36363636363636365</v>
      </c>
    </row>
    <row r="61" spans="1:27" s="154" customFormat="1" ht="20.100000000000001" hidden="1" customHeight="1" outlineLevel="1" x14ac:dyDescent="0.4">
      <c r="A61" s="346"/>
      <c r="B61" s="348"/>
      <c r="C61" s="348"/>
      <c r="D61" s="350"/>
      <c r="E61" s="350"/>
      <c r="F61" s="350"/>
      <c r="G61" s="565"/>
      <c r="H61" s="352"/>
      <c r="I61" s="352"/>
      <c r="J61" s="352"/>
      <c r="K61" s="352"/>
      <c r="L61" s="352"/>
      <c r="M61" s="352"/>
      <c r="N61" s="158" t="s">
        <v>25</v>
      </c>
      <c r="O61" s="156">
        <f>SUM('案件．要員情報'!O62:X62)</f>
        <v>0</v>
      </c>
      <c r="P61" s="156">
        <f>SUM('案件．要員情報'!Y62:AH62)</f>
        <v>0</v>
      </c>
      <c r="Q61" s="156">
        <f>SUM('案件．要員情報'!AI62:AR62)</f>
        <v>0</v>
      </c>
      <c r="R61" s="156">
        <f>SUM('案件．要員情報'!AS62:BB62)</f>
        <v>0</v>
      </c>
      <c r="S61" s="156">
        <f>SUM('案件．要員情報'!BC62:BL62)</f>
        <v>0</v>
      </c>
      <c r="T61" s="156">
        <f>SUM('案件．要員情報'!BM62:BV62)</f>
        <v>0.27878787878787881</v>
      </c>
      <c r="U61" s="156">
        <f>SUM('案件．要員情報'!BW62:CF62)</f>
        <v>0</v>
      </c>
      <c r="V61" s="156">
        <f>SUM('案件．要員情報'!CG62:CP62)</f>
        <v>0</v>
      </c>
      <c r="W61" s="156">
        <f>SUM('案件．要員情報'!CQ62:CW62)</f>
        <v>0</v>
      </c>
      <c r="X61" s="156">
        <f>SUM('案件．要員情報'!CX62:DD62)</f>
        <v>0</v>
      </c>
      <c r="Y61" s="156">
        <f>SUM('案件．要員情報'!DE62:DK62)</f>
        <v>0</v>
      </c>
      <c r="Z61" s="156">
        <f>SUM('案件．要員情報'!DL62:DS62)</f>
        <v>0</v>
      </c>
      <c r="AA61" s="159">
        <f t="shared" si="3"/>
        <v>0.27878787878787881</v>
      </c>
    </row>
    <row r="62" spans="1:27" s="154" customFormat="1" ht="20.100000000000001" hidden="1" customHeight="1" outlineLevel="1" x14ac:dyDescent="0.4">
      <c r="A62" s="345">
        <v>29</v>
      </c>
      <c r="B62" s="347" t="s">
        <v>47</v>
      </c>
      <c r="C62" s="347" t="s">
        <v>347</v>
      </c>
      <c r="D62" s="349" t="s">
        <v>662</v>
      </c>
      <c r="E62" s="349" t="s">
        <v>670</v>
      </c>
      <c r="F62" s="349" t="s">
        <v>661</v>
      </c>
      <c r="G62" s="563" t="s">
        <v>660</v>
      </c>
      <c r="H62" s="351"/>
      <c r="I62" s="351"/>
      <c r="J62" s="351"/>
      <c r="K62" s="351"/>
      <c r="L62" s="351"/>
      <c r="M62" s="351"/>
      <c r="N62" s="157" t="s">
        <v>24</v>
      </c>
      <c r="O62" s="153">
        <f>SUM('案件．要員情報'!O63:X63)</f>
        <v>0</v>
      </c>
      <c r="P62" s="153">
        <f>SUM('案件．要員情報'!Y63:AH63)</f>
        <v>0</v>
      </c>
      <c r="Q62" s="153">
        <f>SUM('案件．要員情報'!AI63:AR63)</f>
        <v>0</v>
      </c>
      <c r="R62" s="153">
        <f>SUM('案件．要員情報'!AS63:BB63)</f>
        <v>0</v>
      </c>
      <c r="S62" s="153">
        <f>SUM('案件．要員情報'!BC63:BL63)</f>
        <v>0</v>
      </c>
      <c r="T62" s="153">
        <f>SUM('案件．要員情報'!BM63:BV63)</f>
        <v>0.48484848484848486</v>
      </c>
      <c r="U62" s="153">
        <f>SUM('案件．要員情報'!BW63:CF63)</f>
        <v>0</v>
      </c>
      <c r="V62" s="153">
        <f>SUM('案件．要員情報'!CG63:CP63)</f>
        <v>0</v>
      </c>
      <c r="W62" s="153">
        <f>SUM('案件．要員情報'!CQ63:CW63)</f>
        <v>0</v>
      </c>
      <c r="X62" s="153">
        <f>SUM('案件．要員情報'!CX63:DD63)</f>
        <v>0</v>
      </c>
      <c r="Y62" s="153">
        <f>SUM('案件．要員情報'!DE63:DK63)</f>
        <v>0</v>
      </c>
      <c r="Z62" s="153">
        <f>SUM('案件．要員情報'!DL63:DS63)</f>
        <v>0</v>
      </c>
      <c r="AA62" s="215">
        <f t="shared" si="3"/>
        <v>0.48484848484848486</v>
      </c>
    </row>
    <row r="63" spans="1:27" s="154" customFormat="1" ht="20.100000000000001" hidden="1" customHeight="1" outlineLevel="1" x14ac:dyDescent="0.4">
      <c r="A63" s="346"/>
      <c r="B63" s="348"/>
      <c r="C63" s="348"/>
      <c r="D63" s="350"/>
      <c r="E63" s="350"/>
      <c r="F63" s="350"/>
      <c r="G63" s="565"/>
      <c r="H63" s="352"/>
      <c r="I63" s="352"/>
      <c r="J63" s="352"/>
      <c r="K63" s="352"/>
      <c r="L63" s="352"/>
      <c r="M63" s="352"/>
      <c r="N63" s="158" t="s">
        <v>25</v>
      </c>
      <c r="O63" s="156">
        <f>SUM('案件．要員情報'!O64:X64)</f>
        <v>0</v>
      </c>
      <c r="P63" s="156">
        <f>SUM('案件．要員情報'!Y64:AH64)</f>
        <v>0</v>
      </c>
      <c r="Q63" s="156">
        <f>SUM('案件．要員情報'!AI64:AR64)</f>
        <v>0</v>
      </c>
      <c r="R63" s="156">
        <f>SUM('案件．要員情報'!AS64:BB64)</f>
        <v>0</v>
      </c>
      <c r="S63" s="156">
        <f>SUM('案件．要員情報'!BC64:BL64)</f>
        <v>0</v>
      </c>
      <c r="T63" s="156">
        <f>SUM('案件．要員情報'!BM64:BV64)</f>
        <v>0.38484848484848483</v>
      </c>
      <c r="U63" s="156">
        <f>SUM('案件．要員情報'!BW64:CF64)</f>
        <v>0</v>
      </c>
      <c r="V63" s="156">
        <f>SUM('案件．要員情報'!CG64:CP64)</f>
        <v>0</v>
      </c>
      <c r="W63" s="156">
        <f>SUM('案件．要員情報'!CQ64:CW64)</f>
        <v>0</v>
      </c>
      <c r="X63" s="156">
        <f>SUM('案件．要員情報'!CX64:DD64)</f>
        <v>0</v>
      </c>
      <c r="Y63" s="156">
        <f>SUM('案件．要員情報'!DE64:DK64)</f>
        <v>0</v>
      </c>
      <c r="Z63" s="156">
        <f>SUM('案件．要員情報'!DL64:DS64)</f>
        <v>0</v>
      </c>
      <c r="AA63" s="159">
        <f t="shared" si="3"/>
        <v>0.38484848484848483</v>
      </c>
    </row>
    <row r="64" spans="1:27" s="154" customFormat="1" ht="20.100000000000001" hidden="1" customHeight="1" outlineLevel="1" x14ac:dyDescent="0.4">
      <c r="A64" s="345">
        <v>30</v>
      </c>
      <c r="B64" s="347" t="s">
        <v>47</v>
      </c>
      <c r="C64" s="347" t="s">
        <v>347</v>
      </c>
      <c r="D64" s="349" t="s">
        <v>662</v>
      </c>
      <c r="E64" s="349" t="s">
        <v>671</v>
      </c>
      <c r="F64" s="349" t="s">
        <v>667</v>
      </c>
      <c r="G64" s="563" t="s">
        <v>666</v>
      </c>
      <c r="H64" s="351"/>
      <c r="I64" s="351"/>
      <c r="J64" s="351"/>
      <c r="K64" s="351"/>
      <c r="L64" s="351"/>
      <c r="M64" s="351"/>
      <c r="N64" s="157" t="s">
        <v>24</v>
      </c>
      <c r="O64" s="153">
        <f>SUM('案件．要員情報'!O65:X65)</f>
        <v>0</v>
      </c>
      <c r="P64" s="153">
        <f>SUM('案件．要員情報'!Y65:AH65)</f>
        <v>0</v>
      </c>
      <c r="Q64" s="153">
        <f>SUM('案件．要員情報'!AI65:AR65)</f>
        <v>0</v>
      </c>
      <c r="R64" s="153">
        <f>SUM('案件．要員情報'!AS65:BB65)</f>
        <v>0</v>
      </c>
      <c r="S64" s="153">
        <f>SUM('案件．要員情報'!BC65:BL65)</f>
        <v>0</v>
      </c>
      <c r="T64" s="153">
        <f>SUM('案件．要員情報'!BM65:BV65)</f>
        <v>0.33333333333333337</v>
      </c>
      <c r="U64" s="153">
        <f>SUM('案件．要員情報'!BW65:CF65)</f>
        <v>0.13333333333333333</v>
      </c>
      <c r="V64" s="153">
        <f>SUM('案件．要員情報'!CG65:CP65)</f>
        <v>0</v>
      </c>
      <c r="W64" s="153">
        <f>SUM('案件．要員情報'!CQ65:CW65)</f>
        <v>0</v>
      </c>
      <c r="X64" s="153">
        <f>SUM('案件．要員情報'!CX65:DD65)</f>
        <v>0</v>
      </c>
      <c r="Y64" s="153">
        <f>SUM('案件．要員情報'!DE65:DK65)</f>
        <v>0</v>
      </c>
      <c r="Z64" s="153">
        <f>SUM('案件．要員情報'!DL65:DS65)</f>
        <v>0</v>
      </c>
      <c r="AA64" s="215">
        <f t="shared" ref="AA64:AA123" si="4">SUM(O64:Z64)</f>
        <v>0.46666666666666667</v>
      </c>
    </row>
    <row r="65" spans="1:27" s="154" customFormat="1" ht="20.100000000000001" hidden="1" customHeight="1" outlineLevel="1" x14ac:dyDescent="0.4">
      <c r="A65" s="346"/>
      <c r="B65" s="348"/>
      <c r="C65" s="348"/>
      <c r="D65" s="350"/>
      <c r="E65" s="350"/>
      <c r="F65" s="350"/>
      <c r="G65" s="565"/>
      <c r="H65" s="352"/>
      <c r="I65" s="352"/>
      <c r="J65" s="352"/>
      <c r="K65" s="352"/>
      <c r="L65" s="352"/>
      <c r="M65" s="352"/>
      <c r="N65" s="158" t="s">
        <v>25</v>
      </c>
      <c r="O65" s="156">
        <f>SUM('案件．要員情報'!O66:X66)</f>
        <v>0</v>
      </c>
      <c r="P65" s="156">
        <f>SUM('案件．要員情報'!Y66:AH66)</f>
        <v>0</v>
      </c>
      <c r="Q65" s="156">
        <f>SUM('案件．要員情報'!AI66:AR66)</f>
        <v>0</v>
      </c>
      <c r="R65" s="156">
        <f>SUM('案件．要員情報'!AS66:BB66)</f>
        <v>0</v>
      </c>
      <c r="S65" s="156">
        <f>SUM('案件．要員情報'!BC66:BL66)</f>
        <v>0</v>
      </c>
      <c r="T65" s="156">
        <f>SUM('案件．要員情報'!BM66:BV66)</f>
        <v>0.32121212121212123</v>
      </c>
      <c r="U65" s="156">
        <f>SUM('案件．要員情報'!BW66:CF66)</f>
        <v>0.12</v>
      </c>
      <c r="V65" s="156">
        <f>SUM('案件．要員情報'!CG66:CP66)</f>
        <v>0</v>
      </c>
      <c r="W65" s="156">
        <f>SUM('案件．要員情報'!CQ66:CW66)</f>
        <v>0</v>
      </c>
      <c r="X65" s="156">
        <f>SUM('案件．要員情報'!CX66:DD66)</f>
        <v>0</v>
      </c>
      <c r="Y65" s="156">
        <f>SUM('案件．要員情報'!DE66:DK66)</f>
        <v>0</v>
      </c>
      <c r="Z65" s="156">
        <f>SUM('案件．要員情報'!DL66:DS66)</f>
        <v>0</v>
      </c>
      <c r="AA65" s="159">
        <f t="shared" si="4"/>
        <v>0.44121212121212122</v>
      </c>
    </row>
    <row r="66" spans="1:27" s="154" customFormat="1" ht="20.100000000000001" hidden="1" customHeight="1" outlineLevel="1" x14ac:dyDescent="0.4">
      <c r="A66" s="345">
        <v>31</v>
      </c>
      <c r="B66" s="347" t="s">
        <v>47</v>
      </c>
      <c r="C66" s="347" t="s">
        <v>14</v>
      </c>
      <c r="D66" s="349" t="s">
        <v>489</v>
      </c>
      <c r="E66" s="349" t="s">
        <v>675</v>
      </c>
      <c r="F66" s="349" t="s">
        <v>676</v>
      </c>
      <c r="G66" s="563" t="s">
        <v>677</v>
      </c>
      <c r="H66" s="351"/>
      <c r="I66" s="351"/>
      <c r="J66" s="351"/>
      <c r="K66" s="351"/>
      <c r="L66" s="351"/>
      <c r="M66" s="351"/>
      <c r="N66" s="157" t="s">
        <v>24</v>
      </c>
      <c r="O66" s="153">
        <f>SUM('案件．要員情報'!O67:X67)</f>
        <v>0</v>
      </c>
      <c r="P66" s="153">
        <f>SUM('案件．要員情報'!Y67:AH67)</f>
        <v>0</v>
      </c>
      <c r="Q66" s="153">
        <f>SUM('案件．要員情報'!AI67:AR67)</f>
        <v>0</v>
      </c>
      <c r="R66" s="153">
        <f>SUM('案件．要員情報'!AS67:BB67)</f>
        <v>0</v>
      </c>
      <c r="S66" s="153">
        <f>SUM('案件．要員情報'!BC67:BL67)</f>
        <v>0</v>
      </c>
      <c r="T66" s="153">
        <f>SUM('案件．要員情報'!BM67:BV67)</f>
        <v>0.60606060606060608</v>
      </c>
      <c r="U66" s="153">
        <f>SUM('案件．要員情報'!BW67:CF67)</f>
        <v>0.93333333333333324</v>
      </c>
      <c r="V66" s="153">
        <f>SUM('案件．要員情報'!CG67:CP67)</f>
        <v>0</v>
      </c>
      <c r="W66" s="153">
        <f>SUM('案件．要員情報'!CQ67:CW67)</f>
        <v>0</v>
      </c>
      <c r="X66" s="153">
        <f>SUM('案件．要員情報'!CX67:DD67)</f>
        <v>0</v>
      </c>
      <c r="Y66" s="153">
        <f>SUM('案件．要員情報'!DE67:DK67)</f>
        <v>0</v>
      </c>
      <c r="Z66" s="153">
        <f>SUM('案件．要員情報'!DL67:DS67)</f>
        <v>0</v>
      </c>
      <c r="AA66" s="215">
        <f t="shared" si="4"/>
        <v>1.5393939393939393</v>
      </c>
    </row>
    <row r="67" spans="1:27" s="154" customFormat="1" ht="20.100000000000001" hidden="1" customHeight="1" outlineLevel="1" x14ac:dyDescent="0.4">
      <c r="A67" s="346"/>
      <c r="B67" s="348"/>
      <c r="C67" s="348"/>
      <c r="D67" s="350"/>
      <c r="E67" s="350"/>
      <c r="F67" s="350"/>
      <c r="G67" s="565"/>
      <c r="H67" s="352"/>
      <c r="I67" s="352"/>
      <c r="J67" s="352"/>
      <c r="K67" s="352"/>
      <c r="L67" s="352"/>
      <c r="M67" s="352"/>
      <c r="N67" s="158" t="s">
        <v>25</v>
      </c>
      <c r="O67" s="156">
        <f>SUM('案件．要員情報'!O68:X68)</f>
        <v>0</v>
      </c>
      <c r="P67" s="156">
        <f>SUM('案件．要員情報'!Y68:AH68)</f>
        <v>0</v>
      </c>
      <c r="Q67" s="156">
        <f>SUM('案件．要員情報'!AI68:AR68)</f>
        <v>0</v>
      </c>
      <c r="R67" s="156">
        <f>SUM('案件．要員情報'!AS68:BB68)</f>
        <v>0</v>
      </c>
      <c r="S67" s="156">
        <f>SUM('案件．要員情報'!BC68:BL68)</f>
        <v>0</v>
      </c>
      <c r="T67" s="156">
        <f>SUM('案件．要員情報'!BM68:BV68)</f>
        <v>0.52424242424242429</v>
      </c>
      <c r="U67" s="156">
        <f>SUM('案件．要員情報'!BW68:CF68)</f>
        <v>0.89333333333333331</v>
      </c>
      <c r="V67" s="156">
        <f>SUM('案件．要員情報'!CG68:CP68)</f>
        <v>0</v>
      </c>
      <c r="W67" s="156">
        <f>SUM('案件．要員情報'!CQ68:CW68)</f>
        <v>0</v>
      </c>
      <c r="X67" s="156">
        <f>SUM('案件．要員情報'!CX68:DD68)</f>
        <v>0</v>
      </c>
      <c r="Y67" s="156">
        <f>SUM('案件．要員情報'!DE68:DK68)</f>
        <v>0</v>
      </c>
      <c r="Z67" s="156">
        <f>SUM('案件．要員情報'!DL68:DS68)</f>
        <v>0</v>
      </c>
      <c r="AA67" s="159">
        <f t="shared" si="4"/>
        <v>1.4175757575757575</v>
      </c>
    </row>
    <row r="68" spans="1:27" s="154" customFormat="1" ht="20.100000000000001" hidden="1" customHeight="1" outlineLevel="1" x14ac:dyDescent="0.4">
      <c r="A68" s="345">
        <v>32</v>
      </c>
      <c r="B68" s="347" t="s">
        <v>47</v>
      </c>
      <c r="C68" s="347" t="s">
        <v>14</v>
      </c>
      <c r="D68" s="349" t="s">
        <v>392</v>
      </c>
      <c r="E68" s="349" t="s">
        <v>679</v>
      </c>
      <c r="F68" s="349" t="s">
        <v>386</v>
      </c>
      <c r="G68" s="563" t="s">
        <v>683</v>
      </c>
      <c r="H68" s="351"/>
      <c r="I68" s="351"/>
      <c r="J68" s="351"/>
      <c r="K68" s="351"/>
      <c r="L68" s="351"/>
      <c r="M68" s="351"/>
      <c r="N68" s="157" t="s">
        <v>24</v>
      </c>
      <c r="O68" s="153">
        <f>SUM('案件．要員情報'!O69:X69)</f>
        <v>0</v>
      </c>
      <c r="P68" s="153">
        <f>SUM('案件．要員情報'!Y69:AH69)</f>
        <v>0</v>
      </c>
      <c r="Q68" s="153">
        <f>SUM('案件．要員情報'!AI69:AR69)</f>
        <v>0</v>
      </c>
      <c r="R68" s="153">
        <f>SUM('案件．要員情報'!AS69:BB69)</f>
        <v>0</v>
      </c>
      <c r="S68" s="153">
        <f>SUM('案件．要員情報'!BC69:BL69)</f>
        <v>0</v>
      </c>
      <c r="T68" s="153">
        <f>SUM('案件．要員情報'!BM69:BV69)</f>
        <v>8.484848484848484E-2</v>
      </c>
      <c r="U68" s="153">
        <f>SUM('案件．要員情報'!BW69:CF69)</f>
        <v>0</v>
      </c>
      <c r="V68" s="153">
        <f>SUM('案件．要員情報'!CG69:CP69)</f>
        <v>0</v>
      </c>
      <c r="W68" s="153">
        <f>SUM('案件．要員情報'!CQ69:CW69)</f>
        <v>0</v>
      </c>
      <c r="X68" s="153">
        <f>SUM('案件．要員情報'!CX69:DD69)</f>
        <v>0</v>
      </c>
      <c r="Y68" s="153">
        <f>SUM('案件．要員情報'!DE69:DK69)</f>
        <v>0</v>
      </c>
      <c r="Z68" s="153">
        <f>SUM('案件．要員情報'!DL69:DS69)</f>
        <v>0</v>
      </c>
      <c r="AA68" s="215">
        <f t="shared" si="4"/>
        <v>8.484848484848484E-2</v>
      </c>
    </row>
    <row r="69" spans="1:27" s="154" customFormat="1" ht="20.100000000000001" hidden="1" customHeight="1" outlineLevel="1" x14ac:dyDescent="0.4">
      <c r="A69" s="346"/>
      <c r="B69" s="348"/>
      <c r="C69" s="348"/>
      <c r="D69" s="350"/>
      <c r="E69" s="350"/>
      <c r="F69" s="350"/>
      <c r="G69" s="565"/>
      <c r="H69" s="352"/>
      <c r="I69" s="352"/>
      <c r="J69" s="352"/>
      <c r="K69" s="352"/>
      <c r="L69" s="352"/>
      <c r="M69" s="352"/>
      <c r="N69" s="158" t="s">
        <v>25</v>
      </c>
      <c r="O69" s="156">
        <f>SUM('案件．要員情報'!O70:X70)</f>
        <v>0</v>
      </c>
      <c r="P69" s="156">
        <f>SUM('案件．要員情報'!Y70:AH70)</f>
        <v>0</v>
      </c>
      <c r="Q69" s="156">
        <f>SUM('案件．要員情報'!AI70:AR70)</f>
        <v>0</v>
      </c>
      <c r="R69" s="156">
        <f>SUM('案件．要員情報'!AS70:BB70)</f>
        <v>0</v>
      </c>
      <c r="S69" s="156">
        <f>SUM('案件．要員情報'!BC70:BL70)</f>
        <v>0</v>
      </c>
      <c r="T69" s="156">
        <f>SUM('案件．要員情報'!BM70:BV70)</f>
        <v>7.2727272727272724E-2</v>
      </c>
      <c r="U69" s="156">
        <f>SUM('案件．要員情報'!BW70:CF70)</f>
        <v>0</v>
      </c>
      <c r="V69" s="156">
        <f>SUM('案件．要員情報'!CG70:CP70)</f>
        <v>0</v>
      </c>
      <c r="W69" s="156">
        <f>SUM('案件．要員情報'!CQ70:CW70)</f>
        <v>0</v>
      </c>
      <c r="X69" s="156">
        <f>SUM('案件．要員情報'!CX70:DD70)</f>
        <v>0</v>
      </c>
      <c r="Y69" s="156">
        <f>SUM('案件．要員情報'!DE70:DK70)</f>
        <v>0</v>
      </c>
      <c r="Z69" s="156">
        <f>SUM('案件．要員情報'!DL70:DS70)</f>
        <v>0</v>
      </c>
      <c r="AA69" s="159">
        <f t="shared" si="4"/>
        <v>7.2727272727272724E-2</v>
      </c>
    </row>
    <row r="70" spans="1:27" s="154" customFormat="1" ht="20.100000000000001" hidden="1" customHeight="1" outlineLevel="1" x14ac:dyDescent="0.4">
      <c r="A70" s="345">
        <v>33</v>
      </c>
      <c r="B70" s="347" t="s">
        <v>47</v>
      </c>
      <c r="C70" s="347" t="s">
        <v>347</v>
      </c>
      <c r="D70" s="349" t="s">
        <v>662</v>
      </c>
      <c r="E70" s="349" t="s">
        <v>700</v>
      </c>
      <c r="F70" s="349" t="s">
        <v>702</v>
      </c>
      <c r="G70" s="563" t="s">
        <v>701</v>
      </c>
      <c r="H70" s="351"/>
      <c r="I70" s="351"/>
      <c r="J70" s="351"/>
      <c r="K70" s="351"/>
      <c r="L70" s="351"/>
      <c r="M70" s="351"/>
      <c r="N70" s="157" t="s">
        <v>24</v>
      </c>
      <c r="O70" s="153">
        <f>SUM('案件．要員情報'!O71:X71)</f>
        <v>0</v>
      </c>
      <c r="P70" s="153">
        <f>SUM('案件．要員情報'!Y71:AH71)</f>
        <v>0</v>
      </c>
      <c r="Q70" s="153">
        <f>SUM('案件．要員情報'!AI71:AR71)</f>
        <v>0</v>
      </c>
      <c r="R70" s="153">
        <f>SUM('案件．要員情報'!AS71:BB71)</f>
        <v>0</v>
      </c>
      <c r="S70" s="153">
        <f>SUM('案件．要員情報'!BC71:BL71)</f>
        <v>0</v>
      </c>
      <c r="T70" s="153">
        <f>SUM('案件．要員情報'!BM71:BV71)</f>
        <v>0</v>
      </c>
      <c r="U70" s="153">
        <f>SUM('案件．要員情報'!BW71:CF71)</f>
        <v>0.57333333333333336</v>
      </c>
      <c r="V70" s="153">
        <f>SUM('案件．要員情報'!CG71:CP71)</f>
        <v>0</v>
      </c>
      <c r="W70" s="153">
        <f>SUM('案件．要員情報'!CQ71:CW71)</f>
        <v>0</v>
      </c>
      <c r="X70" s="153">
        <f>SUM('案件．要員情報'!CX71:DD71)</f>
        <v>0</v>
      </c>
      <c r="Y70" s="153">
        <f>SUM('案件．要員情報'!DE71:DK71)</f>
        <v>0</v>
      </c>
      <c r="Z70" s="153">
        <f>SUM('案件．要員情報'!DL71:DS71)</f>
        <v>0</v>
      </c>
      <c r="AA70" s="215">
        <f t="shared" si="4"/>
        <v>0.57333333333333336</v>
      </c>
    </row>
    <row r="71" spans="1:27" s="154" customFormat="1" ht="20.100000000000001" hidden="1" customHeight="1" outlineLevel="1" x14ac:dyDescent="0.4">
      <c r="A71" s="346"/>
      <c r="B71" s="348"/>
      <c r="C71" s="348"/>
      <c r="D71" s="350"/>
      <c r="E71" s="350"/>
      <c r="F71" s="350"/>
      <c r="G71" s="565"/>
      <c r="H71" s="352"/>
      <c r="I71" s="352"/>
      <c r="J71" s="352"/>
      <c r="K71" s="352"/>
      <c r="L71" s="352"/>
      <c r="M71" s="352"/>
      <c r="N71" s="158" t="s">
        <v>25</v>
      </c>
      <c r="O71" s="156">
        <f>SUM('案件．要員情報'!O72:X72)</f>
        <v>0</v>
      </c>
      <c r="P71" s="156">
        <f>SUM('案件．要員情報'!Y72:AH72)</f>
        <v>0</v>
      </c>
      <c r="Q71" s="156">
        <f>SUM('案件．要員情報'!AI72:AR72)</f>
        <v>0</v>
      </c>
      <c r="R71" s="156">
        <f>SUM('案件．要員情報'!AS72:BB72)</f>
        <v>0</v>
      </c>
      <c r="S71" s="156">
        <f>SUM('案件．要員情報'!BC72:BL72)</f>
        <v>0</v>
      </c>
      <c r="T71" s="156">
        <f>SUM('案件．要員情報'!BM72:BV72)</f>
        <v>0</v>
      </c>
      <c r="U71" s="156">
        <f>SUM('案件．要員情報'!BW72:CF72)</f>
        <v>0.56333333333333335</v>
      </c>
      <c r="V71" s="156">
        <f>SUM('案件．要員情報'!CG72:CP72)</f>
        <v>0</v>
      </c>
      <c r="W71" s="156">
        <f>SUM('案件．要員情報'!CQ72:CW72)</f>
        <v>0</v>
      </c>
      <c r="X71" s="156">
        <f>SUM('案件．要員情報'!CX72:DD72)</f>
        <v>0</v>
      </c>
      <c r="Y71" s="156">
        <f>SUM('案件．要員情報'!DE72:DK72)</f>
        <v>0</v>
      </c>
      <c r="Z71" s="156">
        <f>SUM('案件．要員情報'!DL72:DS72)</f>
        <v>0</v>
      </c>
      <c r="AA71" s="159">
        <f t="shared" si="4"/>
        <v>0.56333333333333335</v>
      </c>
    </row>
    <row r="72" spans="1:27" s="154" customFormat="1" ht="20.100000000000001" hidden="1" customHeight="1" outlineLevel="1" collapsed="1" x14ac:dyDescent="0.4">
      <c r="A72" s="345">
        <v>34</v>
      </c>
      <c r="B72" s="347" t="s">
        <v>47</v>
      </c>
      <c r="C72" s="347" t="s">
        <v>347</v>
      </c>
      <c r="D72" s="349" t="s">
        <v>662</v>
      </c>
      <c r="E72" s="349" t="s">
        <v>709</v>
      </c>
      <c r="F72" s="349" t="s">
        <v>710</v>
      </c>
      <c r="G72" s="563" t="s">
        <v>711</v>
      </c>
      <c r="H72" s="351"/>
      <c r="I72" s="351"/>
      <c r="J72" s="351"/>
      <c r="K72" s="351"/>
      <c r="L72" s="351"/>
      <c r="M72" s="351"/>
      <c r="N72" s="157" t="s">
        <v>24</v>
      </c>
      <c r="O72" s="153">
        <f>SUM('案件．要員情報'!O73:X73)</f>
        <v>0</v>
      </c>
      <c r="P72" s="153">
        <f>SUM('案件．要員情報'!Y73:AH73)</f>
        <v>0</v>
      </c>
      <c r="Q72" s="153">
        <f>SUM('案件．要員情報'!AI73:AR73)</f>
        <v>0</v>
      </c>
      <c r="R72" s="153">
        <f>SUM('案件．要員情報'!AS73:BB73)</f>
        <v>0</v>
      </c>
      <c r="S72" s="153">
        <f>SUM('案件．要員情報'!BC73:BL73)</f>
        <v>0</v>
      </c>
      <c r="T72" s="153">
        <f>SUM('案件．要員情報'!BM73:BV73)</f>
        <v>0</v>
      </c>
      <c r="U72" s="153">
        <f>SUM('案件．要員情報'!BW73:CF73)</f>
        <v>0.43333333333333335</v>
      </c>
      <c r="V72" s="153">
        <f>SUM('案件．要員情報'!CG73:CP73)</f>
        <v>0</v>
      </c>
      <c r="W72" s="153">
        <f>SUM('案件．要員情報'!CQ73:CW73)</f>
        <v>0</v>
      </c>
      <c r="X72" s="153">
        <f>SUM('案件．要員情報'!CX73:DD73)</f>
        <v>0</v>
      </c>
      <c r="Y72" s="153">
        <f>SUM('案件．要員情報'!DE73:DK73)</f>
        <v>0</v>
      </c>
      <c r="Z72" s="153">
        <f>SUM('案件．要員情報'!DL73:DS73)</f>
        <v>0</v>
      </c>
      <c r="AA72" s="215">
        <f t="shared" si="4"/>
        <v>0.43333333333333335</v>
      </c>
    </row>
    <row r="73" spans="1:27" s="154" customFormat="1" ht="20.100000000000001" hidden="1" customHeight="1" outlineLevel="1" x14ac:dyDescent="0.4">
      <c r="A73" s="346"/>
      <c r="B73" s="348"/>
      <c r="C73" s="348"/>
      <c r="D73" s="350"/>
      <c r="E73" s="350"/>
      <c r="F73" s="350"/>
      <c r="G73" s="565"/>
      <c r="H73" s="352"/>
      <c r="I73" s="352"/>
      <c r="J73" s="352"/>
      <c r="K73" s="352"/>
      <c r="L73" s="352"/>
      <c r="M73" s="352"/>
      <c r="N73" s="158" t="s">
        <v>25</v>
      </c>
      <c r="O73" s="156">
        <f>SUM('案件．要員情報'!O74:X74)</f>
        <v>0</v>
      </c>
      <c r="P73" s="156">
        <f>SUM('案件．要員情報'!Y74:AH74)</f>
        <v>0</v>
      </c>
      <c r="Q73" s="156">
        <f>SUM('案件．要員情報'!AI74:AR74)</f>
        <v>0</v>
      </c>
      <c r="R73" s="156">
        <f>SUM('案件．要員情報'!AS74:BB74)</f>
        <v>0</v>
      </c>
      <c r="S73" s="156">
        <f>SUM('案件．要員情報'!BC74:BL74)</f>
        <v>0</v>
      </c>
      <c r="T73" s="156">
        <f>SUM('案件．要員情報'!BM74:BV74)</f>
        <v>0</v>
      </c>
      <c r="U73" s="156">
        <f>SUM('案件．要員情報'!BW74:CF74)</f>
        <v>0.42333333333333334</v>
      </c>
      <c r="V73" s="156">
        <f>SUM('案件．要員情報'!CG74:CP74)</f>
        <v>0</v>
      </c>
      <c r="W73" s="156">
        <f>SUM('案件．要員情報'!CQ74:CW74)</f>
        <v>0</v>
      </c>
      <c r="X73" s="156">
        <f>SUM('案件．要員情報'!CX74:DD74)</f>
        <v>0</v>
      </c>
      <c r="Y73" s="156">
        <f>SUM('案件．要員情報'!DE74:DK74)</f>
        <v>0</v>
      </c>
      <c r="Z73" s="156">
        <f>SUM('案件．要員情報'!DL74:DS74)</f>
        <v>0</v>
      </c>
      <c r="AA73" s="159">
        <f t="shared" si="4"/>
        <v>0.42333333333333334</v>
      </c>
    </row>
    <row r="74" spans="1:27" s="154" customFormat="1" ht="20.100000000000001" hidden="1" customHeight="1" outlineLevel="1" x14ac:dyDescent="0.4">
      <c r="A74" s="345">
        <v>35</v>
      </c>
      <c r="B74" s="347" t="s">
        <v>47</v>
      </c>
      <c r="C74" s="347" t="s">
        <v>14</v>
      </c>
      <c r="D74" s="349" t="s">
        <v>348</v>
      </c>
      <c r="E74" s="349" t="s">
        <v>717</v>
      </c>
      <c r="F74" s="349"/>
      <c r="G74" s="563" t="s">
        <v>718</v>
      </c>
      <c r="H74" s="351"/>
      <c r="I74" s="351"/>
      <c r="J74" s="351"/>
      <c r="K74" s="351"/>
      <c r="L74" s="351"/>
      <c r="M74" s="351"/>
      <c r="N74" s="157" t="s">
        <v>24</v>
      </c>
      <c r="O74" s="153">
        <f>SUM('案件．要員情報'!O75:X75)</f>
        <v>0</v>
      </c>
      <c r="P74" s="153">
        <f>SUM('案件．要員情報'!Y75:AH75)</f>
        <v>0</v>
      </c>
      <c r="Q74" s="153">
        <f>SUM('案件．要員情報'!AI75:AR75)</f>
        <v>0</v>
      </c>
      <c r="R74" s="153">
        <f>SUM('案件．要員情報'!AS75:BB75)</f>
        <v>0</v>
      </c>
      <c r="S74" s="153">
        <f>SUM('案件．要員情報'!BC75:BL75)</f>
        <v>0</v>
      </c>
      <c r="T74" s="153">
        <f>SUM('案件．要員情報'!BM75:BV75)</f>
        <v>0</v>
      </c>
      <c r="U74" s="153">
        <f>SUM('案件．要員情報'!BW75:CF75)</f>
        <v>1.5</v>
      </c>
      <c r="V74" s="153">
        <f>SUM('案件．要員情報'!CG75:CP75)</f>
        <v>0.66666666666666652</v>
      </c>
      <c r="W74" s="153">
        <f>SUM('案件．要員情報'!CQ75:CW75)</f>
        <v>0.8</v>
      </c>
      <c r="X74" s="153">
        <f>SUM('案件．要員情報'!CX75:DD75)</f>
        <v>0</v>
      </c>
      <c r="Y74" s="153">
        <f>SUM('案件．要員情報'!DE75:DK75)</f>
        <v>0</v>
      </c>
      <c r="Z74" s="153">
        <f>SUM('案件．要員情報'!DL75:DS75)</f>
        <v>0</v>
      </c>
      <c r="AA74" s="215">
        <f t="shared" si="4"/>
        <v>2.9666666666666668</v>
      </c>
    </row>
    <row r="75" spans="1:27" s="154" customFormat="1" ht="20.100000000000001" hidden="1" customHeight="1" outlineLevel="1" x14ac:dyDescent="0.4">
      <c r="A75" s="346"/>
      <c r="B75" s="348"/>
      <c r="C75" s="348"/>
      <c r="D75" s="350"/>
      <c r="E75" s="350"/>
      <c r="F75" s="350"/>
      <c r="G75" s="565"/>
      <c r="H75" s="352"/>
      <c r="I75" s="352"/>
      <c r="J75" s="352"/>
      <c r="K75" s="352"/>
      <c r="L75" s="352"/>
      <c r="M75" s="352"/>
      <c r="N75" s="158" t="s">
        <v>25</v>
      </c>
      <c r="O75" s="156">
        <f>SUM('案件．要員情報'!O76:X76)</f>
        <v>0</v>
      </c>
      <c r="P75" s="156">
        <f>SUM('案件．要員情報'!Y76:AH76)</f>
        <v>0</v>
      </c>
      <c r="Q75" s="156">
        <f>SUM('案件．要員情報'!AI76:AR76)</f>
        <v>0</v>
      </c>
      <c r="R75" s="156">
        <f>SUM('案件．要員情報'!AS76:BB76)</f>
        <v>0</v>
      </c>
      <c r="S75" s="156">
        <f>SUM('案件．要員情報'!BC76:BL76)</f>
        <v>0</v>
      </c>
      <c r="T75" s="156">
        <f>SUM('案件．要員情報'!BM76:BV76)</f>
        <v>0</v>
      </c>
      <c r="U75" s="156">
        <f>SUM('案件．要員情報'!BW76:CF76)</f>
        <v>1.4966666666666666</v>
      </c>
      <c r="V75" s="156">
        <f>SUM('案件．要員情報'!CG76:CP76)</f>
        <v>0.57407407407407418</v>
      </c>
      <c r="W75" s="156">
        <f>SUM('案件．要員情報'!CQ76:CW76)</f>
        <v>0.78333333333333321</v>
      </c>
      <c r="X75" s="156">
        <f>SUM('案件．要員情報'!CX76:DD76)</f>
        <v>0</v>
      </c>
      <c r="Y75" s="156">
        <f>SUM('案件．要員情報'!DE76:DK76)</f>
        <v>0</v>
      </c>
      <c r="Z75" s="156">
        <f>SUM('案件．要員情報'!DL76:DS76)</f>
        <v>0</v>
      </c>
      <c r="AA75" s="159">
        <f t="shared" si="4"/>
        <v>2.8540740740740738</v>
      </c>
    </row>
    <row r="76" spans="1:27" s="154" customFormat="1" ht="20.100000000000001" hidden="1" customHeight="1" outlineLevel="1" x14ac:dyDescent="0.4">
      <c r="A76" s="345">
        <v>36</v>
      </c>
      <c r="B76" s="347" t="s">
        <v>47</v>
      </c>
      <c r="C76" s="347" t="s">
        <v>14</v>
      </c>
      <c r="D76" s="349" t="s">
        <v>576</v>
      </c>
      <c r="E76" s="349" t="s">
        <v>714</v>
      </c>
      <c r="F76" s="349"/>
      <c r="G76" s="563" t="s">
        <v>715</v>
      </c>
      <c r="H76" s="351"/>
      <c r="I76" s="351"/>
      <c r="J76" s="351"/>
      <c r="K76" s="351"/>
      <c r="L76" s="351"/>
      <c r="M76" s="351"/>
      <c r="N76" s="157" t="s">
        <v>24</v>
      </c>
      <c r="O76" s="153">
        <f>SUM('案件．要員情報'!O77:X77)</f>
        <v>0</v>
      </c>
      <c r="P76" s="153">
        <f>SUM('案件．要員情報'!Y77:AH77)</f>
        <v>0</v>
      </c>
      <c r="Q76" s="153">
        <f>SUM('案件．要員情報'!AI77:AR77)</f>
        <v>0</v>
      </c>
      <c r="R76" s="153">
        <f>SUM('案件．要員情報'!AS77:BB77)</f>
        <v>0</v>
      </c>
      <c r="S76" s="153">
        <f>SUM('案件．要員情報'!BC77:BL77)</f>
        <v>0</v>
      </c>
      <c r="T76" s="153">
        <f>SUM('案件．要員情報'!BM77:BV77)</f>
        <v>0</v>
      </c>
      <c r="U76" s="153">
        <f>SUM('案件．要員情報'!BW77:CF77)</f>
        <v>1.5</v>
      </c>
      <c r="V76" s="153">
        <f>SUM('案件．要員情報'!CG77:CP77)</f>
        <v>0.22222222222222221</v>
      </c>
      <c r="W76" s="153">
        <f>SUM('案件．要員情報'!CQ77:CW77)</f>
        <v>0</v>
      </c>
      <c r="X76" s="153">
        <f>SUM('案件．要員情報'!CX77:DD77)</f>
        <v>0</v>
      </c>
      <c r="Y76" s="153">
        <f>SUM('案件．要員情報'!DE77:DK77)</f>
        <v>0</v>
      </c>
      <c r="Z76" s="153">
        <f>SUM('案件．要員情報'!DL77:DS77)</f>
        <v>0</v>
      </c>
      <c r="AA76" s="215">
        <f t="shared" si="4"/>
        <v>1.7222222222222223</v>
      </c>
    </row>
    <row r="77" spans="1:27" s="154" customFormat="1" ht="20.100000000000001" hidden="1" customHeight="1" outlineLevel="1" x14ac:dyDescent="0.4">
      <c r="A77" s="346"/>
      <c r="B77" s="348"/>
      <c r="C77" s="348"/>
      <c r="D77" s="350"/>
      <c r="E77" s="350"/>
      <c r="F77" s="350"/>
      <c r="G77" s="565"/>
      <c r="H77" s="352"/>
      <c r="I77" s="352"/>
      <c r="J77" s="352"/>
      <c r="K77" s="352"/>
      <c r="L77" s="352"/>
      <c r="M77" s="352"/>
      <c r="N77" s="158" t="s">
        <v>25</v>
      </c>
      <c r="O77" s="156">
        <f>SUM('案件．要員情報'!O78:X78)</f>
        <v>0</v>
      </c>
      <c r="P77" s="156">
        <f>SUM('案件．要員情報'!Y78:AH78)</f>
        <v>0</v>
      </c>
      <c r="Q77" s="156">
        <f>SUM('案件．要員情報'!AI78:AR78)</f>
        <v>0</v>
      </c>
      <c r="R77" s="156">
        <f>SUM('案件．要員情報'!AS78:BB78)</f>
        <v>0</v>
      </c>
      <c r="S77" s="156">
        <f>SUM('案件．要員情報'!BC78:BL78)</f>
        <v>0</v>
      </c>
      <c r="T77" s="156">
        <f>SUM('案件．要員情報'!BM78:BV78)</f>
        <v>0</v>
      </c>
      <c r="U77" s="156">
        <f>SUM('案件．要員情報'!BW78:CF78)</f>
        <v>1.48</v>
      </c>
      <c r="V77" s="156">
        <f>SUM('案件．要員情報'!CG78:CP78)</f>
        <v>0.14074074074074072</v>
      </c>
      <c r="W77" s="156">
        <f>SUM('案件．要員情報'!CQ78:CW78)</f>
        <v>0</v>
      </c>
      <c r="X77" s="156">
        <f>SUM('案件．要員情報'!CX78:DD78)</f>
        <v>0</v>
      </c>
      <c r="Y77" s="156">
        <f>SUM('案件．要員情報'!DE78:DK78)</f>
        <v>0</v>
      </c>
      <c r="Z77" s="156">
        <f>SUM('案件．要員情報'!DL78:DS78)</f>
        <v>0</v>
      </c>
      <c r="AA77" s="159">
        <f t="shared" si="4"/>
        <v>1.6207407407407408</v>
      </c>
    </row>
    <row r="78" spans="1:27" s="154" customFormat="1" ht="20.100000000000001" hidden="1" customHeight="1" outlineLevel="1" x14ac:dyDescent="0.4">
      <c r="A78" s="345">
        <v>37</v>
      </c>
      <c r="B78" s="347" t="s">
        <v>47</v>
      </c>
      <c r="C78" s="347" t="s">
        <v>347</v>
      </c>
      <c r="D78" s="349" t="s">
        <v>348</v>
      </c>
      <c r="E78" s="349" t="s">
        <v>726</v>
      </c>
      <c r="F78" s="349" t="s">
        <v>727</v>
      </c>
      <c r="G78" s="563" t="s">
        <v>728</v>
      </c>
      <c r="H78" s="351"/>
      <c r="I78" s="351"/>
      <c r="J78" s="351"/>
      <c r="K78" s="351"/>
      <c r="L78" s="351"/>
      <c r="M78" s="351"/>
      <c r="N78" s="157" t="s">
        <v>24</v>
      </c>
      <c r="O78" s="153">
        <f>SUM('案件．要員情報'!O79:X79)</f>
        <v>0</v>
      </c>
      <c r="P78" s="153">
        <f>SUM('案件．要員情報'!Y79:AH79)</f>
        <v>0</v>
      </c>
      <c r="Q78" s="153">
        <f>SUM('案件．要員情報'!AI79:AR79)</f>
        <v>0</v>
      </c>
      <c r="R78" s="153">
        <f>SUM('案件．要員情報'!AS79:BB79)</f>
        <v>0</v>
      </c>
      <c r="S78" s="153">
        <f>SUM('案件．要員情報'!BC79:BL79)</f>
        <v>0</v>
      </c>
      <c r="T78" s="153">
        <f>SUM('案件．要員情報'!BM79:BV79)</f>
        <v>0</v>
      </c>
      <c r="U78" s="153">
        <f>SUM('案件．要員情報'!BW79:CF79)</f>
        <v>0.2</v>
      </c>
      <c r="V78" s="153">
        <f>SUM('案件．要員情報'!CG79:CP79)</f>
        <v>0</v>
      </c>
      <c r="W78" s="153">
        <f>SUM('案件．要員情報'!CQ79:CW79)</f>
        <v>0</v>
      </c>
      <c r="X78" s="153">
        <f>SUM('案件．要員情報'!CX79:DD79)</f>
        <v>0</v>
      </c>
      <c r="Y78" s="153">
        <f>SUM('案件．要員情報'!DE79:DK79)</f>
        <v>0</v>
      </c>
      <c r="Z78" s="153">
        <f>SUM('案件．要員情報'!DL79:DS79)</f>
        <v>0</v>
      </c>
      <c r="AA78" s="215">
        <f t="shared" si="4"/>
        <v>0.2</v>
      </c>
    </row>
    <row r="79" spans="1:27" s="154" customFormat="1" ht="20.100000000000001" hidden="1" customHeight="1" outlineLevel="1" x14ac:dyDescent="0.4">
      <c r="A79" s="346"/>
      <c r="B79" s="348"/>
      <c r="C79" s="348"/>
      <c r="D79" s="350"/>
      <c r="E79" s="350"/>
      <c r="F79" s="350"/>
      <c r="G79" s="565"/>
      <c r="H79" s="352"/>
      <c r="I79" s="352"/>
      <c r="J79" s="352"/>
      <c r="K79" s="352"/>
      <c r="L79" s="352"/>
      <c r="M79" s="352"/>
      <c r="N79" s="158" t="s">
        <v>25</v>
      </c>
      <c r="O79" s="156">
        <f>SUM('案件．要員情報'!O80:X80)</f>
        <v>0</v>
      </c>
      <c r="P79" s="156">
        <f>SUM('案件．要員情報'!Y80:AH80)</f>
        <v>0</v>
      </c>
      <c r="Q79" s="156">
        <f>SUM('案件．要員情報'!AI80:AR80)</f>
        <v>0</v>
      </c>
      <c r="R79" s="156">
        <f>SUM('案件．要員情報'!AS80:BB80)</f>
        <v>0</v>
      </c>
      <c r="S79" s="156">
        <f>SUM('案件．要員情報'!BC80:BL80)</f>
        <v>0</v>
      </c>
      <c r="T79" s="156">
        <f>SUM('案件．要員情報'!BM80:BV80)</f>
        <v>0</v>
      </c>
      <c r="U79" s="156">
        <f>SUM('案件．要員情報'!BW80:CF80)</f>
        <v>0.18</v>
      </c>
      <c r="V79" s="156">
        <f>SUM('案件．要員情報'!CG80:CP80)</f>
        <v>0</v>
      </c>
      <c r="W79" s="156">
        <f>SUM('案件．要員情報'!CQ80:CW80)</f>
        <v>0</v>
      </c>
      <c r="X79" s="156">
        <f>SUM('案件．要員情報'!CX80:DD80)</f>
        <v>0</v>
      </c>
      <c r="Y79" s="156">
        <f>SUM('案件．要員情報'!DE80:DK80)</f>
        <v>0</v>
      </c>
      <c r="Z79" s="156">
        <f>SUM('案件．要員情報'!DL80:DS80)</f>
        <v>0</v>
      </c>
      <c r="AA79" s="159">
        <f t="shared" si="4"/>
        <v>0.18</v>
      </c>
    </row>
    <row r="80" spans="1:27" s="154" customFormat="1" ht="20.100000000000001" hidden="1" customHeight="1" outlineLevel="1" x14ac:dyDescent="0.4">
      <c r="A80" s="345">
        <v>38</v>
      </c>
      <c r="B80" s="347" t="s">
        <v>47</v>
      </c>
      <c r="C80" s="347" t="s">
        <v>14</v>
      </c>
      <c r="D80" s="349" t="s">
        <v>436</v>
      </c>
      <c r="E80" s="349" t="s">
        <v>731</v>
      </c>
      <c r="F80" s="349"/>
      <c r="G80" s="563" t="s">
        <v>730</v>
      </c>
      <c r="H80" s="351"/>
      <c r="I80" s="351"/>
      <c r="J80" s="351"/>
      <c r="K80" s="351"/>
      <c r="L80" s="351"/>
      <c r="M80" s="351"/>
      <c r="N80" s="157" t="s">
        <v>24</v>
      </c>
      <c r="O80" s="153">
        <f>SUM('案件．要員情報'!O81:X81)</f>
        <v>0</v>
      </c>
      <c r="P80" s="153">
        <f>SUM('案件．要員情報'!Y81:AH81)</f>
        <v>0</v>
      </c>
      <c r="Q80" s="153">
        <f>SUM('案件．要員情報'!AI81:AR81)</f>
        <v>0</v>
      </c>
      <c r="R80" s="153">
        <f>SUM('案件．要員情報'!AS81:BB81)</f>
        <v>0</v>
      </c>
      <c r="S80" s="153">
        <f>SUM('案件．要員情報'!BC81:BL81)</f>
        <v>0</v>
      </c>
      <c r="T80" s="153">
        <f>SUM('案件．要員情報'!BM81:BV81)</f>
        <v>0</v>
      </c>
      <c r="U80" s="153">
        <f>SUM('案件．要員情報'!BW81:CF81)</f>
        <v>0.54666666666666663</v>
      </c>
      <c r="V80" s="153">
        <f>SUM('案件．要員情報'!CG81:CP81)</f>
        <v>0</v>
      </c>
      <c r="W80" s="153">
        <f>SUM('案件．要員情報'!CQ81:CW81)</f>
        <v>0</v>
      </c>
      <c r="X80" s="153">
        <f>SUM('案件．要員情報'!CX81:DD81)</f>
        <v>0</v>
      </c>
      <c r="Y80" s="153">
        <f>SUM('案件．要員情報'!DE81:DK81)</f>
        <v>0</v>
      </c>
      <c r="Z80" s="153">
        <f>SUM('案件．要員情報'!DL81:DS81)</f>
        <v>0</v>
      </c>
      <c r="AA80" s="215">
        <f t="shared" si="4"/>
        <v>0.54666666666666663</v>
      </c>
    </row>
    <row r="81" spans="1:27" s="154" customFormat="1" ht="20.100000000000001" hidden="1" customHeight="1" outlineLevel="1" x14ac:dyDescent="0.4">
      <c r="A81" s="346"/>
      <c r="B81" s="348"/>
      <c r="C81" s="348"/>
      <c r="D81" s="350"/>
      <c r="E81" s="350"/>
      <c r="F81" s="350"/>
      <c r="G81" s="565"/>
      <c r="H81" s="352"/>
      <c r="I81" s="352"/>
      <c r="J81" s="352"/>
      <c r="K81" s="352"/>
      <c r="L81" s="352"/>
      <c r="M81" s="352"/>
      <c r="N81" s="158" t="s">
        <v>25</v>
      </c>
      <c r="O81" s="156">
        <f>SUM('案件．要員情報'!O82:X82)</f>
        <v>0</v>
      </c>
      <c r="P81" s="156">
        <f>SUM('案件．要員情報'!Y82:AH82)</f>
        <v>0</v>
      </c>
      <c r="Q81" s="156">
        <f>SUM('案件．要員情報'!AI82:AR82)</f>
        <v>0</v>
      </c>
      <c r="R81" s="156">
        <f>SUM('案件．要員情報'!AS82:BB82)</f>
        <v>0</v>
      </c>
      <c r="S81" s="156">
        <f>SUM('案件．要員情報'!BC82:BL82)</f>
        <v>0</v>
      </c>
      <c r="T81" s="156">
        <f>SUM('案件．要員情報'!BM82:BV82)</f>
        <v>0</v>
      </c>
      <c r="U81" s="156">
        <f>SUM('案件．要員情報'!BW82:CF82)</f>
        <v>0.54333333333333333</v>
      </c>
      <c r="V81" s="156">
        <f>SUM('案件．要員情報'!CG82:CP82)</f>
        <v>0</v>
      </c>
      <c r="W81" s="156">
        <f>SUM('案件．要員情報'!CQ82:CW82)</f>
        <v>0</v>
      </c>
      <c r="X81" s="156">
        <f>SUM('案件．要員情報'!CX82:DD82)</f>
        <v>0</v>
      </c>
      <c r="Y81" s="156">
        <f>SUM('案件．要員情報'!DE82:DK82)</f>
        <v>0</v>
      </c>
      <c r="Z81" s="156">
        <f>SUM('案件．要員情報'!DL82:DS82)</f>
        <v>0</v>
      </c>
      <c r="AA81" s="159">
        <f t="shared" si="4"/>
        <v>0.54333333333333333</v>
      </c>
    </row>
    <row r="82" spans="1:27" s="154" customFormat="1" ht="20.100000000000001" customHeight="1" collapsed="1" x14ac:dyDescent="0.4">
      <c r="A82" s="345">
        <v>39</v>
      </c>
      <c r="B82" s="347" t="s">
        <v>47</v>
      </c>
      <c r="C82" s="347" t="s">
        <v>14</v>
      </c>
      <c r="D82" s="349" t="s">
        <v>735</v>
      </c>
      <c r="E82" s="349" t="s">
        <v>732</v>
      </c>
      <c r="F82" s="349"/>
      <c r="G82" s="563" t="s">
        <v>733</v>
      </c>
      <c r="H82" s="351"/>
      <c r="I82" s="351"/>
      <c r="J82" s="351"/>
      <c r="K82" s="351"/>
      <c r="L82" s="351"/>
      <c r="M82" s="351"/>
      <c r="N82" s="157" t="s">
        <v>24</v>
      </c>
      <c r="O82" s="153">
        <f>SUM('案件．要員情報'!O83:X83)</f>
        <v>0</v>
      </c>
      <c r="P82" s="153">
        <f>SUM('案件．要員情報'!Y83:AH83)</f>
        <v>0</v>
      </c>
      <c r="Q82" s="153">
        <f>SUM('案件．要員情報'!AI83:AR83)</f>
        <v>0</v>
      </c>
      <c r="R82" s="153">
        <f>SUM('案件．要員情報'!AS83:BB83)</f>
        <v>0</v>
      </c>
      <c r="S82" s="153">
        <f>SUM('案件．要員情報'!BC83:BL83)</f>
        <v>0</v>
      </c>
      <c r="T82" s="153">
        <f>SUM('案件．要員情報'!BM83:BV83)</f>
        <v>0</v>
      </c>
      <c r="U82" s="153">
        <f>SUM('案件．要員情報'!BW83:CF83)</f>
        <v>0.36666666666666664</v>
      </c>
      <c r="V82" s="153">
        <f>SUM('案件．要員情報'!CG83:CP83)</f>
        <v>1.6666666666666665</v>
      </c>
      <c r="W82" s="153">
        <f>SUM('案件．要員情報'!CQ83:CW83)</f>
        <v>1.42</v>
      </c>
      <c r="X82" s="153">
        <f>SUM('案件．要員情報'!CX83:DD83)</f>
        <v>6.3492063492063489E-2</v>
      </c>
      <c r="Y82" s="153">
        <f>SUM('案件．要員情報'!DE83:DK83)</f>
        <v>0</v>
      </c>
      <c r="Z82" s="153">
        <f>SUM('案件．要員情報'!DL83:DS83)</f>
        <v>0</v>
      </c>
      <c r="AA82" s="215">
        <f t="shared" si="4"/>
        <v>3.5168253968253964</v>
      </c>
    </row>
    <row r="83" spans="1:27" s="154" customFormat="1" ht="20.100000000000001" customHeight="1" x14ac:dyDescent="0.4">
      <c r="A83" s="346"/>
      <c r="B83" s="348"/>
      <c r="C83" s="348"/>
      <c r="D83" s="350"/>
      <c r="E83" s="350"/>
      <c r="F83" s="350"/>
      <c r="G83" s="565"/>
      <c r="H83" s="352"/>
      <c r="I83" s="352"/>
      <c r="J83" s="352"/>
      <c r="K83" s="352"/>
      <c r="L83" s="352"/>
      <c r="M83" s="352"/>
      <c r="N83" s="158" t="s">
        <v>25</v>
      </c>
      <c r="O83" s="156">
        <f>SUM('案件．要員情報'!O84:X84)</f>
        <v>0</v>
      </c>
      <c r="P83" s="156">
        <f>SUM('案件．要員情報'!Y84:AH84)</f>
        <v>0</v>
      </c>
      <c r="Q83" s="156">
        <f>SUM('案件．要員情報'!AI84:AR84)</f>
        <v>0</v>
      </c>
      <c r="R83" s="156">
        <f>SUM('案件．要員情報'!AS84:BB84)</f>
        <v>0</v>
      </c>
      <c r="S83" s="156">
        <f>SUM('案件．要員情報'!BC84:BL84)</f>
        <v>0</v>
      </c>
      <c r="T83" s="156">
        <f>SUM('案件．要員情報'!BM84:BV84)</f>
        <v>0</v>
      </c>
      <c r="U83" s="156">
        <f>SUM('案件．要員情報'!BW84:CF84)</f>
        <v>0.35</v>
      </c>
      <c r="V83" s="156">
        <f>SUM('案件．要員情報'!CG84:CP84)</f>
        <v>1.6407407407407406</v>
      </c>
      <c r="W83" s="156">
        <f>SUM('案件．要員情報'!CQ84:CW84)</f>
        <v>1.3683333333333334</v>
      </c>
      <c r="X83" s="156">
        <f>SUM('案件．要員情報'!CX84:DD84)</f>
        <v>6.9841269841269843E-2</v>
      </c>
      <c r="Y83" s="156">
        <f>SUM('案件．要員情報'!DE84:DK84)</f>
        <v>0</v>
      </c>
      <c r="Z83" s="156">
        <f>SUM('案件．要員情報'!DL84:DS84)</f>
        <v>0</v>
      </c>
      <c r="AA83" s="159">
        <f t="shared" si="4"/>
        <v>3.4289153439153437</v>
      </c>
    </row>
    <row r="84" spans="1:27" s="154" customFormat="1" ht="20.100000000000001" hidden="1" customHeight="1" outlineLevel="1" x14ac:dyDescent="0.4">
      <c r="A84" s="345">
        <v>40</v>
      </c>
      <c r="B84" s="347" t="s">
        <v>47</v>
      </c>
      <c r="C84" s="347" t="s">
        <v>347</v>
      </c>
      <c r="D84" s="349" t="s">
        <v>348</v>
      </c>
      <c r="E84" s="349" t="s">
        <v>766</v>
      </c>
      <c r="F84" s="349"/>
      <c r="G84" s="563" t="s">
        <v>769</v>
      </c>
      <c r="H84" s="351"/>
      <c r="I84" s="351"/>
      <c r="J84" s="351"/>
      <c r="K84" s="351"/>
      <c r="L84" s="351"/>
      <c r="M84" s="351"/>
      <c r="N84" s="157" t="s">
        <v>24</v>
      </c>
      <c r="O84" s="153">
        <f>SUM('案件．要員情報'!O85:X85)</f>
        <v>0</v>
      </c>
      <c r="P84" s="153">
        <f>SUM('案件．要員情報'!Y85:AH85)</f>
        <v>0</v>
      </c>
      <c r="Q84" s="153">
        <f>SUM('案件．要員情報'!AI85:AR85)</f>
        <v>0</v>
      </c>
      <c r="R84" s="153">
        <f>SUM('案件．要員情報'!AS85:BB85)</f>
        <v>0</v>
      </c>
      <c r="S84" s="153">
        <f>SUM('案件．要員情報'!BC85:BL85)</f>
        <v>0</v>
      </c>
      <c r="T84" s="153">
        <f>SUM('案件．要員情報'!BM85:BV85)</f>
        <v>0</v>
      </c>
      <c r="U84" s="153">
        <f>SUM('案件．要員情報'!BW85:CF85)</f>
        <v>0</v>
      </c>
      <c r="V84" s="153">
        <f>SUM('案件．要員情報'!CG85:CP85)</f>
        <v>0</v>
      </c>
      <c r="W84" s="153">
        <f>SUM('案件．要員情報'!CQ85:CW85)</f>
        <v>0.21333333333333332</v>
      </c>
      <c r="X84" s="153">
        <f>SUM('案件．要員情報'!CX85:DD85)</f>
        <v>0</v>
      </c>
      <c r="Y84" s="153">
        <f>SUM('案件．要員情報'!DE85:DK85)</f>
        <v>0</v>
      </c>
      <c r="Z84" s="153">
        <f>SUM('案件．要員情報'!DL85:DS85)</f>
        <v>0</v>
      </c>
      <c r="AA84" s="215">
        <f t="shared" si="4"/>
        <v>0.21333333333333332</v>
      </c>
    </row>
    <row r="85" spans="1:27" s="154" customFormat="1" ht="20.100000000000001" hidden="1" customHeight="1" outlineLevel="1" x14ac:dyDescent="0.4">
      <c r="A85" s="346"/>
      <c r="B85" s="348"/>
      <c r="C85" s="348"/>
      <c r="D85" s="350"/>
      <c r="E85" s="350"/>
      <c r="F85" s="350"/>
      <c r="G85" s="565"/>
      <c r="H85" s="352"/>
      <c r="I85" s="352"/>
      <c r="J85" s="352"/>
      <c r="K85" s="352"/>
      <c r="L85" s="352"/>
      <c r="M85" s="352"/>
      <c r="N85" s="158" t="s">
        <v>25</v>
      </c>
      <c r="O85" s="156">
        <f>SUM('案件．要員情報'!O86:X86)</f>
        <v>0</v>
      </c>
      <c r="P85" s="156">
        <f>SUM('案件．要員情報'!Y86:AH86)</f>
        <v>0</v>
      </c>
      <c r="Q85" s="156">
        <f>SUM('案件．要員情報'!AI86:AR86)</f>
        <v>0</v>
      </c>
      <c r="R85" s="156">
        <f>SUM('案件．要員情報'!AS86:BB86)</f>
        <v>0</v>
      </c>
      <c r="S85" s="156">
        <f>SUM('案件．要員情報'!BC86:BL86)</f>
        <v>0</v>
      </c>
      <c r="T85" s="156">
        <f>SUM('案件．要員情報'!BM86:BV86)</f>
        <v>0</v>
      </c>
      <c r="U85" s="156">
        <f>SUM('案件．要員情報'!BW86:CF86)</f>
        <v>0</v>
      </c>
      <c r="V85" s="156">
        <f>SUM('案件．要員情報'!CG86:CP86)</f>
        <v>0</v>
      </c>
      <c r="W85" s="156">
        <f>SUM('案件．要員情報'!CQ86:CW86)</f>
        <v>0.20666666666666664</v>
      </c>
      <c r="X85" s="156">
        <f>SUM('案件．要員情報'!CX86:DD86)</f>
        <v>0</v>
      </c>
      <c r="Y85" s="156">
        <f>SUM('案件．要員情報'!DE86:DK86)</f>
        <v>0</v>
      </c>
      <c r="Z85" s="156">
        <f>SUM('案件．要員情報'!DL86:DS86)</f>
        <v>0</v>
      </c>
      <c r="AA85" s="159">
        <f t="shared" si="4"/>
        <v>0.20666666666666664</v>
      </c>
    </row>
    <row r="86" spans="1:27" s="154" customFormat="1" ht="20.100000000000001" hidden="1" customHeight="1" outlineLevel="1" x14ac:dyDescent="0.4">
      <c r="A86" s="345">
        <v>41</v>
      </c>
      <c r="B86" s="347" t="s">
        <v>47</v>
      </c>
      <c r="C86" s="347" t="s">
        <v>347</v>
      </c>
      <c r="D86" s="349" t="s">
        <v>348</v>
      </c>
      <c r="E86" s="349" t="s">
        <v>768</v>
      </c>
      <c r="F86" s="349"/>
      <c r="G86" s="563" t="s">
        <v>770</v>
      </c>
      <c r="H86" s="351"/>
      <c r="I86" s="351"/>
      <c r="J86" s="351"/>
      <c r="K86" s="351"/>
      <c r="L86" s="351"/>
      <c r="M86" s="351"/>
      <c r="N86" s="157" t="s">
        <v>24</v>
      </c>
      <c r="O86" s="153">
        <f>SUM('案件．要員情報'!O87:X87)</f>
        <v>0</v>
      </c>
      <c r="P86" s="153">
        <f>SUM('案件．要員情報'!Y87:AH87)</f>
        <v>0</v>
      </c>
      <c r="Q86" s="153">
        <f>SUM('案件．要員情報'!AI87:AR87)</f>
        <v>0</v>
      </c>
      <c r="R86" s="153">
        <f>SUM('案件．要員情報'!AS87:BB87)</f>
        <v>0</v>
      </c>
      <c r="S86" s="153">
        <f>SUM('案件．要員情報'!BC87:BL87)</f>
        <v>0</v>
      </c>
      <c r="T86" s="153">
        <f>SUM('案件．要員情報'!BM87:BV87)</f>
        <v>0</v>
      </c>
      <c r="U86" s="153">
        <f>SUM('案件．要員情報'!BW87:CF87)</f>
        <v>0</v>
      </c>
      <c r="V86" s="153">
        <f>SUM('案件．要員情報'!CG87:CP87)</f>
        <v>0</v>
      </c>
      <c r="W86" s="153">
        <f>SUM('案件．要員情報'!CQ87:CW87)</f>
        <v>0.24</v>
      </c>
      <c r="X86" s="153">
        <f>SUM('案件．要員情報'!CX87:DD87)</f>
        <v>0</v>
      </c>
      <c r="Y86" s="153">
        <f>SUM('案件．要員情報'!DE87:DK87)</f>
        <v>0</v>
      </c>
      <c r="Z86" s="153">
        <f>SUM('案件．要員情報'!DL87:DS87)</f>
        <v>0</v>
      </c>
      <c r="AA86" s="215">
        <f t="shared" si="4"/>
        <v>0.24</v>
      </c>
    </row>
    <row r="87" spans="1:27" s="154" customFormat="1" ht="20.100000000000001" hidden="1" customHeight="1" outlineLevel="1" x14ac:dyDescent="0.4">
      <c r="A87" s="346"/>
      <c r="B87" s="348"/>
      <c r="C87" s="348"/>
      <c r="D87" s="350"/>
      <c r="E87" s="350"/>
      <c r="F87" s="350"/>
      <c r="G87" s="565"/>
      <c r="H87" s="352"/>
      <c r="I87" s="352"/>
      <c r="J87" s="352"/>
      <c r="K87" s="352"/>
      <c r="L87" s="352"/>
      <c r="M87" s="352"/>
      <c r="N87" s="158" t="s">
        <v>25</v>
      </c>
      <c r="O87" s="156">
        <f>SUM('案件．要員情報'!O88:X88)</f>
        <v>0</v>
      </c>
      <c r="P87" s="156">
        <f>SUM('案件．要員情報'!Y88:AH88)</f>
        <v>0</v>
      </c>
      <c r="Q87" s="156">
        <f>SUM('案件．要員情報'!AI88:AR88)</f>
        <v>0</v>
      </c>
      <c r="R87" s="156">
        <f>SUM('案件．要員情報'!AS88:BB88)</f>
        <v>0</v>
      </c>
      <c r="S87" s="156">
        <f>SUM('案件．要員情報'!BC88:BL88)</f>
        <v>0</v>
      </c>
      <c r="T87" s="156">
        <f>SUM('案件．要員情報'!BM88:BV88)</f>
        <v>0</v>
      </c>
      <c r="U87" s="156">
        <f>SUM('案件．要員情報'!BW88:CF88)</f>
        <v>0</v>
      </c>
      <c r="V87" s="156">
        <f>SUM('案件．要員情報'!CG88:CP88)</f>
        <v>0</v>
      </c>
      <c r="W87" s="156">
        <f>SUM('案件．要員情報'!CQ88:CW88)</f>
        <v>0.23666666666666664</v>
      </c>
      <c r="X87" s="156">
        <f>SUM('案件．要員情報'!CX88:DD88)</f>
        <v>0</v>
      </c>
      <c r="Y87" s="156">
        <f>SUM('案件．要員情報'!DE88:DK88)</f>
        <v>0</v>
      </c>
      <c r="Z87" s="156">
        <f>SUM('案件．要員情報'!DL88:DS88)</f>
        <v>0</v>
      </c>
      <c r="AA87" s="159">
        <f t="shared" si="4"/>
        <v>0.23666666666666664</v>
      </c>
    </row>
    <row r="88" spans="1:27" s="154" customFormat="1" ht="20.100000000000001" hidden="1" customHeight="1" outlineLevel="1" x14ac:dyDescent="0.4">
      <c r="A88" s="345">
        <v>42</v>
      </c>
      <c r="B88" s="347" t="s">
        <v>47</v>
      </c>
      <c r="C88" s="347" t="s">
        <v>347</v>
      </c>
      <c r="D88" s="349" t="s">
        <v>348</v>
      </c>
      <c r="E88" s="349" t="s">
        <v>801</v>
      </c>
      <c r="F88" s="349" t="s">
        <v>809</v>
      </c>
      <c r="G88" s="563" t="s">
        <v>808</v>
      </c>
      <c r="H88" s="351"/>
      <c r="I88" s="351"/>
      <c r="J88" s="351"/>
      <c r="K88" s="351"/>
      <c r="L88" s="351"/>
      <c r="M88" s="351"/>
      <c r="N88" s="157" t="s">
        <v>24</v>
      </c>
      <c r="O88" s="153">
        <f>SUM('案件．要員情報'!O89:X89)</f>
        <v>0</v>
      </c>
      <c r="P88" s="153">
        <f>SUM('案件．要員情報'!Y89:AH89)</f>
        <v>0</v>
      </c>
      <c r="Q88" s="153">
        <f>SUM('案件．要員情報'!AI89:AR89)</f>
        <v>0</v>
      </c>
      <c r="R88" s="153">
        <f>SUM('案件．要員情報'!AS89:BB89)</f>
        <v>0</v>
      </c>
      <c r="S88" s="153">
        <f>SUM('案件．要員情報'!BC89:BL89)</f>
        <v>0</v>
      </c>
      <c r="T88" s="153">
        <f>SUM('案件．要員情報'!BM89:BV89)</f>
        <v>0</v>
      </c>
      <c r="U88" s="153">
        <f>SUM('案件．要員情報'!BW89:CF89)</f>
        <v>0</v>
      </c>
      <c r="V88" s="153">
        <f>SUM('案件．要員情報'!CG89:CP89)</f>
        <v>0</v>
      </c>
      <c r="W88" s="153">
        <f>SUM('案件．要員情報'!CQ89:CW89)</f>
        <v>0.16666666666666666</v>
      </c>
      <c r="X88" s="153">
        <f>SUM('案件．要員情報'!CX89:DD89)</f>
        <v>0</v>
      </c>
      <c r="Y88" s="153">
        <f>SUM('案件．要員情報'!DE89:DK89)</f>
        <v>0</v>
      </c>
      <c r="Z88" s="153">
        <f>SUM('案件．要員情報'!DL89:DS89)</f>
        <v>0</v>
      </c>
      <c r="AA88" s="215">
        <f t="shared" si="4"/>
        <v>0.16666666666666666</v>
      </c>
    </row>
    <row r="89" spans="1:27" s="154" customFormat="1" ht="20.100000000000001" hidden="1" customHeight="1" outlineLevel="1" x14ac:dyDescent="0.4">
      <c r="A89" s="346"/>
      <c r="B89" s="348"/>
      <c r="C89" s="348"/>
      <c r="D89" s="350"/>
      <c r="E89" s="350"/>
      <c r="F89" s="350"/>
      <c r="G89" s="565"/>
      <c r="H89" s="352"/>
      <c r="I89" s="352"/>
      <c r="J89" s="352"/>
      <c r="K89" s="352"/>
      <c r="L89" s="352"/>
      <c r="M89" s="352"/>
      <c r="N89" s="158" t="s">
        <v>25</v>
      </c>
      <c r="O89" s="156">
        <f>SUM('案件．要員情報'!O90:X90)</f>
        <v>0</v>
      </c>
      <c r="P89" s="156">
        <f>SUM('案件．要員情報'!Y90:AH90)</f>
        <v>0</v>
      </c>
      <c r="Q89" s="156">
        <f>SUM('案件．要員情報'!AI90:AR90)</f>
        <v>0</v>
      </c>
      <c r="R89" s="156">
        <f>SUM('案件．要員情報'!AS90:BB90)</f>
        <v>0</v>
      </c>
      <c r="S89" s="156">
        <f>SUM('案件．要員情報'!BC90:BL90)</f>
        <v>0</v>
      </c>
      <c r="T89" s="156">
        <f>SUM('案件．要員情報'!BM90:BV90)</f>
        <v>0</v>
      </c>
      <c r="U89" s="156">
        <f>SUM('案件．要員情報'!BW90:CF90)</f>
        <v>0</v>
      </c>
      <c r="V89" s="156">
        <f>SUM('案件．要員情報'!CG90:CP90)</f>
        <v>0</v>
      </c>
      <c r="W89" s="156">
        <f>SUM('案件．要員情報'!CQ90:CW90)</f>
        <v>0.14000000000000001</v>
      </c>
      <c r="X89" s="156">
        <f>SUM('案件．要員情報'!CX90:DD90)</f>
        <v>0</v>
      </c>
      <c r="Y89" s="156">
        <f>SUM('案件．要員情報'!DE90:DK90)</f>
        <v>0</v>
      </c>
      <c r="Z89" s="156">
        <f>SUM('案件．要員情報'!DL90:DS90)</f>
        <v>0</v>
      </c>
      <c r="AA89" s="159">
        <f t="shared" si="4"/>
        <v>0.14000000000000001</v>
      </c>
    </row>
    <row r="90" spans="1:27" s="154" customFormat="1" ht="20.100000000000001" hidden="1" customHeight="1" outlineLevel="1" x14ac:dyDescent="0.4">
      <c r="A90" s="345">
        <v>43</v>
      </c>
      <c r="B90" s="347" t="s">
        <v>47</v>
      </c>
      <c r="C90" s="347" t="s">
        <v>14</v>
      </c>
      <c r="D90" s="349" t="s">
        <v>348</v>
      </c>
      <c r="E90" s="349" t="s">
        <v>802</v>
      </c>
      <c r="F90" s="349"/>
      <c r="G90" s="563" t="s">
        <v>806</v>
      </c>
      <c r="H90" s="351"/>
      <c r="I90" s="351"/>
      <c r="J90" s="351"/>
      <c r="K90" s="351"/>
      <c r="L90" s="351"/>
      <c r="M90" s="351"/>
      <c r="N90" s="157" t="s">
        <v>24</v>
      </c>
      <c r="O90" s="153">
        <f>SUM('案件．要員情報'!O91:X91)</f>
        <v>0</v>
      </c>
      <c r="P90" s="153">
        <f>SUM('案件．要員情報'!Y91:AH91)</f>
        <v>0</v>
      </c>
      <c r="Q90" s="153">
        <f>SUM('案件．要員情報'!AI91:AR91)</f>
        <v>0</v>
      </c>
      <c r="R90" s="153">
        <f>SUM('案件．要員情報'!AS91:BB91)</f>
        <v>0</v>
      </c>
      <c r="S90" s="153">
        <f>SUM('案件．要員情報'!BC91:BL91)</f>
        <v>0</v>
      </c>
      <c r="T90" s="153">
        <f>SUM('案件．要員情報'!BM91:BV91)</f>
        <v>0</v>
      </c>
      <c r="U90" s="153">
        <f>SUM('案件．要員情報'!BW91:CF91)</f>
        <v>0</v>
      </c>
      <c r="V90" s="153">
        <f>SUM('案件．要員情報'!CG91:CP91)</f>
        <v>0</v>
      </c>
      <c r="W90" s="153">
        <f>SUM('案件．要員情報'!CQ91:CW91)</f>
        <v>0.16666666666666666</v>
      </c>
      <c r="X90" s="153">
        <f>SUM('案件．要員情報'!CX91:DD91)</f>
        <v>0</v>
      </c>
      <c r="Y90" s="153">
        <f>SUM('案件．要員情報'!DE91:DK91)</f>
        <v>0</v>
      </c>
      <c r="Z90" s="153">
        <f>SUM('案件．要員情報'!DL91:DS91)</f>
        <v>0</v>
      </c>
      <c r="AA90" s="215">
        <f t="shared" si="4"/>
        <v>0.16666666666666666</v>
      </c>
    </row>
    <row r="91" spans="1:27" s="154" customFormat="1" ht="20.100000000000001" hidden="1" customHeight="1" outlineLevel="1" x14ac:dyDescent="0.4">
      <c r="A91" s="346"/>
      <c r="B91" s="348"/>
      <c r="C91" s="348"/>
      <c r="D91" s="350"/>
      <c r="E91" s="350"/>
      <c r="F91" s="350"/>
      <c r="G91" s="565"/>
      <c r="H91" s="352"/>
      <c r="I91" s="352"/>
      <c r="J91" s="352"/>
      <c r="K91" s="352"/>
      <c r="L91" s="352"/>
      <c r="M91" s="352"/>
      <c r="N91" s="158" t="s">
        <v>25</v>
      </c>
      <c r="O91" s="156">
        <f>SUM('案件．要員情報'!O92:X92)</f>
        <v>0</v>
      </c>
      <c r="P91" s="156">
        <f>SUM('案件．要員情報'!Y92:AH92)</f>
        <v>0</v>
      </c>
      <c r="Q91" s="156">
        <f>SUM('案件．要員情報'!AI92:AR92)</f>
        <v>0</v>
      </c>
      <c r="R91" s="156">
        <f>SUM('案件．要員情報'!AS92:BB92)</f>
        <v>0</v>
      </c>
      <c r="S91" s="156">
        <f>SUM('案件．要員情報'!BC92:BL92)</f>
        <v>0</v>
      </c>
      <c r="T91" s="156">
        <f>SUM('案件．要員情報'!BM92:BV92)</f>
        <v>0</v>
      </c>
      <c r="U91" s="156">
        <f>SUM('案件．要員情報'!BW92:CF92)</f>
        <v>0</v>
      </c>
      <c r="V91" s="156">
        <f>SUM('案件．要員情報'!CG92:CP92)</f>
        <v>0</v>
      </c>
      <c r="W91" s="156">
        <f>SUM('案件．要員情報'!CQ92:CW92)</f>
        <v>0.14666666666666667</v>
      </c>
      <c r="X91" s="156">
        <f>SUM('案件．要員情報'!CX92:DD92)</f>
        <v>0</v>
      </c>
      <c r="Y91" s="156">
        <f>SUM('案件．要員情報'!DE92:DK92)</f>
        <v>0</v>
      </c>
      <c r="Z91" s="156">
        <f>SUM('案件．要員情報'!DL92:DS92)</f>
        <v>0</v>
      </c>
      <c r="AA91" s="159">
        <f t="shared" si="4"/>
        <v>0.14666666666666667</v>
      </c>
    </row>
    <row r="92" spans="1:27" s="154" customFormat="1" ht="20.100000000000001" hidden="1" customHeight="1" outlineLevel="1" x14ac:dyDescent="0.4">
      <c r="A92" s="345">
        <v>44</v>
      </c>
      <c r="B92" s="347" t="s">
        <v>47</v>
      </c>
      <c r="C92" s="347" t="s">
        <v>14</v>
      </c>
      <c r="D92" s="349" t="s">
        <v>384</v>
      </c>
      <c r="E92" s="349" t="s">
        <v>804</v>
      </c>
      <c r="F92" s="349"/>
      <c r="G92" s="563" t="s">
        <v>807</v>
      </c>
      <c r="H92" s="351"/>
      <c r="I92" s="351"/>
      <c r="J92" s="351"/>
      <c r="K92" s="351"/>
      <c r="L92" s="351"/>
      <c r="M92" s="351"/>
      <c r="N92" s="157" t="s">
        <v>24</v>
      </c>
      <c r="O92" s="153">
        <f>SUM('案件．要員情報'!O93:X93)</f>
        <v>0</v>
      </c>
      <c r="P92" s="153">
        <f>SUM('案件．要員情報'!Y93:AH93)</f>
        <v>0</v>
      </c>
      <c r="Q92" s="153">
        <f>SUM('案件．要員情報'!AI93:AR93)</f>
        <v>0</v>
      </c>
      <c r="R92" s="153">
        <f>SUM('案件．要員情報'!AS93:BB93)</f>
        <v>0</v>
      </c>
      <c r="S92" s="153">
        <f>SUM('案件．要員情報'!BC93:BL93)</f>
        <v>0</v>
      </c>
      <c r="T92" s="153">
        <f>SUM('案件．要員情報'!BM93:BV93)</f>
        <v>0</v>
      </c>
      <c r="U92" s="153">
        <f>SUM('案件．要員情報'!BW93:CF93)</f>
        <v>0</v>
      </c>
      <c r="V92" s="153">
        <f>SUM('案件．要員情報'!CG93:CP93)</f>
        <v>0</v>
      </c>
      <c r="W92" s="153">
        <f>SUM('案件．要員情報'!CQ93:CW93)</f>
        <v>0.13333333333333333</v>
      </c>
      <c r="X92" s="153">
        <f>SUM('案件．要員情報'!CX93:DD93)</f>
        <v>0</v>
      </c>
      <c r="Y92" s="153">
        <f>SUM('案件．要員情報'!DE93:DK93)</f>
        <v>0</v>
      </c>
      <c r="Z92" s="153">
        <f>SUM('案件．要員情報'!DL93:DS93)</f>
        <v>0</v>
      </c>
      <c r="AA92" s="215">
        <f t="shared" si="4"/>
        <v>0.13333333333333333</v>
      </c>
    </row>
    <row r="93" spans="1:27" s="154" customFormat="1" ht="20.100000000000001" hidden="1" customHeight="1" outlineLevel="1" x14ac:dyDescent="0.4">
      <c r="A93" s="346"/>
      <c r="B93" s="348"/>
      <c r="C93" s="348"/>
      <c r="D93" s="350"/>
      <c r="E93" s="350"/>
      <c r="F93" s="350"/>
      <c r="G93" s="565"/>
      <c r="H93" s="352"/>
      <c r="I93" s="352"/>
      <c r="J93" s="352"/>
      <c r="K93" s="352"/>
      <c r="L93" s="352"/>
      <c r="M93" s="352"/>
      <c r="N93" s="158" t="s">
        <v>25</v>
      </c>
      <c r="O93" s="156">
        <f>SUM('案件．要員情報'!O94:X94)</f>
        <v>0</v>
      </c>
      <c r="P93" s="156">
        <f>SUM('案件．要員情報'!Y94:AH94)</f>
        <v>0</v>
      </c>
      <c r="Q93" s="156">
        <f>SUM('案件．要員情報'!AI94:AR94)</f>
        <v>0</v>
      </c>
      <c r="R93" s="156">
        <f>SUM('案件．要員情報'!AS94:BB94)</f>
        <v>0</v>
      </c>
      <c r="S93" s="156">
        <f>SUM('案件．要員情報'!BC94:BL94)</f>
        <v>0</v>
      </c>
      <c r="T93" s="156">
        <f>SUM('案件．要員情報'!BM94:BV94)</f>
        <v>0</v>
      </c>
      <c r="U93" s="156">
        <f>SUM('案件．要員情報'!BW94:CF94)</f>
        <v>0</v>
      </c>
      <c r="V93" s="156">
        <f>SUM('案件．要員情報'!CG94:CP94)</f>
        <v>0</v>
      </c>
      <c r="W93" s="156">
        <f>SUM('案件．要員情報'!CQ94:CW94)</f>
        <v>0.12000000000000001</v>
      </c>
      <c r="X93" s="156">
        <f>SUM('案件．要員情報'!CX94:DD94)</f>
        <v>0</v>
      </c>
      <c r="Y93" s="156">
        <f>SUM('案件．要員情報'!DE94:DK94)</f>
        <v>0</v>
      </c>
      <c r="Z93" s="156">
        <f>SUM('案件．要員情報'!DL94:DS94)</f>
        <v>0</v>
      </c>
      <c r="AA93" s="159">
        <f t="shared" si="4"/>
        <v>0.12000000000000001</v>
      </c>
    </row>
    <row r="94" spans="1:27" s="154" customFormat="1" ht="20.100000000000001" customHeight="1" collapsed="1" x14ac:dyDescent="0.4">
      <c r="A94" s="345">
        <v>45</v>
      </c>
      <c r="B94" s="347" t="s">
        <v>47</v>
      </c>
      <c r="C94" s="347" t="s">
        <v>347</v>
      </c>
      <c r="D94" s="349" t="s">
        <v>348</v>
      </c>
      <c r="E94" s="349" t="s">
        <v>803</v>
      </c>
      <c r="F94" s="349" t="s">
        <v>794</v>
      </c>
      <c r="G94" s="563" t="s">
        <v>805</v>
      </c>
      <c r="H94" s="351"/>
      <c r="I94" s="351"/>
      <c r="J94" s="351"/>
      <c r="K94" s="351"/>
      <c r="L94" s="351"/>
      <c r="M94" s="351"/>
      <c r="N94" s="157" t="s">
        <v>24</v>
      </c>
      <c r="O94" s="153">
        <f>SUM('案件．要員情報'!O95:X95)</f>
        <v>0</v>
      </c>
      <c r="P94" s="153">
        <f>SUM('案件．要員情報'!Y95:AH95)</f>
        <v>0</v>
      </c>
      <c r="Q94" s="153">
        <f>SUM('案件．要員情報'!AI95:AR95)</f>
        <v>0</v>
      </c>
      <c r="R94" s="153">
        <f>SUM('案件．要員情報'!AS95:BB95)</f>
        <v>0</v>
      </c>
      <c r="S94" s="153">
        <f>SUM('案件．要員情報'!BC95:BL95)</f>
        <v>0</v>
      </c>
      <c r="T94" s="153">
        <f>SUM('案件．要員情報'!BM95:BV95)</f>
        <v>0</v>
      </c>
      <c r="U94" s="153">
        <f>SUM('案件．要員情報'!BW95:CF95)</f>
        <v>0</v>
      </c>
      <c r="V94" s="153">
        <f>SUM('案件．要員情報'!CG95:CP95)</f>
        <v>0</v>
      </c>
      <c r="W94" s="153">
        <f>SUM('案件．要員情報'!CQ95:CW95)</f>
        <v>0.25333333333333335</v>
      </c>
      <c r="X94" s="153">
        <f>SUM('案件．要員情報'!CX95:DD95)</f>
        <v>3.1746031746031744E-2</v>
      </c>
      <c r="Y94" s="153">
        <f>SUM('案件．要員情報'!DE95:DK95)</f>
        <v>0</v>
      </c>
      <c r="Z94" s="153">
        <f>SUM('案件．要員情報'!DL95:DS95)</f>
        <v>0</v>
      </c>
      <c r="AA94" s="215">
        <f t="shared" si="4"/>
        <v>0.2850793650793651</v>
      </c>
    </row>
    <row r="95" spans="1:27" s="154" customFormat="1" ht="20.100000000000001" customHeight="1" x14ac:dyDescent="0.4">
      <c r="A95" s="346"/>
      <c r="B95" s="348"/>
      <c r="C95" s="348"/>
      <c r="D95" s="350"/>
      <c r="E95" s="350"/>
      <c r="F95" s="350"/>
      <c r="G95" s="565"/>
      <c r="H95" s="352"/>
      <c r="I95" s="352"/>
      <c r="J95" s="352"/>
      <c r="K95" s="352"/>
      <c r="L95" s="352"/>
      <c r="M95" s="352"/>
      <c r="N95" s="158" t="s">
        <v>25</v>
      </c>
      <c r="O95" s="156">
        <f>SUM('案件．要員情報'!O96:X96)</f>
        <v>0</v>
      </c>
      <c r="P95" s="156">
        <f>SUM('案件．要員情報'!Y96:AH96)</f>
        <v>0</v>
      </c>
      <c r="Q95" s="156">
        <f>SUM('案件．要員情報'!AI96:AR96)</f>
        <v>0</v>
      </c>
      <c r="R95" s="156">
        <f>SUM('案件．要員情報'!AS96:BB96)</f>
        <v>0</v>
      </c>
      <c r="S95" s="156">
        <f>SUM('案件．要員情報'!BC96:BL96)</f>
        <v>0</v>
      </c>
      <c r="T95" s="156">
        <f>SUM('案件．要員情報'!BM96:BV96)</f>
        <v>0</v>
      </c>
      <c r="U95" s="156">
        <f>SUM('案件．要員情報'!BW96:CF96)</f>
        <v>0</v>
      </c>
      <c r="V95" s="156">
        <f>SUM('案件．要員情報'!CG96:CP96)</f>
        <v>0</v>
      </c>
      <c r="W95" s="156">
        <f>SUM('案件．要員情報'!CQ96:CW96)</f>
        <v>0.24333333333333337</v>
      </c>
      <c r="X95" s="156">
        <f>SUM('案件．要員情報'!CX96:DD96)</f>
        <v>2.8571428571428571E-2</v>
      </c>
      <c r="Y95" s="156">
        <f>SUM('案件．要員情報'!DE96:DK96)</f>
        <v>0</v>
      </c>
      <c r="Z95" s="156">
        <f>SUM('案件．要員情報'!DL96:DS96)</f>
        <v>0</v>
      </c>
      <c r="AA95" s="159">
        <f t="shared" si="4"/>
        <v>0.27190476190476193</v>
      </c>
    </row>
    <row r="96" spans="1:27" s="154" customFormat="1" ht="20.100000000000001" customHeight="1" x14ac:dyDescent="0.4">
      <c r="A96" s="345">
        <v>46</v>
      </c>
      <c r="B96" s="347" t="s">
        <v>47</v>
      </c>
      <c r="C96" s="347" t="s">
        <v>347</v>
      </c>
      <c r="D96" s="349" t="s">
        <v>348</v>
      </c>
      <c r="E96" s="349" t="s">
        <v>835</v>
      </c>
      <c r="F96" s="349" t="s">
        <v>832</v>
      </c>
      <c r="G96" s="563" t="s">
        <v>833</v>
      </c>
      <c r="H96" s="351"/>
      <c r="I96" s="351"/>
      <c r="J96" s="351"/>
      <c r="K96" s="351"/>
      <c r="L96" s="351"/>
      <c r="M96" s="351"/>
      <c r="N96" s="157" t="s">
        <v>24</v>
      </c>
      <c r="O96" s="153">
        <f>SUM('案件．要員情報'!O97:X97)</f>
        <v>0</v>
      </c>
      <c r="P96" s="153">
        <f>SUM('案件．要員情報'!Y97:AH97)</f>
        <v>0</v>
      </c>
      <c r="Q96" s="153">
        <f>SUM('案件．要員情報'!AI97:AR97)</f>
        <v>0</v>
      </c>
      <c r="R96" s="153">
        <f>SUM('案件．要員情報'!AS97:BB97)</f>
        <v>0</v>
      </c>
      <c r="S96" s="153">
        <f>SUM('案件．要員情報'!BC97:BL97)</f>
        <v>0</v>
      </c>
      <c r="T96" s="153">
        <f>SUM('案件．要員情報'!BM97:BV97)</f>
        <v>0</v>
      </c>
      <c r="U96" s="153">
        <f>SUM('案件．要員情報'!BW97:CF97)</f>
        <v>0</v>
      </c>
      <c r="V96" s="153">
        <f>SUM('案件．要員情報'!CG97:CP97)</f>
        <v>0</v>
      </c>
      <c r="W96" s="153">
        <f>SUM('案件．要員情報'!CQ97:CW97)</f>
        <v>0</v>
      </c>
      <c r="X96" s="153">
        <f>SUM('案件．要員情報'!CX97:DD97)</f>
        <v>1.053968253968254</v>
      </c>
      <c r="Y96" s="153">
        <f>SUM('案件．要員情報'!DE97:DK97)</f>
        <v>0</v>
      </c>
      <c r="Z96" s="153">
        <f>SUM('案件．要員情報'!DL97:DS97)</f>
        <v>0</v>
      </c>
      <c r="AA96" s="215">
        <f t="shared" si="4"/>
        <v>1.053968253968254</v>
      </c>
    </row>
    <row r="97" spans="1:27" s="154" customFormat="1" ht="20.100000000000001" customHeight="1" x14ac:dyDescent="0.4">
      <c r="A97" s="346"/>
      <c r="B97" s="348"/>
      <c r="C97" s="348"/>
      <c r="D97" s="350"/>
      <c r="E97" s="350"/>
      <c r="F97" s="350"/>
      <c r="G97" s="565"/>
      <c r="H97" s="352"/>
      <c r="I97" s="352"/>
      <c r="J97" s="352"/>
      <c r="K97" s="352"/>
      <c r="L97" s="352"/>
      <c r="M97" s="352"/>
      <c r="N97" s="158" t="s">
        <v>25</v>
      </c>
      <c r="O97" s="156">
        <f>SUM('案件．要員情報'!O98:X98)</f>
        <v>0</v>
      </c>
      <c r="P97" s="156">
        <f>SUM('案件．要員情報'!Y98:AH98)</f>
        <v>0</v>
      </c>
      <c r="Q97" s="156">
        <f>SUM('案件．要員情報'!AI98:AR98)</f>
        <v>0</v>
      </c>
      <c r="R97" s="156">
        <f>SUM('案件．要員情報'!AS98:BB98)</f>
        <v>0</v>
      </c>
      <c r="S97" s="156">
        <f>SUM('案件．要員情報'!BC98:BL98)</f>
        <v>0</v>
      </c>
      <c r="T97" s="156">
        <f>SUM('案件．要員情報'!BM98:BV98)</f>
        <v>0</v>
      </c>
      <c r="U97" s="156">
        <f>SUM('案件．要員情報'!BW98:CF98)</f>
        <v>0</v>
      </c>
      <c r="V97" s="156">
        <f>SUM('案件．要員情報'!CG98:CP98)</f>
        <v>0</v>
      </c>
      <c r="W97" s="156">
        <f>SUM('案件．要員情報'!CQ98:CW98)</f>
        <v>0</v>
      </c>
      <c r="X97" s="156">
        <f>SUM('案件．要員情報'!CX98:DD98)</f>
        <v>1.0317460317460316</v>
      </c>
      <c r="Y97" s="156">
        <f>SUM('案件．要員情報'!DE98:DK98)</f>
        <v>0</v>
      </c>
      <c r="Z97" s="156">
        <f>SUM('案件．要員情報'!DL98:DS98)</f>
        <v>0</v>
      </c>
      <c r="AA97" s="159">
        <f t="shared" si="4"/>
        <v>1.0317460317460316</v>
      </c>
    </row>
    <row r="98" spans="1:27" s="154" customFormat="1" ht="20.100000000000001" customHeight="1" x14ac:dyDescent="0.4">
      <c r="A98" s="345">
        <v>47</v>
      </c>
      <c r="B98" s="347" t="s">
        <v>47</v>
      </c>
      <c r="C98" s="347" t="s">
        <v>14</v>
      </c>
      <c r="D98" s="349" t="s">
        <v>384</v>
      </c>
      <c r="E98" s="349" t="s">
        <v>838</v>
      </c>
      <c r="F98" s="349"/>
      <c r="G98" s="563" t="s">
        <v>839</v>
      </c>
      <c r="H98" s="351"/>
      <c r="I98" s="351"/>
      <c r="J98" s="351"/>
      <c r="K98" s="351"/>
      <c r="L98" s="351"/>
      <c r="M98" s="351"/>
      <c r="N98" s="157" t="s">
        <v>24</v>
      </c>
      <c r="O98" s="153">
        <f>SUM('案件．要員情報'!O99:X99)</f>
        <v>0</v>
      </c>
      <c r="P98" s="153">
        <f>SUM('案件．要員情報'!Y99:AH99)</f>
        <v>0</v>
      </c>
      <c r="Q98" s="153">
        <f>SUM('案件．要員情報'!AI99:AR99)</f>
        <v>0</v>
      </c>
      <c r="R98" s="153">
        <f>SUM('案件．要員情報'!AS99:BB99)</f>
        <v>0</v>
      </c>
      <c r="S98" s="153">
        <f>SUM('案件．要員情報'!BC99:BL99)</f>
        <v>0</v>
      </c>
      <c r="T98" s="153">
        <f>SUM('案件．要員情報'!BM99:BV99)</f>
        <v>0</v>
      </c>
      <c r="U98" s="153">
        <f>SUM('案件．要員情報'!BW99:CF99)</f>
        <v>0</v>
      </c>
      <c r="V98" s="153">
        <f>SUM('案件．要員情報'!CG99:CP99)</f>
        <v>0</v>
      </c>
      <c r="W98" s="153">
        <f>SUM('案件．要員情報'!CQ99:CW99)</f>
        <v>0</v>
      </c>
      <c r="X98" s="153">
        <f>SUM('案件．要員情報'!CX99:DD99)</f>
        <v>0.526984126984127</v>
      </c>
      <c r="Y98" s="153">
        <f>SUM('案件．要員情報'!DE99:DK99)</f>
        <v>0</v>
      </c>
      <c r="Z98" s="153">
        <f>SUM('案件．要員情報'!DL99:DS99)</f>
        <v>0</v>
      </c>
      <c r="AA98" s="215">
        <f t="shared" si="4"/>
        <v>0.526984126984127</v>
      </c>
    </row>
    <row r="99" spans="1:27" s="154" customFormat="1" ht="20.100000000000001" customHeight="1" x14ac:dyDescent="0.4">
      <c r="A99" s="346"/>
      <c r="B99" s="348"/>
      <c r="C99" s="348"/>
      <c r="D99" s="350"/>
      <c r="E99" s="350"/>
      <c r="F99" s="350"/>
      <c r="G99" s="565"/>
      <c r="H99" s="352"/>
      <c r="I99" s="352"/>
      <c r="J99" s="352"/>
      <c r="K99" s="352"/>
      <c r="L99" s="352"/>
      <c r="M99" s="352"/>
      <c r="N99" s="158" t="s">
        <v>25</v>
      </c>
      <c r="O99" s="156">
        <f>SUM('案件．要員情報'!O100:X100)</f>
        <v>0</v>
      </c>
      <c r="P99" s="156">
        <f>SUM('案件．要員情報'!Y100:AH100)</f>
        <v>0</v>
      </c>
      <c r="Q99" s="156">
        <f>SUM('案件．要員情報'!AI100:AR100)</f>
        <v>0</v>
      </c>
      <c r="R99" s="156">
        <f>SUM('案件．要員情報'!AS100:BB100)</f>
        <v>0</v>
      </c>
      <c r="S99" s="156">
        <f>SUM('案件．要員情報'!BC100:BL100)</f>
        <v>0</v>
      </c>
      <c r="T99" s="156">
        <f>SUM('案件．要員情報'!BM100:BV100)</f>
        <v>0</v>
      </c>
      <c r="U99" s="156">
        <f>SUM('案件．要員情報'!BW100:CF100)</f>
        <v>0</v>
      </c>
      <c r="V99" s="156">
        <f>SUM('案件．要員情報'!CG100:CP100)</f>
        <v>0</v>
      </c>
      <c r="W99" s="156">
        <f>SUM('案件．要員情報'!CQ100:CW100)</f>
        <v>0</v>
      </c>
      <c r="X99" s="156">
        <f>SUM('案件．要員情報'!CX100:DD100)</f>
        <v>0.51428571428571423</v>
      </c>
      <c r="Y99" s="156">
        <f>SUM('案件．要員情報'!DE100:DK100)</f>
        <v>0</v>
      </c>
      <c r="Z99" s="156">
        <f>SUM('案件．要員情報'!DL100:DS100)</f>
        <v>0</v>
      </c>
      <c r="AA99" s="159">
        <f t="shared" si="4"/>
        <v>0.51428571428571423</v>
      </c>
    </row>
    <row r="100" spans="1:27" s="154" customFormat="1" ht="20.100000000000001" customHeight="1" x14ac:dyDescent="0.4">
      <c r="A100" s="345">
        <v>48</v>
      </c>
      <c r="B100" s="347" t="s">
        <v>46</v>
      </c>
      <c r="C100" s="347" t="s">
        <v>14</v>
      </c>
      <c r="D100" s="349" t="s">
        <v>384</v>
      </c>
      <c r="E100" s="349" t="s">
        <v>842</v>
      </c>
      <c r="F100" s="349"/>
      <c r="G100" s="563" t="s">
        <v>841</v>
      </c>
      <c r="H100" s="351"/>
      <c r="I100" s="351"/>
      <c r="J100" s="351"/>
      <c r="K100" s="351"/>
      <c r="L100" s="351"/>
      <c r="M100" s="351"/>
      <c r="N100" s="157" t="s">
        <v>24</v>
      </c>
      <c r="O100" s="153">
        <f>SUM('案件．要員情報'!O101:X101)</f>
        <v>0</v>
      </c>
      <c r="P100" s="153">
        <f>SUM('案件．要員情報'!Y101:AH101)</f>
        <v>0</v>
      </c>
      <c r="Q100" s="153">
        <f>SUM('案件．要員情報'!AI101:AR101)</f>
        <v>0</v>
      </c>
      <c r="R100" s="153">
        <f>SUM('案件．要員情報'!AS101:BB101)</f>
        <v>0</v>
      </c>
      <c r="S100" s="153">
        <f>SUM('案件．要員情報'!BC101:BL101)</f>
        <v>0</v>
      </c>
      <c r="T100" s="153">
        <f>SUM('案件．要員情報'!BM101:BV101)</f>
        <v>0</v>
      </c>
      <c r="U100" s="153">
        <f>SUM('案件．要員情報'!BW101:CF101)</f>
        <v>0</v>
      </c>
      <c r="V100" s="153">
        <f>SUM('案件．要員情報'!CG101:CP101)</f>
        <v>0</v>
      </c>
      <c r="W100" s="153">
        <f>SUM('案件．要員情報'!CQ101:CW101)</f>
        <v>0</v>
      </c>
      <c r="X100" s="153">
        <f>SUM('案件．要員情報'!CX101:DD101)</f>
        <v>0.88888888888888884</v>
      </c>
      <c r="Y100" s="153">
        <f>SUM('案件．要員情報'!DE101:DK101)</f>
        <v>0.11764705882352941</v>
      </c>
      <c r="Z100" s="153">
        <f>SUM('案件．要員情報'!DL101:DS101)</f>
        <v>0</v>
      </c>
      <c r="AA100" s="215">
        <f t="shared" si="4"/>
        <v>1.0065359477124183</v>
      </c>
    </row>
    <row r="101" spans="1:27" s="154" customFormat="1" ht="20.100000000000001" customHeight="1" x14ac:dyDescent="0.4">
      <c r="A101" s="346"/>
      <c r="B101" s="348"/>
      <c r="C101" s="348"/>
      <c r="D101" s="350"/>
      <c r="E101" s="350"/>
      <c r="F101" s="350"/>
      <c r="G101" s="565"/>
      <c r="H101" s="352"/>
      <c r="I101" s="352"/>
      <c r="J101" s="352"/>
      <c r="K101" s="352"/>
      <c r="L101" s="352"/>
      <c r="M101" s="352"/>
      <c r="N101" s="158" t="s">
        <v>25</v>
      </c>
      <c r="O101" s="156">
        <f>SUM('案件．要員情報'!O102:X102)</f>
        <v>0</v>
      </c>
      <c r="P101" s="156">
        <f>SUM('案件．要員情報'!Y102:AH102)</f>
        <v>0</v>
      </c>
      <c r="Q101" s="156">
        <f>SUM('案件．要員情報'!AI102:AR102)</f>
        <v>0</v>
      </c>
      <c r="R101" s="156">
        <f>SUM('案件．要員情報'!AS102:BB102)</f>
        <v>0</v>
      </c>
      <c r="S101" s="156">
        <f>SUM('案件．要員情報'!BC102:BL102)</f>
        <v>0</v>
      </c>
      <c r="T101" s="156">
        <f>SUM('案件．要員情報'!BM102:BV102)</f>
        <v>0</v>
      </c>
      <c r="U101" s="156">
        <f>SUM('案件．要員情報'!BW102:CF102)</f>
        <v>0</v>
      </c>
      <c r="V101" s="156">
        <f>SUM('案件．要員情報'!CG102:CP102)</f>
        <v>0</v>
      </c>
      <c r="W101" s="156">
        <f>SUM('案件．要員情報'!CQ102:CW102)</f>
        <v>0</v>
      </c>
      <c r="X101" s="156">
        <f>SUM('案件．要員情報'!CX102:DD102)</f>
        <v>0.892063492063492</v>
      </c>
      <c r="Y101" s="156">
        <f>SUM('案件．要員情報'!DE102:DK102)</f>
        <v>0.45882352941176469</v>
      </c>
      <c r="Z101" s="156">
        <f>SUM('案件．要員情報'!DL102:DS102)</f>
        <v>0</v>
      </c>
      <c r="AA101" s="159">
        <f t="shared" si="4"/>
        <v>1.3508870214752566</v>
      </c>
    </row>
    <row r="102" spans="1:27" s="154" customFormat="1" ht="20.100000000000001" customHeight="1" x14ac:dyDescent="0.4">
      <c r="A102" s="345">
        <v>49</v>
      </c>
      <c r="B102" s="347" t="s">
        <v>46</v>
      </c>
      <c r="C102" s="347" t="s">
        <v>14</v>
      </c>
      <c r="D102" s="349" t="s">
        <v>735</v>
      </c>
      <c r="E102" s="349" t="s">
        <v>853</v>
      </c>
      <c r="F102" s="349" t="s">
        <v>386</v>
      </c>
      <c r="G102" s="563" t="s">
        <v>854</v>
      </c>
      <c r="H102" s="351"/>
      <c r="I102" s="351"/>
      <c r="J102" s="351"/>
      <c r="K102" s="351"/>
      <c r="L102" s="351"/>
      <c r="M102" s="351"/>
      <c r="N102" s="157" t="s">
        <v>24</v>
      </c>
      <c r="O102" s="153">
        <f>SUM('案件．要員情報'!O103:X103)</f>
        <v>0</v>
      </c>
      <c r="P102" s="153">
        <f>SUM('案件．要員情報'!Y103:AH103)</f>
        <v>0</v>
      </c>
      <c r="Q102" s="153">
        <f>SUM('案件．要員情報'!AI103:AR103)</f>
        <v>0</v>
      </c>
      <c r="R102" s="153">
        <f>SUM('案件．要員情報'!AS103:BB103)</f>
        <v>0</v>
      </c>
      <c r="S102" s="153">
        <f>SUM('案件．要員情報'!BC103:BL103)</f>
        <v>0</v>
      </c>
      <c r="T102" s="153">
        <f>SUM('案件．要員情報'!BM103:BV103)</f>
        <v>0</v>
      </c>
      <c r="U102" s="153">
        <f>SUM('案件．要員情報'!BW103:CF103)</f>
        <v>0</v>
      </c>
      <c r="V102" s="153">
        <f>SUM('案件．要員情報'!CG103:CP103)</f>
        <v>0</v>
      </c>
      <c r="W102" s="153">
        <f>SUM('案件．要員情報'!CQ103:CW103)</f>
        <v>0</v>
      </c>
      <c r="X102" s="153">
        <f>SUM('案件．要員情報'!CX103:DD103)</f>
        <v>0.58412698412698405</v>
      </c>
      <c r="Y102" s="153">
        <f>SUM('案件．要員情報'!DE103:DK103)</f>
        <v>0.3529411764705882</v>
      </c>
      <c r="Z102" s="153">
        <f>SUM('案件．要員情報'!DL103:DS103)</f>
        <v>0</v>
      </c>
      <c r="AA102" s="215">
        <f t="shared" si="4"/>
        <v>0.93706816059757225</v>
      </c>
    </row>
    <row r="103" spans="1:27" s="154" customFormat="1" ht="20.100000000000001" customHeight="1" x14ac:dyDescent="0.4">
      <c r="A103" s="346"/>
      <c r="B103" s="348"/>
      <c r="C103" s="348"/>
      <c r="D103" s="350"/>
      <c r="E103" s="350"/>
      <c r="F103" s="350"/>
      <c r="G103" s="565"/>
      <c r="H103" s="352"/>
      <c r="I103" s="352"/>
      <c r="J103" s="352"/>
      <c r="K103" s="352"/>
      <c r="L103" s="352"/>
      <c r="M103" s="352"/>
      <c r="N103" s="158" t="s">
        <v>25</v>
      </c>
      <c r="O103" s="156">
        <f>SUM('案件．要員情報'!O104:X104)</f>
        <v>0</v>
      </c>
      <c r="P103" s="156">
        <f>SUM('案件．要員情報'!Y104:AH104)</f>
        <v>0</v>
      </c>
      <c r="Q103" s="156">
        <f>SUM('案件．要員情報'!AI104:AR104)</f>
        <v>0</v>
      </c>
      <c r="R103" s="156">
        <f>SUM('案件．要員情報'!AS104:BB104)</f>
        <v>0</v>
      </c>
      <c r="S103" s="156">
        <f>SUM('案件．要員情報'!BC104:BL104)</f>
        <v>0</v>
      </c>
      <c r="T103" s="156">
        <f>SUM('案件．要員情報'!BM104:BV104)</f>
        <v>0</v>
      </c>
      <c r="U103" s="156">
        <f>SUM('案件．要員情報'!BW104:CF104)</f>
        <v>0</v>
      </c>
      <c r="V103" s="156">
        <f>SUM('案件．要員情報'!CG104:CP104)</f>
        <v>0</v>
      </c>
      <c r="W103" s="156">
        <f>SUM('案件．要員情報'!CQ104:CW104)</f>
        <v>0</v>
      </c>
      <c r="X103" s="156">
        <f>SUM('案件．要員情報'!CX104:DD104)</f>
        <v>0.57460317460317456</v>
      </c>
      <c r="Y103" s="156">
        <f>SUM('案件．要員情報'!DE104:DK104)</f>
        <v>0.36470588235294121</v>
      </c>
      <c r="Z103" s="156">
        <f>SUM('案件．要員情報'!DL104:DS104)</f>
        <v>0</v>
      </c>
      <c r="AA103" s="159">
        <f t="shared" si="4"/>
        <v>0.93930905695611577</v>
      </c>
    </row>
    <row r="104" spans="1:27" s="154" customFormat="1" ht="20.100000000000001" customHeight="1" x14ac:dyDescent="0.4">
      <c r="A104" s="345">
        <v>50</v>
      </c>
      <c r="B104" s="347" t="s">
        <v>46</v>
      </c>
      <c r="C104" s="347" t="s">
        <v>14</v>
      </c>
      <c r="D104" s="349" t="s">
        <v>576</v>
      </c>
      <c r="E104" s="349" t="s">
        <v>860</v>
      </c>
      <c r="F104" s="349" t="s">
        <v>386</v>
      </c>
      <c r="G104" s="563" t="s">
        <v>861</v>
      </c>
      <c r="H104" s="351"/>
      <c r="I104" s="351"/>
      <c r="J104" s="351"/>
      <c r="K104" s="351"/>
      <c r="L104" s="351"/>
      <c r="M104" s="351"/>
      <c r="N104" s="157" t="s">
        <v>24</v>
      </c>
      <c r="O104" s="153">
        <f>SUM('案件．要員情報'!O105:X105)</f>
        <v>0</v>
      </c>
      <c r="P104" s="153">
        <f>SUM('案件．要員情報'!Y105:AH105)</f>
        <v>0</v>
      </c>
      <c r="Q104" s="153">
        <f>SUM('案件．要員情報'!AI105:AR105)</f>
        <v>0</v>
      </c>
      <c r="R104" s="153">
        <f>SUM('案件．要員情報'!AS105:BB105)</f>
        <v>0</v>
      </c>
      <c r="S104" s="153">
        <f>SUM('案件．要員情報'!BC105:BL105)</f>
        <v>0</v>
      </c>
      <c r="T104" s="153">
        <f>SUM('案件．要員情報'!BM105:BV105)</f>
        <v>0</v>
      </c>
      <c r="U104" s="153">
        <f>SUM('案件．要員情報'!BW105:CF105)</f>
        <v>0</v>
      </c>
      <c r="V104" s="153">
        <f>SUM('案件．要員情報'!CG105:CP105)</f>
        <v>0</v>
      </c>
      <c r="W104" s="153">
        <f>SUM('案件．要員情報'!CQ105:CW105)</f>
        <v>0</v>
      </c>
      <c r="X104" s="153">
        <f>SUM('案件．要員情報'!CX105:DD105)</f>
        <v>0.65396825396825387</v>
      </c>
      <c r="Y104" s="153">
        <f>SUM('案件．要員情報'!DE105:DK105)</f>
        <v>0.23529411764705882</v>
      </c>
      <c r="Z104" s="153">
        <f>SUM('案件．要員情報'!DL105:DS105)</f>
        <v>0</v>
      </c>
      <c r="AA104" s="215">
        <f t="shared" si="4"/>
        <v>0.88926237161531274</v>
      </c>
    </row>
    <row r="105" spans="1:27" s="154" customFormat="1" ht="20.100000000000001" customHeight="1" x14ac:dyDescent="0.4">
      <c r="A105" s="346"/>
      <c r="B105" s="348"/>
      <c r="C105" s="348"/>
      <c r="D105" s="350"/>
      <c r="E105" s="350"/>
      <c r="F105" s="350"/>
      <c r="G105" s="565"/>
      <c r="H105" s="352"/>
      <c r="I105" s="352"/>
      <c r="J105" s="352"/>
      <c r="K105" s="352"/>
      <c r="L105" s="352"/>
      <c r="M105" s="352"/>
      <c r="N105" s="158" t="s">
        <v>25</v>
      </c>
      <c r="O105" s="156">
        <f>SUM('案件．要員情報'!O106:X106)</f>
        <v>0</v>
      </c>
      <c r="P105" s="156">
        <f>SUM('案件．要員情報'!Y106:AH106)</f>
        <v>0</v>
      </c>
      <c r="Q105" s="156">
        <f>SUM('案件．要員情報'!AI106:AR106)</f>
        <v>0</v>
      </c>
      <c r="R105" s="156">
        <f>SUM('案件．要員情報'!AS106:BB106)</f>
        <v>0</v>
      </c>
      <c r="S105" s="156">
        <f>SUM('案件．要員情報'!BC106:BL106)</f>
        <v>0</v>
      </c>
      <c r="T105" s="156">
        <f>SUM('案件．要員情報'!BM106:BV106)</f>
        <v>0</v>
      </c>
      <c r="U105" s="156">
        <f>SUM('案件．要員情報'!BW106:CF106)</f>
        <v>0</v>
      </c>
      <c r="V105" s="156">
        <f>SUM('案件．要員情報'!CG106:CP106)</f>
        <v>0</v>
      </c>
      <c r="W105" s="156">
        <f>SUM('案件．要員情報'!CQ106:CW106)</f>
        <v>0</v>
      </c>
      <c r="X105" s="156">
        <f>SUM('案件．要員情報'!CX106:DD106)</f>
        <v>0.6507936507936507</v>
      </c>
      <c r="Y105" s="156">
        <f>SUM('案件．要員情報'!DE106:DK106)</f>
        <v>0.60392156862745094</v>
      </c>
      <c r="Z105" s="156">
        <f>SUM('案件．要員情報'!DL106:DS106)</f>
        <v>0</v>
      </c>
      <c r="AA105" s="159">
        <f t="shared" si="4"/>
        <v>1.2547152194211018</v>
      </c>
    </row>
    <row r="106" spans="1:27" s="154" customFormat="1" ht="20.100000000000001" customHeight="1" collapsed="1" x14ac:dyDescent="0.4">
      <c r="A106" s="345">
        <v>51</v>
      </c>
      <c r="B106" s="347" t="s">
        <v>46</v>
      </c>
      <c r="C106" s="347" t="s">
        <v>14</v>
      </c>
      <c r="D106" s="349" t="s">
        <v>517</v>
      </c>
      <c r="E106" s="349" t="s">
        <v>885</v>
      </c>
      <c r="F106" s="349" t="s">
        <v>386</v>
      </c>
      <c r="G106" s="563" t="s">
        <v>886</v>
      </c>
      <c r="H106" s="362"/>
      <c r="I106" s="362"/>
      <c r="J106" s="362"/>
      <c r="K106" s="364"/>
      <c r="L106" s="364"/>
      <c r="M106" s="358"/>
      <c r="N106" s="157" t="s">
        <v>24</v>
      </c>
      <c r="O106" s="153">
        <f>SUM('案件．要員情報'!O107:X107)</f>
        <v>0</v>
      </c>
      <c r="P106" s="153">
        <f>SUM('案件．要員情報'!Y107:AH107)</f>
        <v>0</v>
      </c>
      <c r="Q106" s="153">
        <f>SUM('案件．要員情報'!AI107:AR107)</f>
        <v>0</v>
      </c>
      <c r="R106" s="153">
        <f>SUM('案件．要員情報'!AS107:BB107)</f>
        <v>0</v>
      </c>
      <c r="S106" s="153">
        <f>SUM('案件．要員情報'!BC107:BL107)</f>
        <v>0</v>
      </c>
      <c r="T106" s="153">
        <f>SUM('案件．要員情報'!BM107:BV107)</f>
        <v>0</v>
      </c>
      <c r="U106" s="153">
        <f>SUM('案件．要員情報'!BW107:CF107)</f>
        <v>0</v>
      </c>
      <c r="V106" s="153">
        <f>SUM('案件．要員情報'!CG107:CP107)</f>
        <v>0</v>
      </c>
      <c r="W106" s="153">
        <f>SUM('案件．要員情報'!CQ107:CW107)</f>
        <v>0</v>
      </c>
      <c r="X106" s="153">
        <f>SUM('案件．要員情報'!CX107:DD107)</f>
        <v>9.5238095238095233E-2</v>
      </c>
      <c r="Y106" s="153">
        <f>SUM('案件．要員情報'!DE107:DK107)</f>
        <v>0.19607843137254902</v>
      </c>
      <c r="Z106" s="153">
        <f>SUM('案件．要員情報'!DL107:DS107)</f>
        <v>0</v>
      </c>
      <c r="AA106" s="215">
        <f t="shared" si="4"/>
        <v>0.29131652661064422</v>
      </c>
    </row>
    <row r="107" spans="1:27" s="154" customFormat="1" ht="20.100000000000001" customHeight="1" x14ac:dyDescent="0.4">
      <c r="A107" s="346"/>
      <c r="B107" s="348"/>
      <c r="C107" s="348"/>
      <c r="D107" s="350"/>
      <c r="E107" s="350"/>
      <c r="F107" s="350"/>
      <c r="G107" s="565"/>
      <c r="H107" s="363"/>
      <c r="I107" s="363"/>
      <c r="J107" s="363"/>
      <c r="K107" s="365"/>
      <c r="L107" s="365"/>
      <c r="M107" s="359"/>
      <c r="N107" s="158" t="s">
        <v>25</v>
      </c>
      <c r="O107" s="156">
        <f>SUM('案件．要員情報'!O108:X108)</f>
        <v>0</v>
      </c>
      <c r="P107" s="156">
        <f>SUM('案件．要員情報'!Y108:AH108)</f>
        <v>0</v>
      </c>
      <c r="Q107" s="156">
        <f>SUM('案件．要員情報'!AI108:AR108)</f>
        <v>0</v>
      </c>
      <c r="R107" s="156">
        <f>SUM('案件．要員情報'!AS108:BB108)</f>
        <v>0</v>
      </c>
      <c r="S107" s="156">
        <f>SUM('案件．要員情報'!BC108:BL108)</f>
        <v>0</v>
      </c>
      <c r="T107" s="156">
        <f>SUM('案件．要員情報'!BM108:BV108)</f>
        <v>0</v>
      </c>
      <c r="U107" s="156">
        <f>SUM('案件．要員情報'!BW108:CF108)</f>
        <v>0</v>
      </c>
      <c r="V107" s="156">
        <f>SUM('案件．要員情報'!CG108:CP108)</f>
        <v>0</v>
      </c>
      <c r="W107" s="156">
        <f>SUM('案件．要員情報'!CQ108:CW108)</f>
        <v>0</v>
      </c>
      <c r="X107" s="156">
        <f>SUM('案件．要員情報'!CX108:DD108)</f>
        <v>8.2539682539682538E-2</v>
      </c>
      <c r="Y107" s="156">
        <f>SUM('案件．要員情報'!DE108:DK108)</f>
        <v>0.58431372549019611</v>
      </c>
      <c r="Z107" s="156">
        <f>SUM('案件．要員情報'!DL108:DS108)</f>
        <v>0</v>
      </c>
      <c r="AA107" s="159">
        <f t="shared" si="4"/>
        <v>0.66685340802987869</v>
      </c>
    </row>
    <row r="108" spans="1:27" s="154" customFormat="1" ht="20.100000000000001" customHeight="1" x14ac:dyDescent="0.4">
      <c r="A108" s="345">
        <v>52</v>
      </c>
      <c r="B108" s="347" t="s">
        <v>46</v>
      </c>
      <c r="C108" s="347" t="s">
        <v>347</v>
      </c>
      <c r="D108" s="349" t="s">
        <v>348</v>
      </c>
      <c r="E108" s="349" t="s">
        <v>889</v>
      </c>
      <c r="F108" s="349" t="s">
        <v>890</v>
      </c>
      <c r="G108" s="563" t="s">
        <v>891</v>
      </c>
      <c r="H108" s="351"/>
      <c r="I108" s="351"/>
      <c r="J108" s="351"/>
      <c r="K108" s="351"/>
      <c r="L108" s="351"/>
      <c r="M108" s="351"/>
      <c r="N108" s="157" t="s">
        <v>24</v>
      </c>
      <c r="O108" s="153">
        <f>SUM('案件．要員情報'!O109:X109)</f>
        <v>0</v>
      </c>
      <c r="P108" s="153">
        <f>SUM('案件．要員情報'!Y109:AH109)</f>
        <v>0</v>
      </c>
      <c r="Q108" s="153">
        <f>SUM('案件．要員情報'!AI109:AR109)</f>
        <v>0</v>
      </c>
      <c r="R108" s="153">
        <f>SUM('案件．要員情報'!AS109:BB109)</f>
        <v>0</v>
      </c>
      <c r="S108" s="153">
        <f>SUM('案件．要員情報'!BC109:BL109)</f>
        <v>0</v>
      </c>
      <c r="T108" s="153">
        <f>SUM('案件．要員情報'!BM109:BV109)</f>
        <v>0</v>
      </c>
      <c r="U108" s="153">
        <f>SUM('案件．要員情報'!BW109:CF109)</f>
        <v>0</v>
      </c>
      <c r="V108" s="153">
        <f>SUM('案件．要員情報'!CG109:CP109)</f>
        <v>0</v>
      </c>
      <c r="W108" s="153">
        <f>SUM('案件．要員情報'!CQ109:CW109)</f>
        <v>0</v>
      </c>
      <c r="X108" s="153">
        <f>SUM('案件．要員情報'!CX109:DD109)</f>
        <v>0.15873015873015872</v>
      </c>
      <c r="Y108" s="153">
        <f>SUM('案件．要員情報'!DE109:DK109)</f>
        <v>0.90196078431372539</v>
      </c>
      <c r="Z108" s="153">
        <f>SUM('案件．要員情報'!DL109:DS109)</f>
        <v>0</v>
      </c>
      <c r="AA108" s="215">
        <f t="shared" si="4"/>
        <v>1.060690943043884</v>
      </c>
    </row>
    <row r="109" spans="1:27" s="154" customFormat="1" ht="20.100000000000001" customHeight="1" x14ac:dyDescent="0.4">
      <c r="A109" s="346"/>
      <c r="B109" s="348"/>
      <c r="C109" s="348"/>
      <c r="D109" s="350"/>
      <c r="E109" s="350"/>
      <c r="F109" s="350"/>
      <c r="G109" s="565"/>
      <c r="H109" s="352"/>
      <c r="I109" s="352"/>
      <c r="J109" s="352"/>
      <c r="K109" s="352"/>
      <c r="L109" s="352"/>
      <c r="M109" s="352"/>
      <c r="N109" s="158" t="s">
        <v>25</v>
      </c>
      <c r="O109" s="156">
        <f>SUM('案件．要員情報'!O110:X110)</f>
        <v>0</v>
      </c>
      <c r="P109" s="156">
        <f>SUM('案件．要員情報'!Y110:AH110)</f>
        <v>0</v>
      </c>
      <c r="Q109" s="156">
        <f>SUM('案件．要員情報'!AI110:AR110)</f>
        <v>0</v>
      </c>
      <c r="R109" s="156">
        <f>SUM('案件．要員情報'!AS110:BB110)</f>
        <v>0</v>
      </c>
      <c r="S109" s="156">
        <f>SUM('案件．要員情報'!BC110:BL110)</f>
        <v>0</v>
      </c>
      <c r="T109" s="156">
        <f>SUM('案件．要員情報'!BM110:BV110)</f>
        <v>0</v>
      </c>
      <c r="U109" s="156">
        <f>SUM('案件．要員情報'!BW110:CF110)</f>
        <v>0</v>
      </c>
      <c r="V109" s="156">
        <f>SUM('案件．要員情報'!CG110:CP110)</f>
        <v>0</v>
      </c>
      <c r="W109" s="156">
        <f>SUM('案件．要員情報'!CQ110:CW110)</f>
        <v>0</v>
      </c>
      <c r="X109" s="156">
        <f>SUM('案件．要員情報'!CX110:DD110)</f>
        <v>0.13968253968253969</v>
      </c>
      <c r="Y109" s="156">
        <f>SUM('案件．要員情報'!DE110:DK110)</f>
        <v>0.8666666666666667</v>
      </c>
      <c r="Z109" s="156">
        <f>SUM('案件．要員情報'!DL110:DS110)</f>
        <v>0</v>
      </c>
      <c r="AA109" s="159">
        <f t="shared" si="4"/>
        <v>1.0063492063492063</v>
      </c>
    </row>
    <row r="110" spans="1:27" s="154" customFormat="1" ht="20.100000000000001" customHeight="1" x14ac:dyDescent="0.4">
      <c r="A110" s="345">
        <v>53</v>
      </c>
      <c r="B110" s="347" t="s">
        <v>46</v>
      </c>
      <c r="C110" s="347" t="s">
        <v>347</v>
      </c>
      <c r="D110" s="349" t="s">
        <v>348</v>
      </c>
      <c r="E110" s="349" t="s">
        <v>904</v>
      </c>
      <c r="F110" s="349" t="s">
        <v>386</v>
      </c>
      <c r="G110" s="563" t="s">
        <v>902</v>
      </c>
      <c r="H110" s="351"/>
      <c r="I110" s="351"/>
      <c r="J110" s="351"/>
      <c r="K110" s="351"/>
      <c r="L110" s="351"/>
      <c r="M110" s="351"/>
      <c r="N110" s="157" t="s">
        <v>24</v>
      </c>
      <c r="O110" s="153">
        <f>SUM('案件．要員情報'!O111:X111)</f>
        <v>0</v>
      </c>
      <c r="P110" s="153">
        <f>SUM('案件．要員情報'!Y111:AH111)</f>
        <v>0</v>
      </c>
      <c r="Q110" s="153">
        <f>SUM('案件．要員情報'!AI111:AR111)</f>
        <v>0</v>
      </c>
      <c r="R110" s="153">
        <f>SUM('案件．要員情報'!AS111:BB111)</f>
        <v>0</v>
      </c>
      <c r="S110" s="153">
        <f>SUM('案件．要員情報'!BC111:BL111)</f>
        <v>0</v>
      </c>
      <c r="T110" s="153">
        <f>SUM('案件．要員情報'!BM111:BV111)</f>
        <v>0</v>
      </c>
      <c r="U110" s="153">
        <f>SUM('案件．要員情報'!BW111:CF111)</f>
        <v>0</v>
      </c>
      <c r="V110" s="153">
        <f>SUM('案件．要員情報'!CG111:CP111)</f>
        <v>0</v>
      </c>
      <c r="W110" s="153">
        <f>SUM('案件．要員情報'!CQ111:CW111)</f>
        <v>0</v>
      </c>
      <c r="X110" s="153">
        <f>SUM('案件．要員情報'!CX111:DD111)</f>
        <v>6.3492063492063489E-2</v>
      </c>
      <c r="Y110" s="153">
        <f>SUM('案件．要員情報'!DE111:DK111)</f>
        <v>0.35294117647058826</v>
      </c>
      <c r="Z110" s="153">
        <f>SUM('案件．要員情報'!DL111:DS111)</f>
        <v>0</v>
      </c>
      <c r="AA110" s="215">
        <f t="shared" si="4"/>
        <v>0.41643323996265175</v>
      </c>
    </row>
    <row r="111" spans="1:27" s="154" customFormat="1" ht="20.100000000000001" customHeight="1" x14ac:dyDescent="0.4">
      <c r="A111" s="346"/>
      <c r="B111" s="348"/>
      <c r="C111" s="348"/>
      <c r="D111" s="350"/>
      <c r="E111" s="350"/>
      <c r="F111" s="350"/>
      <c r="G111" s="565"/>
      <c r="H111" s="352"/>
      <c r="I111" s="352"/>
      <c r="J111" s="352"/>
      <c r="K111" s="352"/>
      <c r="L111" s="352"/>
      <c r="M111" s="352"/>
      <c r="N111" s="158" t="s">
        <v>25</v>
      </c>
      <c r="O111" s="156">
        <f>SUM('案件．要員情報'!O112:X112)</f>
        <v>0</v>
      </c>
      <c r="P111" s="156">
        <f>SUM('案件．要員情報'!Y112:AH112)</f>
        <v>0</v>
      </c>
      <c r="Q111" s="156">
        <f>SUM('案件．要員情報'!AI112:AR112)</f>
        <v>0</v>
      </c>
      <c r="R111" s="156">
        <f>SUM('案件．要員情報'!AS112:BB112)</f>
        <v>0</v>
      </c>
      <c r="S111" s="156">
        <f>SUM('案件．要員情報'!BC112:BL112)</f>
        <v>0</v>
      </c>
      <c r="T111" s="156">
        <f>SUM('案件．要員情報'!BM112:BV112)</f>
        <v>0</v>
      </c>
      <c r="U111" s="156">
        <f>SUM('案件．要員情報'!BW112:CF112)</f>
        <v>0</v>
      </c>
      <c r="V111" s="156">
        <f>SUM('案件．要員情報'!CG112:CP112)</f>
        <v>0</v>
      </c>
      <c r="W111" s="156">
        <f>SUM('案件．要員情報'!CQ112:CW112)</f>
        <v>0</v>
      </c>
      <c r="X111" s="156">
        <f>SUM('案件．要員情報'!CX112:DD112)</f>
        <v>6.3492063492063489E-2</v>
      </c>
      <c r="Y111" s="156">
        <f>SUM('案件．要員情報'!DE112:DK112)</f>
        <v>0.3294117647058824</v>
      </c>
      <c r="Z111" s="156">
        <f>SUM('案件．要員情報'!DL112:DS112)</f>
        <v>0</v>
      </c>
      <c r="AA111" s="159">
        <f t="shared" si="4"/>
        <v>0.39290382819794589</v>
      </c>
    </row>
    <row r="112" spans="1:27" s="154" customFormat="1" ht="20.100000000000001" customHeight="1" x14ac:dyDescent="0.4">
      <c r="A112" s="345">
        <v>54</v>
      </c>
      <c r="B112" s="347" t="s">
        <v>46</v>
      </c>
      <c r="C112" s="347" t="s">
        <v>14</v>
      </c>
      <c r="D112" s="349" t="s">
        <v>384</v>
      </c>
      <c r="E112" s="349" t="s">
        <v>899</v>
      </c>
      <c r="F112" s="349"/>
      <c r="G112" s="563" t="s">
        <v>901</v>
      </c>
      <c r="H112" s="351"/>
      <c r="I112" s="351"/>
      <c r="J112" s="351"/>
      <c r="K112" s="351"/>
      <c r="L112" s="351"/>
      <c r="M112" s="351"/>
      <c r="N112" s="157" t="s">
        <v>24</v>
      </c>
      <c r="O112" s="153">
        <f>SUM('案件．要員情報'!O113:X113)</f>
        <v>0</v>
      </c>
      <c r="P112" s="153">
        <f>SUM('案件．要員情報'!Y113:AH113)</f>
        <v>0</v>
      </c>
      <c r="Q112" s="153">
        <f>SUM('案件．要員情報'!AI113:AR113)</f>
        <v>0</v>
      </c>
      <c r="R112" s="153">
        <f>SUM('案件．要員情報'!AS113:BB113)</f>
        <v>0</v>
      </c>
      <c r="S112" s="153">
        <f>SUM('案件．要員情報'!BC113:BL113)</f>
        <v>0</v>
      </c>
      <c r="T112" s="153">
        <f>SUM('案件．要員情報'!BM113:BV113)</f>
        <v>0</v>
      </c>
      <c r="U112" s="153">
        <f>SUM('案件．要員情報'!BW113:CF113)</f>
        <v>0</v>
      </c>
      <c r="V112" s="153">
        <f>SUM('案件．要員情報'!CG113:CP113)</f>
        <v>0</v>
      </c>
      <c r="W112" s="153">
        <f>SUM('案件．要員情報'!CQ113:CW113)</f>
        <v>0</v>
      </c>
      <c r="X112" s="153">
        <f>SUM('案件．要員情報'!CX113:DD113)</f>
        <v>0</v>
      </c>
      <c r="Y112" s="153">
        <f>SUM('案件．要員情報'!DE113:DK113)</f>
        <v>0.3529411764705882</v>
      </c>
      <c r="Z112" s="153">
        <f>SUM('案件．要員情報'!DL113:DS113)</f>
        <v>0</v>
      </c>
      <c r="AA112" s="215">
        <f t="shared" si="4"/>
        <v>0.3529411764705882</v>
      </c>
    </row>
    <row r="113" spans="1:27" s="154" customFormat="1" ht="20.100000000000001" customHeight="1" x14ac:dyDescent="0.4">
      <c r="A113" s="346"/>
      <c r="B113" s="348"/>
      <c r="C113" s="348"/>
      <c r="D113" s="350"/>
      <c r="E113" s="350"/>
      <c r="F113" s="350"/>
      <c r="G113" s="565"/>
      <c r="H113" s="352"/>
      <c r="I113" s="352"/>
      <c r="J113" s="352"/>
      <c r="K113" s="352"/>
      <c r="L113" s="352"/>
      <c r="M113" s="352"/>
      <c r="N113" s="158" t="s">
        <v>25</v>
      </c>
      <c r="O113" s="156">
        <f>SUM('案件．要員情報'!O114:X114)</f>
        <v>0</v>
      </c>
      <c r="P113" s="156">
        <f>SUM('案件．要員情報'!Y114:AH114)</f>
        <v>0</v>
      </c>
      <c r="Q113" s="156">
        <f>SUM('案件．要員情報'!AI114:AR114)</f>
        <v>0</v>
      </c>
      <c r="R113" s="156">
        <f>SUM('案件．要員情報'!AS114:BB114)</f>
        <v>0</v>
      </c>
      <c r="S113" s="156">
        <f>SUM('案件．要員情報'!BC114:BL114)</f>
        <v>0</v>
      </c>
      <c r="T113" s="156">
        <f>SUM('案件．要員情報'!BM114:BV114)</f>
        <v>0</v>
      </c>
      <c r="U113" s="156">
        <f>SUM('案件．要員情報'!BW114:CF114)</f>
        <v>0</v>
      </c>
      <c r="V113" s="156">
        <f>SUM('案件．要員情報'!CG114:CP114)</f>
        <v>0</v>
      </c>
      <c r="W113" s="156">
        <f>SUM('案件．要員情報'!CQ114:CW114)</f>
        <v>0</v>
      </c>
      <c r="X113" s="156">
        <f>SUM('案件．要員情報'!CX114:DD114)</f>
        <v>0</v>
      </c>
      <c r="Y113" s="156">
        <f>SUM('案件．要員情報'!DE114:DK114)</f>
        <v>0.46666666666666667</v>
      </c>
      <c r="Z113" s="156">
        <f>SUM('案件．要員情報'!DL114:DS114)</f>
        <v>0</v>
      </c>
      <c r="AA113" s="159">
        <f t="shared" si="4"/>
        <v>0.46666666666666667</v>
      </c>
    </row>
    <row r="114" spans="1:27" s="154" customFormat="1" ht="20.100000000000001" customHeight="1" x14ac:dyDescent="0.4">
      <c r="A114" s="345">
        <v>55</v>
      </c>
      <c r="B114" s="347" t="s">
        <v>46</v>
      </c>
      <c r="C114" s="347" t="s">
        <v>347</v>
      </c>
      <c r="D114" s="349" t="s">
        <v>348</v>
      </c>
      <c r="E114" s="349" t="s">
        <v>908</v>
      </c>
      <c r="F114" s="349" t="s">
        <v>911</v>
      </c>
      <c r="G114" s="563" t="s">
        <v>910</v>
      </c>
      <c r="H114" s="351"/>
      <c r="I114" s="351"/>
      <c r="J114" s="351"/>
      <c r="K114" s="351"/>
      <c r="L114" s="351"/>
      <c r="M114" s="351"/>
      <c r="N114" s="157" t="s">
        <v>24</v>
      </c>
      <c r="O114" s="153">
        <f>SUM('案件．要員情報'!O115:X115)</f>
        <v>0</v>
      </c>
      <c r="P114" s="153">
        <f>SUM('案件．要員情報'!Y115:AH115)</f>
        <v>0</v>
      </c>
      <c r="Q114" s="153">
        <f>SUM('案件．要員情報'!AI115:AR115)</f>
        <v>0</v>
      </c>
      <c r="R114" s="153">
        <f>SUM('案件．要員情報'!AS115:BB115)</f>
        <v>0</v>
      </c>
      <c r="S114" s="153">
        <f>SUM('案件．要員情報'!BC115:BL115)</f>
        <v>0</v>
      </c>
      <c r="T114" s="153">
        <f>SUM('案件．要員情報'!BM115:BV115)</f>
        <v>0</v>
      </c>
      <c r="U114" s="153">
        <f>SUM('案件．要員情報'!BW115:CF115)</f>
        <v>0</v>
      </c>
      <c r="V114" s="153">
        <f>SUM('案件．要員情報'!CG115:CP115)</f>
        <v>0</v>
      </c>
      <c r="W114" s="153">
        <f>SUM('案件．要員情報'!CQ115:CW115)</f>
        <v>0</v>
      </c>
      <c r="X114" s="153">
        <f>SUM('案件．要員情報'!CX115:DD115)</f>
        <v>0</v>
      </c>
      <c r="Y114" s="153">
        <f>SUM('案件．要員情報'!DE115:DK115)</f>
        <v>0.19607843137254902</v>
      </c>
      <c r="Z114" s="153">
        <f>SUM('案件．要員情報'!DL115:DS115)</f>
        <v>0</v>
      </c>
      <c r="AA114" s="215">
        <f t="shared" si="4"/>
        <v>0.19607843137254902</v>
      </c>
    </row>
    <row r="115" spans="1:27" s="154" customFormat="1" ht="20.100000000000001" customHeight="1" x14ac:dyDescent="0.4">
      <c r="A115" s="346"/>
      <c r="B115" s="348"/>
      <c r="C115" s="348"/>
      <c r="D115" s="350"/>
      <c r="E115" s="350"/>
      <c r="F115" s="350"/>
      <c r="G115" s="565"/>
      <c r="H115" s="352"/>
      <c r="I115" s="352"/>
      <c r="J115" s="352"/>
      <c r="K115" s="352"/>
      <c r="L115" s="352"/>
      <c r="M115" s="352"/>
      <c r="N115" s="158" t="s">
        <v>25</v>
      </c>
      <c r="O115" s="156">
        <f>SUM('案件．要員情報'!O116:X116)</f>
        <v>0</v>
      </c>
      <c r="P115" s="156">
        <f>SUM('案件．要員情報'!Y116:AH116)</f>
        <v>0</v>
      </c>
      <c r="Q115" s="156">
        <f>SUM('案件．要員情報'!AI116:AR116)</f>
        <v>0</v>
      </c>
      <c r="R115" s="156">
        <f>SUM('案件．要員情報'!AS116:BB116)</f>
        <v>0</v>
      </c>
      <c r="S115" s="156">
        <f>SUM('案件．要員情報'!BC116:BL116)</f>
        <v>0</v>
      </c>
      <c r="T115" s="156">
        <f>SUM('案件．要員情報'!BM116:BV116)</f>
        <v>0</v>
      </c>
      <c r="U115" s="156">
        <f>SUM('案件．要員情報'!BW116:CF116)</f>
        <v>0</v>
      </c>
      <c r="V115" s="156">
        <f>SUM('案件．要員情報'!CG116:CP116)</f>
        <v>0</v>
      </c>
      <c r="W115" s="156">
        <f>SUM('案件．要員情報'!CQ116:CW116)</f>
        <v>0</v>
      </c>
      <c r="X115" s="156">
        <f>SUM('案件．要員情報'!CX116:DD116)</f>
        <v>0</v>
      </c>
      <c r="Y115" s="156">
        <f>SUM('案件．要員情報'!DE116:DK116)</f>
        <v>0.43529411764705883</v>
      </c>
      <c r="Z115" s="156">
        <f>SUM('案件．要員情報'!DL116:DS116)</f>
        <v>0</v>
      </c>
      <c r="AA115" s="159">
        <f t="shared" si="4"/>
        <v>0.43529411764705883</v>
      </c>
    </row>
    <row r="116" spans="1:27" s="154" customFormat="1" ht="20.100000000000001" customHeight="1" x14ac:dyDescent="0.4">
      <c r="A116" s="345">
        <v>56</v>
      </c>
      <c r="B116" s="347" t="s">
        <v>46</v>
      </c>
      <c r="C116" s="347" t="s">
        <v>14</v>
      </c>
      <c r="D116" s="349" t="s">
        <v>576</v>
      </c>
      <c r="E116" s="349" t="s">
        <v>917</v>
      </c>
      <c r="F116" s="349" t="s">
        <v>386</v>
      </c>
      <c r="G116" s="563" t="s">
        <v>918</v>
      </c>
      <c r="H116" s="351"/>
      <c r="I116" s="351"/>
      <c r="J116" s="351"/>
      <c r="K116" s="351"/>
      <c r="L116" s="351"/>
      <c r="M116" s="351"/>
      <c r="N116" s="157" t="s">
        <v>24</v>
      </c>
      <c r="O116" s="153">
        <f>SUM('案件．要員情報'!O117:X117)</f>
        <v>0</v>
      </c>
      <c r="P116" s="153">
        <f>SUM('案件．要員情報'!Y117:AH117)</f>
        <v>0</v>
      </c>
      <c r="Q116" s="153">
        <f>SUM('案件．要員情報'!AI117:AR117)</f>
        <v>0</v>
      </c>
      <c r="R116" s="153">
        <f>SUM('案件．要員情報'!AS117:BB117)</f>
        <v>0</v>
      </c>
      <c r="S116" s="153">
        <f>SUM('案件．要員情報'!BC117:BL117)</f>
        <v>0</v>
      </c>
      <c r="T116" s="153">
        <f>SUM('案件．要員情報'!BM117:BV117)</f>
        <v>0</v>
      </c>
      <c r="U116" s="153">
        <f>SUM('案件．要員情報'!BW117:CF117)</f>
        <v>0</v>
      </c>
      <c r="V116" s="153">
        <f>SUM('案件．要員情報'!CG117:CP117)</f>
        <v>0</v>
      </c>
      <c r="W116" s="153">
        <f>SUM('案件．要員情報'!CQ117:CW117)</f>
        <v>0</v>
      </c>
      <c r="X116" s="153">
        <f>SUM('案件．要員情報'!CX117:DD117)</f>
        <v>0</v>
      </c>
      <c r="Y116" s="153">
        <f>SUM('案件．要員情報'!DE117:DK117)</f>
        <v>0</v>
      </c>
      <c r="Z116" s="153">
        <f>SUM('案件．要員情報'!DL117:DS117)</f>
        <v>0</v>
      </c>
      <c r="AA116" s="215">
        <f t="shared" si="4"/>
        <v>0</v>
      </c>
    </row>
    <row r="117" spans="1:27" s="154" customFormat="1" ht="20.100000000000001" customHeight="1" x14ac:dyDescent="0.4">
      <c r="A117" s="346"/>
      <c r="B117" s="348"/>
      <c r="C117" s="348"/>
      <c r="D117" s="350"/>
      <c r="E117" s="350"/>
      <c r="F117" s="350"/>
      <c r="G117" s="565"/>
      <c r="H117" s="352"/>
      <c r="I117" s="352"/>
      <c r="J117" s="352"/>
      <c r="K117" s="352"/>
      <c r="L117" s="352"/>
      <c r="M117" s="352"/>
      <c r="N117" s="158" t="s">
        <v>25</v>
      </c>
      <c r="O117" s="156">
        <f>SUM('案件．要員情報'!O118:X118)</f>
        <v>0</v>
      </c>
      <c r="P117" s="156">
        <f>SUM('案件．要員情報'!Y118:AH118)</f>
        <v>0</v>
      </c>
      <c r="Q117" s="156">
        <f>SUM('案件．要員情報'!AI118:AR118)</f>
        <v>0</v>
      </c>
      <c r="R117" s="156">
        <f>SUM('案件．要員情報'!AS118:BB118)</f>
        <v>0</v>
      </c>
      <c r="S117" s="156">
        <f>SUM('案件．要員情報'!BC118:BL118)</f>
        <v>0</v>
      </c>
      <c r="T117" s="156">
        <f>SUM('案件．要員情報'!BM118:BV118)</f>
        <v>0</v>
      </c>
      <c r="U117" s="156">
        <f>SUM('案件．要員情報'!BW118:CF118)</f>
        <v>0</v>
      </c>
      <c r="V117" s="156">
        <f>SUM('案件．要員情報'!CG118:CP118)</f>
        <v>0</v>
      </c>
      <c r="W117" s="156">
        <f>SUM('案件．要員情報'!CQ118:CW118)</f>
        <v>0</v>
      </c>
      <c r="X117" s="156">
        <f>SUM('案件．要員情報'!CX118:DD118)</f>
        <v>0</v>
      </c>
      <c r="Y117" s="156">
        <f>SUM('案件．要員情報'!DE118:DK118)</f>
        <v>0.13725490196078433</v>
      </c>
      <c r="Z117" s="156">
        <f>SUM('案件．要員情報'!DL118:DS118)</f>
        <v>0</v>
      </c>
      <c r="AA117" s="159">
        <f t="shared" si="4"/>
        <v>0.13725490196078433</v>
      </c>
    </row>
    <row r="118" spans="1:27" s="154" customFormat="1" ht="20.100000000000001" hidden="1" customHeight="1" outlineLevel="1" x14ac:dyDescent="0.4">
      <c r="A118" s="345">
        <v>57</v>
      </c>
      <c r="B118" s="347" t="s">
        <v>45</v>
      </c>
      <c r="C118" s="347" t="s">
        <v>346</v>
      </c>
      <c r="D118" s="349"/>
      <c r="E118" s="349"/>
      <c r="F118" s="349"/>
      <c r="G118" s="351"/>
      <c r="H118" s="351"/>
      <c r="I118" s="351"/>
      <c r="J118" s="351"/>
      <c r="K118" s="351"/>
      <c r="L118" s="351"/>
      <c r="M118" s="351"/>
      <c r="N118" s="157" t="s">
        <v>24</v>
      </c>
      <c r="O118" s="153">
        <f>SUM('案件．要員情報'!O119:X119)</f>
        <v>0</v>
      </c>
      <c r="P118" s="153">
        <f>SUM('案件．要員情報'!Y119:AH119)</f>
        <v>0</v>
      </c>
      <c r="Q118" s="153">
        <f>SUM('案件．要員情報'!AI119:AR119)</f>
        <v>0</v>
      </c>
      <c r="R118" s="153">
        <f>SUM('案件．要員情報'!AS119:BB119)</f>
        <v>0</v>
      </c>
      <c r="S118" s="153">
        <f>SUM('案件．要員情報'!BC119:BL119)</f>
        <v>0</v>
      </c>
      <c r="T118" s="153">
        <f>SUM('案件．要員情報'!BM119:BV119)</f>
        <v>0</v>
      </c>
      <c r="U118" s="153">
        <f>SUM('案件．要員情報'!BW119:CF119)</f>
        <v>0</v>
      </c>
      <c r="V118" s="153">
        <f>SUM('案件．要員情報'!CG119:CP119)</f>
        <v>0</v>
      </c>
      <c r="W118" s="153">
        <f>SUM('案件．要員情報'!CQ119:CW119)</f>
        <v>0</v>
      </c>
      <c r="X118" s="153">
        <f>SUM('案件．要員情報'!CX119:DD119)</f>
        <v>0</v>
      </c>
      <c r="Y118" s="153">
        <f>SUM('案件．要員情報'!DE119:DK119)</f>
        <v>0</v>
      </c>
      <c r="Z118" s="153">
        <f>SUM('案件．要員情報'!DL119:DS119)</f>
        <v>0</v>
      </c>
      <c r="AA118" s="215">
        <f t="shared" si="4"/>
        <v>0</v>
      </c>
    </row>
    <row r="119" spans="1:27" s="154" customFormat="1" ht="20.100000000000001" hidden="1" customHeight="1" outlineLevel="1" x14ac:dyDescent="0.4">
      <c r="A119" s="346"/>
      <c r="B119" s="348"/>
      <c r="C119" s="348"/>
      <c r="D119" s="350"/>
      <c r="E119" s="350"/>
      <c r="F119" s="350"/>
      <c r="G119" s="352"/>
      <c r="H119" s="352"/>
      <c r="I119" s="352"/>
      <c r="J119" s="352"/>
      <c r="K119" s="352"/>
      <c r="L119" s="352"/>
      <c r="M119" s="352"/>
      <c r="N119" s="158" t="s">
        <v>25</v>
      </c>
      <c r="O119" s="156">
        <f>SUM('案件．要員情報'!O120:X120)</f>
        <v>0</v>
      </c>
      <c r="P119" s="156">
        <f>SUM('案件．要員情報'!Y120:AH120)</f>
        <v>0</v>
      </c>
      <c r="Q119" s="156">
        <f>SUM('案件．要員情報'!AI120:AR120)</f>
        <v>0</v>
      </c>
      <c r="R119" s="156">
        <f>SUM('案件．要員情報'!AS120:BB120)</f>
        <v>0</v>
      </c>
      <c r="S119" s="156">
        <f>SUM('案件．要員情報'!BC120:BL120)</f>
        <v>0</v>
      </c>
      <c r="T119" s="156">
        <f>SUM('案件．要員情報'!BM120:BV120)</f>
        <v>0</v>
      </c>
      <c r="U119" s="156">
        <f>SUM('案件．要員情報'!BW120:CF120)</f>
        <v>0</v>
      </c>
      <c r="V119" s="156">
        <f>SUM('案件．要員情報'!CG120:CP120)</f>
        <v>0</v>
      </c>
      <c r="W119" s="156">
        <f>SUM('案件．要員情報'!CQ120:CW120)</f>
        <v>0</v>
      </c>
      <c r="X119" s="156">
        <f>SUM('案件．要員情報'!CX120:DD120)</f>
        <v>0</v>
      </c>
      <c r="Y119" s="156">
        <f>SUM('案件．要員情報'!DE120:DK120)</f>
        <v>0</v>
      </c>
      <c r="Z119" s="156">
        <f>SUM('案件．要員情報'!DL120:DS120)</f>
        <v>0</v>
      </c>
      <c r="AA119" s="159">
        <f t="shared" si="4"/>
        <v>0</v>
      </c>
    </row>
    <row r="120" spans="1:27" s="154" customFormat="1" ht="20.100000000000001" hidden="1" customHeight="1" outlineLevel="1" x14ac:dyDescent="0.4">
      <c r="A120" s="345">
        <v>58</v>
      </c>
      <c r="B120" s="347" t="s">
        <v>45</v>
      </c>
      <c r="C120" s="347" t="s">
        <v>346</v>
      </c>
      <c r="D120" s="349"/>
      <c r="E120" s="349"/>
      <c r="F120" s="349"/>
      <c r="G120" s="351"/>
      <c r="H120" s="351"/>
      <c r="I120" s="351"/>
      <c r="J120" s="351"/>
      <c r="K120" s="351"/>
      <c r="L120" s="351"/>
      <c r="M120" s="351"/>
      <c r="N120" s="157" t="s">
        <v>24</v>
      </c>
      <c r="O120" s="153">
        <f>SUM('案件．要員情報'!O121:X121)</f>
        <v>0</v>
      </c>
      <c r="P120" s="153">
        <f>SUM('案件．要員情報'!Y121:AH121)</f>
        <v>0</v>
      </c>
      <c r="Q120" s="153">
        <f>SUM('案件．要員情報'!AI121:AR121)</f>
        <v>0</v>
      </c>
      <c r="R120" s="153">
        <f>SUM('案件．要員情報'!AS121:BB121)</f>
        <v>0</v>
      </c>
      <c r="S120" s="153">
        <f>SUM('案件．要員情報'!BC121:BL121)</f>
        <v>0</v>
      </c>
      <c r="T120" s="153">
        <f>SUM('案件．要員情報'!BM121:BV121)</f>
        <v>0</v>
      </c>
      <c r="U120" s="153">
        <f>SUM('案件．要員情報'!BW121:CF121)</f>
        <v>0</v>
      </c>
      <c r="V120" s="153">
        <f>SUM('案件．要員情報'!CG121:CP121)</f>
        <v>0</v>
      </c>
      <c r="W120" s="153">
        <f>SUM('案件．要員情報'!CQ121:CW121)</f>
        <v>0</v>
      </c>
      <c r="X120" s="153">
        <f>SUM('案件．要員情報'!CX121:DD121)</f>
        <v>0</v>
      </c>
      <c r="Y120" s="153">
        <f>SUM('案件．要員情報'!DE121:DK121)</f>
        <v>0</v>
      </c>
      <c r="Z120" s="153">
        <f>SUM('案件．要員情報'!DL121:DS121)</f>
        <v>0</v>
      </c>
      <c r="AA120" s="215">
        <f t="shared" si="4"/>
        <v>0</v>
      </c>
    </row>
    <row r="121" spans="1:27" s="154" customFormat="1" ht="20.100000000000001" hidden="1" customHeight="1" outlineLevel="1" x14ac:dyDescent="0.4">
      <c r="A121" s="346"/>
      <c r="B121" s="348"/>
      <c r="C121" s="348"/>
      <c r="D121" s="350"/>
      <c r="E121" s="350"/>
      <c r="F121" s="350"/>
      <c r="G121" s="352"/>
      <c r="H121" s="352"/>
      <c r="I121" s="352"/>
      <c r="J121" s="352"/>
      <c r="K121" s="352"/>
      <c r="L121" s="352"/>
      <c r="M121" s="352"/>
      <c r="N121" s="158" t="s">
        <v>25</v>
      </c>
      <c r="O121" s="156">
        <f>SUM('案件．要員情報'!O122:X122)</f>
        <v>0</v>
      </c>
      <c r="P121" s="156">
        <f>SUM('案件．要員情報'!Y122:AH122)</f>
        <v>0</v>
      </c>
      <c r="Q121" s="156">
        <f>SUM('案件．要員情報'!AI122:AR122)</f>
        <v>0</v>
      </c>
      <c r="R121" s="156">
        <f>SUM('案件．要員情報'!AS122:BB122)</f>
        <v>0</v>
      </c>
      <c r="S121" s="156">
        <f>SUM('案件．要員情報'!BC122:BL122)</f>
        <v>0</v>
      </c>
      <c r="T121" s="156">
        <f>SUM('案件．要員情報'!BM122:BV122)</f>
        <v>0</v>
      </c>
      <c r="U121" s="156">
        <f>SUM('案件．要員情報'!BW122:CF122)</f>
        <v>0</v>
      </c>
      <c r="V121" s="156">
        <f>SUM('案件．要員情報'!CG122:CP122)</f>
        <v>0</v>
      </c>
      <c r="W121" s="156">
        <f>SUM('案件．要員情報'!CQ122:CW122)</f>
        <v>0</v>
      </c>
      <c r="X121" s="156">
        <f>SUM('案件．要員情報'!CX122:DD122)</f>
        <v>0</v>
      </c>
      <c r="Y121" s="156">
        <f>SUM('案件．要員情報'!DE122:DK122)</f>
        <v>0</v>
      </c>
      <c r="Z121" s="156">
        <f>SUM('案件．要員情報'!DL122:DS122)</f>
        <v>0</v>
      </c>
      <c r="AA121" s="159">
        <f t="shared" si="4"/>
        <v>0</v>
      </c>
    </row>
    <row r="122" spans="1:27" s="154" customFormat="1" ht="20.100000000000001" hidden="1" customHeight="1" outlineLevel="1" x14ac:dyDescent="0.4">
      <c r="A122" s="345">
        <v>59</v>
      </c>
      <c r="B122" s="347" t="s">
        <v>45</v>
      </c>
      <c r="C122" s="347" t="s">
        <v>346</v>
      </c>
      <c r="D122" s="349"/>
      <c r="E122" s="349"/>
      <c r="F122" s="349"/>
      <c r="G122" s="351"/>
      <c r="H122" s="351"/>
      <c r="I122" s="351"/>
      <c r="J122" s="351"/>
      <c r="K122" s="351"/>
      <c r="L122" s="351"/>
      <c r="M122" s="351"/>
      <c r="N122" s="157" t="s">
        <v>24</v>
      </c>
      <c r="O122" s="153">
        <f>SUM('案件．要員情報'!O123:X123)</f>
        <v>0</v>
      </c>
      <c r="P122" s="153">
        <f>SUM('案件．要員情報'!Y123:AH123)</f>
        <v>0</v>
      </c>
      <c r="Q122" s="153">
        <f>SUM('案件．要員情報'!AI123:AR123)</f>
        <v>0</v>
      </c>
      <c r="R122" s="153">
        <f>SUM('案件．要員情報'!AS123:BB123)</f>
        <v>0</v>
      </c>
      <c r="S122" s="153">
        <f>SUM('案件．要員情報'!BC123:BL123)</f>
        <v>0</v>
      </c>
      <c r="T122" s="153">
        <f>SUM('案件．要員情報'!BM123:BV123)</f>
        <v>0</v>
      </c>
      <c r="U122" s="153">
        <f>SUM('案件．要員情報'!BW123:CF123)</f>
        <v>0</v>
      </c>
      <c r="V122" s="153">
        <f>SUM('案件．要員情報'!CG123:CP123)</f>
        <v>0</v>
      </c>
      <c r="W122" s="153">
        <f>SUM('案件．要員情報'!CQ123:CW123)</f>
        <v>0</v>
      </c>
      <c r="X122" s="153">
        <f>SUM('案件．要員情報'!CX123:DD123)</f>
        <v>0</v>
      </c>
      <c r="Y122" s="153">
        <f>SUM('案件．要員情報'!DE123:DK123)</f>
        <v>0</v>
      </c>
      <c r="Z122" s="153">
        <f>SUM('案件．要員情報'!DL123:DS123)</f>
        <v>0</v>
      </c>
      <c r="AA122" s="215">
        <f t="shared" si="4"/>
        <v>0</v>
      </c>
    </row>
    <row r="123" spans="1:27" s="154" customFormat="1" ht="20.100000000000001" hidden="1" customHeight="1" outlineLevel="1" x14ac:dyDescent="0.4">
      <c r="A123" s="346"/>
      <c r="B123" s="348"/>
      <c r="C123" s="348"/>
      <c r="D123" s="350"/>
      <c r="E123" s="350"/>
      <c r="F123" s="350"/>
      <c r="G123" s="352"/>
      <c r="H123" s="352"/>
      <c r="I123" s="352"/>
      <c r="J123" s="352"/>
      <c r="K123" s="352"/>
      <c r="L123" s="352"/>
      <c r="M123" s="352"/>
      <c r="N123" s="158" t="s">
        <v>25</v>
      </c>
      <c r="O123" s="156">
        <f>SUM('案件．要員情報'!O124:X124)</f>
        <v>0</v>
      </c>
      <c r="P123" s="156">
        <f>SUM('案件．要員情報'!Y124:AH124)</f>
        <v>0</v>
      </c>
      <c r="Q123" s="156">
        <f>SUM('案件．要員情報'!AI124:AR124)</f>
        <v>0</v>
      </c>
      <c r="R123" s="156">
        <f>SUM('案件．要員情報'!AS124:BB124)</f>
        <v>0</v>
      </c>
      <c r="S123" s="156">
        <f>SUM('案件．要員情報'!BC124:BL124)</f>
        <v>0</v>
      </c>
      <c r="T123" s="156">
        <f>SUM('案件．要員情報'!BM124:BV124)</f>
        <v>0</v>
      </c>
      <c r="U123" s="156">
        <f>SUM('案件．要員情報'!BW124:CF124)</f>
        <v>0</v>
      </c>
      <c r="V123" s="156">
        <f>SUM('案件．要員情報'!CG124:CP124)</f>
        <v>0</v>
      </c>
      <c r="W123" s="156">
        <f>SUM('案件．要員情報'!CQ124:CW124)</f>
        <v>0</v>
      </c>
      <c r="X123" s="156">
        <f>SUM('案件．要員情報'!CX124:DD124)</f>
        <v>0</v>
      </c>
      <c r="Y123" s="156">
        <f>SUM('案件．要員情報'!DE124:DK124)</f>
        <v>0</v>
      </c>
      <c r="Z123" s="156">
        <f>SUM('案件．要員情報'!DL124:DS124)</f>
        <v>0</v>
      </c>
      <c r="AA123" s="159">
        <f t="shared" si="4"/>
        <v>0</v>
      </c>
    </row>
    <row r="124" spans="1:27" s="154" customFormat="1" ht="20.100000000000001" hidden="1" customHeight="1" outlineLevel="1" x14ac:dyDescent="0.4">
      <c r="A124" s="345">
        <v>60</v>
      </c>
      <c r="B124" s="347" t="s">
        <v>45</v>
      </c>
      <c r="C124" s="347" t="s">
        <v>346</v>
      </c>
      <c r="D124" s="349"/>
      <c r="E124" s="349"/>
      <c r="F124" s="349"/>
      <c r="G124" s="351"/>
      <c r="H124" s="351"/>
      <c r="I124" s="351"/>
      <c r="J124" s="351"/>
      <c r="K124" s="351"/>
      <c r="L124" s="351"/>
      <c r="M124" s="351"/>
      <c r="N124" s="157" t="s">
        <v>24</v>
      </c>
      <c r="O124" s="153">
        <f>SUM('案件．要員情報'!O125:X125)</f>
        <v>0</v>
      </c>
      <c r="P124" s="153">
        <f>SUM('案件．要員情報'!Y125:AH125)</f>
        <v>0</v>
      </c>
      <c r="Q124" s="153">
        <f>SUM('案件．要員情報'!AI125:AR125)</f>
        <v>0</v>
      </c>
      <c r="R124" s="153">
        <f>SUM('案件．要員情報'!AS125:BB125)</f>
        <v>0</v>
      </c>
      <c r="S124" s="153">
        <f>SUM('案件．要員情報'!BC125:BL125)</f>
        <v>0</v>
      </c>
      <c r="T124" s="153">
        <f>SUM('案件．要員情報'!BM125:BV125)</f>
        <v>0</v>
      </c>
      <c r="U124" s="153">
        <f>SUM('案件．要員情報'!BW125:CF125)</f>
        <v>0</v>
      </c>
      <c r="V124" s="153">
        <f>SUM('案件．要員情報'!CG125:CP125)</f>
        <v>0</v>
      </c>
      <c r="W124" s="153">
        <f>SUM('案件．要員情報'!CQ125:CW125)</f>
        <v>0</v>
      </c>
      <c r="X124" s="153">
        <f>SUM('案件．要員情報'!CX125:DD125)</f>
        <v>0</v>
      </c>
      <c r="Y124" s="153">
        <f>SUM('案件．要員情報'!DE125:DK125)</f>
        <v>0</v>
      </c>
      <c r="Z124" s="153">
        <f>SUM('案件．要員情報'!DL125:DS125)</f>
        <v>0</v>
      </c>
      <c r="AA124" s="215">
        <f t="shared" ref="AA124:AA165" si="5">SUM(O124:Z124)</f>
        <v>0</v>
      </c>
    </row>
    <row r="125" spans="1:27" s="154" customFormat="1" ht="20.100000000000001" hidden="1" customHeight="1" outlineLevel="1" x14ac:dyDescent="0.4">
      <c r="A125" s="346"/>
      <c r="B125" s="348"/>
      <c r="C125" s="348"/>
      <c r="D125" s="350"/>
      <c r="E125" s="350"/>
      <c r="F125" s="350"/>
      <c r="G125" s="352"/>
      <c r="H125" s="352"/>
      <c r="I125" s="352"/>
      <c r="J125" s="352"/>
      <c r="K125" s="352"/>
      <c r="L125" s="352"/>
      <c r="M125" s="352"/>
      <c r="N125" s="158" t="s">
        <v>25</v>
      </c>
      <c r="O125" s="156">
        <f>SUM('案件．要員情報'!O126:X126)</f>
        <v>0</v>
      </c>
      <c r="P125" s="156">
        <f>SUM('案件．要員情報'!Y126:AH126)</f>
        <v>0</v>
      </c>
      <c r="Q125" s="156">
        <f>SUM('案件．要員情報'!AI126:AR126)</f>
        <v>0</v>
      </c>
      <c r="R125" s="156">
        <f>SUM('案件．要員情報'!AS126:BB126)</f>
        <v>0</v>
      </c>
      <c r="S125" s="156">
        <f>SUM('案件．要員情報'!BC126:BL126)</f>
        <v>0</v>
      </c>
      <c r="T125" s="156">
        <f>SUM('案件．要員情報'!BM126:BV126)</f>
        <v>0</v>
      </c>
      <c r="U125" s="156">
        <f>SUM('案件．要員情報'!BW126:CF126)</f>
        <v>0</v>
      </c>
      <c r="V125" s="156">
        <f>SUM('案件．要員情報'!CG126:CP126)</f>
        <v>0</v>
      </c>
      <c r="W125" s="156">
        <f>SUM('案件．要員情報'!CQ126:CW126)</f>
        <v>0</v>
      </c>
      <c r="X125" s="156">
        <f>SUM('案件．要員情報'!CX126:DD126)</f>
        <v>0</v>
      </c>
      <c r="Y125" s="156">
        <f>SUM('案件．要員情報'!DE126:DK126)</f>
        <v>0</v>
      </c>
      <c r="Z125" s="156">
        <f>SUM('案件．要員情報'!DL126:DS126)</f>
        <v>0</v>
      </c>
      <c r="AA125" s="159">
        <f t="shared" si="5"/>
        <v>0</v>
      </c>
    </row>
    <row r="126" spans="1:27" s="154" customFormat="1" ht="20.100000000000001" hidden="1" customHeight="1" outlineLevel="1" x14ac:dyDescent="0.4">
      <c r="A126" s="345">
        <v>61</v>
      </c>
      <c r="B126" s="347" t="s">
        <v>45</v>
      </c>
      <c r="C126" s="347" t="s">
        <v>346</v>
      </c>
      <c r="D126" s="349"/>
      <c r="E126" s="349"/>
      <c r="F126" s="349"/>
      <c r="G126" s="351"/>
      <c r="H126" s="351"/>
      <c r="I126" s="351"/>
      <c r="J126" s="351"/>
      <c r="K126" s="351"/>
      <c r="L126" s="351"/>
      <c r="M126" s="351"/>
      <c r="N126" s="157" t="s">
        <v>24</v>
      </c>
      <c r="O126" s="153">
        <f>SUM('案件．要員情報'!O127:X127)</f>
        <v>0</v>
      </c>
      <c r="P126" s="153">
        <f>SUM('案件．要員情報'!Y127:AH127)</f>
        <v>0</v>
      </c>
      <c r="Q126" s="153">
        <f>SUM('案件．要員情報'!AI127:AR127)</f>
        <v>0</v>
      </c>
      <c r="R126" s="153">
        <f>SUM('案件．要員情報'!AS127:BB127)</f>
        <v>0</v>
      </c>
      <c r="S126" s="153">
        <f>SUM('案件．要員情報'!BC127:BL127)</f>
        <v>0</v>
      </c>
      <c r="T126" s="153">
        <f>SUM('案件．要員情報'!BM127:BV127)</f>
        <v>0</v>
      </c>
      <c r="U126" s="153">
        <f>SUM('案件．要員情報'!BW127:CF127)</f>
        <v>0</v>
      </c>
      <c r="V126" s="153">
        <f>SUM('案件．要員情報'!CG127:CP127)</f>
        <v>0</v>
      </c>
      <c r="W126" s="153">
        <f>SUM('案件．要員情報'!CQ127:CW127)</f>
        <v>0</v>
      </c>
      <c r="X126" s="153">
        <f>SUM('案件．要員情報'!CX127:DD127)</f>
        <v>0</v>
      </c>
      <c r="Y126" s="153">
        <f>SUM('案件．要員情報'!DE127:DK127)</f>
        <v>0</v>
      </c>
      <c r="Z126" s="153">
        <f>SUM('案件．要員情報'!DL127:DS127)</f>
        <v>0</v>
      </c>
      <c r="AA126" s="215">
        <f t="shared" si="5"/>
        <v>0</v>
      </c>
    </row>
    <row r="127" spans="1:27" s="154" customFormat="1" ht="20.100000000000001" hidden="1" customHeight="1" outlineLevel="1" x14ac:dyDescent="0.4">
      <c r="A127" s="346"/>
      <c r="B127" s="348"/>
      <c r="C127" s="348"/>
      <c r="D127" s="350"/>
      <c r="E127" s="350"/>
      <c r="F127" s="350"/>
      <c r="G127" s="352"/>
      <c r="H127" s="352"/>
      <c r="I127" s="352"/>
      <c r="J127" s="352"/>
      <c r="K127" s="352"/>
      <c r="L127" s="352"/>
      <c r="M127" s="352"/>
      <c r="N127" s="158" t="s">
        <v>25</v>
      </c>
      <c r="O127" s="156">
        <f>SUM('案件．要員情報'!O128:X128)</f>
        <v>0</v>
      </c>
      <c r="P127" s="156">
        <f>SUM('案件．要員情報'!Y128:AH128)</f>
        <v>0</v>
      </c>
      <c r="Q127" s="156">
        <f>SUM('案件．要員情報'!AI128:AR128)</f>
        <v>0</v>
      </c>
      <c r="R127" s="156">
        <f>SUM('案件．要員情報'!AS128:BB128)</f>
        <v>0</v>
      </c>
      <c r="S127" s="156">
        <f>SUM('案件．要員情報'!BC128:BL128)</f>
        <v>0</v>
      </c>
      <c r="T127" s="156">
        <f>SUM('案件．要員情報'!BM128:BV128)</f>
        <v>0</v>
      </c>
      <c r="U127" s="156">
        <f>SUM('案件．要員情報'!BW128:CF128)</f>
        <v>0</v>
      </c>
      <c r="V127" s="156">
        <f>SUM('案件．要員情報'!CG128:CP128)</f>
        <v>0</v>
      </c>
      <c r="W127" s="156">
        <f>SUM('案件．要員情報'!CQ128:CW128)</f>
        <v>0</v>
      </c>
      <c r="X127" s="156">
        <f>SUM('案件．要員情報'!CX128:DD128)</f>
        <v>0</v>
      </c>
      <c r="Y127" s="156">
        <f>SUM('案件．要員情報'!DE128:DK128)</f>
        <v>0</v>
      </c>
      <c r="Z127" s="156">
        <f>SUM('案件．要員情報'!DL128:DS128)</f>
        <v>0</v>
      </c>
      <c r="AA127" s="159">
        <f t="shared" si="5"/>
        <v>0</v>
      </c>
    </row>
    <row r="128" spans="1:27" s="154" customFormat="1" ht="20.100000000000001" hidden="1" customHeight="1" outlineLevel="1" x14ac:dyDescent="0.4">
      <c r="A128" s="345">
        <v>62</v>
      </c>
      <c r="B128" s="347" t="s">
        <v>45</v>
      </c>
      <c r="C128" s="347" t="s">
        <v>346</v>
      </c>
      <c r="D128" s="349"/>
      <c r="E128" s="349"/>
      <c r="F128" s="349"/>
      <c r="G128" s="351"/>
      <c r="H128" s="351"/>
      <c r="I128" s="351"/>
      <c r="J128" s="351"/>
      <c r="K128" s="351"/>
      <c r="L128" s="351"/>
      <c r="M128" s="351"/>
      <c r="N128" s="157" t="s">
        <v>24</v>
      </c>
      <c r="O128" s="153">
        <f>SUM('案件．要員情報'!O129:X129)</f>
        <v>0</v>
      </c>
      <c r="P128" s="153">
        <f>SUM('案件．要員情報'!Y129:AH129)</f>
        <v>0</v>
      </c>
      <c r="Q128" s="153">
        <f>SUM('案件．要員情報'!AI129:AR129)</f>
        <v>0</v>
      </c>
      <c r="R128" s="153">
        <f>SUM('案件．要員情報'!AS129:BB129)</f>
        <v>0</v>
      </c>
      <c r="S128" s="153">
        <f>SUM('案件．要員情報'!BC129:BL129)</f>
        <v>0</v>
      </c>
      <c r="T128" s="153">
        <f>SUM('案件．要員情報'!BM129:BV129)</f>
        <v>0</v>
      </c>
      <c r="U128" s="153">
        <f>SUM('案件．要員情報'!BW129:CF129)</f>
        <v>0</v>
      </c>
      <c r="V128" s="153">
        <f>SUM('案件．要員情報'!CG129:CP129)</f>
        <v>0</v>
      </c>
      <c r="W128" s="153">
        <f>SUM('案件．要員情報'!CQ129:CW129)</f>
        <v>0</v>
      </c>
      <c r="X128" s="153">
        <f>SUM('案件．要員情報'!CX129:DD129)</f>
        <v>0</v>
      </c>
      <c r="Y128" s="153">
        <f>SUM('案件．要員情報'!DE129:DK129)</f>
        <v>0</v>
      </c>
      <c r="Z128" s="153">
        <f>SUM('案件．要員情報'!DL129:DS129)</f>
        <v>0</v>
      </c>
      <c r="AA128" s="215">
        <f t="shared" si="5"/>
        <v>0</v>
      </c>
    </row>
    <row r="129" spans="1:27" s="154" customFormat="1" ht="20.100000000000001" hidden="1" customHeight="1" outlineLevel="1" x14ac:dyDescent="0.4">
      <c r="A129" s="346"/>
      <c r="B129" s="348"/>
      <c r="C129" s="348"/>
      <c r="D129" s="350"/>
      <c r="E129" s="350"/>
      <c r="F129" s="350"/>
      <c r="G129" s="352"/>
      <c r="H129" s="352"/>
      <c r="I129" s="352"/>
      <c r="J129" s="352"/>
      <c r="K129" s="352"/>
      <c r="L129" s="352"/>
      <c r="M129" s="352"/>
      <c r="N129" s="158" t="s">
        <v>25</v>
      </c>
      <c r="O129" s="156">
        <f>SUM('案件．要員情報'!O130:X130)</f>
        <v>0</v>
      </c>
      <c r="P129" s="156">
        <f>SUM('案件．要員情報'!Y130:AH130)</f>
        <v>0</v>
      </c>
      <c r="Q129" s="156">
        <f>SUM('案件．要員情報'!AI130:AR130)</f>
        <v>0</v>
      </c>
      <c r="R129" s="156">
        <f>SUM('案件．要員情報'!AS130:BB130)</f>
        <v>0</v>
      </c>
      <c r="S129" s="156">
        <f>SUM('案件．要員情報'!BC130:BL130)</f>
        <v>0</v>
      </c>
      <c r="T129" s="156">
        <f>SUM('案件．要員情報'!BM130:BV130)</f>
        <v>0</v>
      </c>
      <c r="U129" s="156">
        <f>SUM('案件．要員情報'!BW130:CF130)</f>
        <v>0</v>
      </c>
      <c r="V129" s="156">
        <f>SUM('案件．要員情報'!CG130:CP130)</f>
        <v>0</v>
      </c>
      <c r="W129" s="156">
        <f>SUM('案件．要員情報'!CQ130:CW130)</f>
        <v>0</v>
      </c>
      <c r="X129" s="156">
        <f>SUM('案件．要員情報'!CX130:DD130)</f>
        <v>0</v>
      </c>
      <c r="Y129" s="156">
        <f>SUM('案件．要員情報'!DE130:DK130)</f>
        <v>0</v>
      </c>
      <c r="Z129" s="156">
        <f>SUM('案件．要員情報'!DL130:DS130)</f>
        <v>0</v>
      </c>
      <c r="AA129" s="159">
        <f t="shared" si="5"/>
        <v>0</v>
      </c>
    </row>
    <row r="130" spans="1:27" s="154" customFormat="1" ht="20.100000000000001" hidden="1" customHeight="1" outlineLevel="1" x14ac:dyDescent="0.4">
      <c r="A130" s="345">
        <v>63</v>
      </c>
      <c r="B130" s="347" t="s">
        <v>45</v>
      </c>
      <c r="C130" s="347" t="s">
        <v>346</v>
      </c>
      <c r="D130" s="349"/>
      <c r="E130" s="349"/>
      <c r="F130" s="349"/>
      <c r="G130" s="351"/>
      <c r="H130" s="351"/>
      <c r="I130" s="351"/>
      <c r="J130" s="351"/>
      <c r="K130" s="351"/>
      <c r="L130" s="351"/>
      <c r="M130" s="351"/>
      <c r="N130" s="157" t="s">
        <v>24</v>
      </c>
      <c r="O130" s="153">
        <f>SUM('案件．要員情報'!O131:X131)</f>
        <v>0</v>
      </c>
      <c r="P130" s="153">
        <f>SUM('案件．要員情報'!Y131:AH131)</f>
        <v>0</v>
      </c>
      <c r="Q130" s="153">
        <f>SUM('案件．要員情報'!AI131:AR131)</f>
        <v>0</v>
      </c>
      <c r="R130" s="153">
        <f>SUM('案件．要員情報'!AS131:BB131)</f>
        <v>0</v>
      </c>
      <c r="S130" s="153">
        <f>SUM('案件．要員情報'!BC131:BL131)</f>
        <v>0</v>
      </c>
      <c r="T130" s="153">
        <f>SUM('案件．要員情報'!BM131:BV131)</f>
        <v>0</v>
      </c>
      <c r="U130" s="153">
        <f>SUM('案件．要員情報'!BW131:CF131)</f>
        <v>0</v>
      </c>
      <c r="V130" s="153">
        <f>SUM('案件．要員情報'!CG131:CP131)</f>
        <v>0</v>
      </c>
      <c r="W130" s="153">
        <f>SUM('案件．要員情報'!CQ131:CW131)</f>
        <v>0</v>
      </c>
      <c r="X130" s="153">
        <f>SUM('案件．要員情報'!CX131:DD131)</f>
        <v>0</v>
      </c>
      <c r="Y130" s="153">
        <f>SUM('案件．要員情報'!DE131:DK131)</f>
        <v>0</v>
      </c>
      <c r="Z130" s="153">
        <f>SUM('案件．要員情報'!DL131:DS131)</f>
        <v>0</v>
      </c>
      <c r="AA130" s="215">
        <f t="shared" si="5"/>
        <v>0</v>
      </c>
    </row>
    <row r="131" spans="1:27" s="154" customFormat="1" ht="20.100000000000001" hidden="1" customHeight="1" outlineLevel="1" x14ac:dyDescent="0.4">
      <c r="A131" s="346"/>
      <c r="B131" s="348"/>
      <c r="C131" s="348"/>
      <c r="D131" s="350"/>
      <c r="E131" s="350"/>
      <c r="F131" s="350"/>
      <c r="G131" s="352"/>
      <c r="H131" s="352"/>
      <c r="I131" s="352"/>
      <c r="J131" s="352"/>
      <c r="K131" s="352"/>
      <c r="L131" s="352"/>
      <c r="M131" s="352"/>
      <c r="N131" s="158" t="s">
        <v>25</v>
      </c>
      <c r="O131" s="156">
        <f>SUM('案件．要員情報'!O132:X132)</f>
        <v>0</v>
      </c>
      <c r="P131" s="156">
        <f>SUM('案件．要員情報'!Y132:AH132)</f>
        <v>0</v>
      </c>
      <c r="Q131" s="156">
        <f>SUM('案件．要員情報'!AI132:AR132)</f>
        <v>0</v>
      </c>
      <c r="R131" s="156">
        <f>SUM('案件．要員情報'!AS132:BB132)</f>
        <v>0</v>
      </c>
      <c r="S131" s="156">
        <f>SUM('案件．要員情報'!BC132:BL132)</f>
        <v>0</v>
      </c>
      <c r="T131" s="156">
        <f>SUM('案件．要員情報'!BM132:BV132)</f>
        <v>0</v>
      </c>
      <c r="U131" s="156">
        <f>SUM('案件．要員情報'!BW132:CF132)</f>
        <v>0</v>
      </c>
      <c r="V131" s="156">
        <f>SUM('案件．要員情報'!CG132:CP132)</f>
        <v>0</v>
      </c>
      <c r="W131" s="156">
        <f>SUM('案件．要員情報'!CQ132:CW132)</f>
        <v>0</v>
      </c>
      <c r="X131" s="156">
        <f>SUM('案件．要員情報'!CX132:DD132)</f>
        <v>0</v>
      </c>
      <c r="Y131" s="156">
        <f>SUM('案件．要員情報'!DE132:DK132)</f>
        <v>0</v>
      </c>
      <c r="Z131" s="156">
        <f>SUM('案件．要員情報'!DL132:DS132)</f>
        <v>0</v>
      </c>
      <c r="AA131" s="159">
        <f t="shared" si="5"/>
        <v>0</v>
      </c>
    </row>
    <row r="132" spans="1:27" s="154" customFormat="1" ht="20.100000000000001" hidden="1" customHeight="1" outlineLevel="1" x14ac:dyDescent="0.4">
      <c r="A132" s="345">
        <v>64</v>
      </c>
      <c r="B132" s="347" t="s">
        <v>45</v>
      </c>
      <c r="C132" s="347" t="s">
        <v>346</v>
      </c>
      <c r="D132" s="349"/>
      <c r="E132" s="349"/>
      <c r="F132" s="349"/>
      <c r="G132" s="351"/>
      <c r="H132" s="351"/>
      <c r="I132" s="351"/>
      <c r="J132" s="351"/>
      <c r="K132" s="351"/>
      <c r="L132" s="351"/>
      <c r="M132" s="351"/>
      <c r="N132" s="157" t="s">
        <v>24</v>
      </c>
      <c r="O132" s="153">
        <f>SUM('案件．要員情報'!O133:X133)</f>
        <v>0</v>
      </c>
      <c r="P132" s="153">
        <f>SUM('案件．要員情報'!Y133:AH133)</f>
        <v>0</v>
      </c>
      <c r="Q132" s="153">
        <f>SUM('案件．要員情報'!AI133:AR133)</f>
        <v>0</v>
      </c>
      <c r="R132" s="153">
        <f>SUM('案件．要員情報'!AS133:BB133)</f>
        <v>0</v>
      </c>
      <c r="S132" s="153">
        <f>SUM('案件．要員情報'!BC133:BL133)</f>
        <v>0</v>
      </c>
      <c r="T132" s="153">
        <f>SUM('案件．要員情報'!BM133:BV133)</f>
        <v>0</v>
      </c>
      <c r="U132" s="153">
        <f>SUM('案件．要員情報'!BW133:CF133)</f>
        <v>0</v>
      </c>
      <c r="V132" s="153">
        <f>SUM('案件．要員情報'!CG133:CP133)</f>
        <v>0</v>
      </c>
      <c r="W132" s="153">
        <f>SUM('案件．要員情報'!CQ133:CW133)</f>
        <v>0</v>
      </c>
      <c r="X132" s="153">
        <f>SUM('案件．要員情報'!CX133:DD133)</f>
        <v>0</v>
      </c>
      <c r="Y132" s="153">
        <f>SUM('案件．要員情報'!DE133:DK133)</f>
        <v>0</v>
      </c>
      <c r="Z132" s="153">
        <f>SUM('案件．要員情報'!DL133:DS133)</f>
        <v>0</v>
      </c>
      <c r="AA132" s="215">
        <f t="shared" si="5"/>
        <v>0</v>
      </c>
    </row>
    <row r="133" spans="1:27" s="154" customFormat="1" ht="20.100000000000001" hidden="1" customHeight="1" outlineLevel="1" x14ac:dyDescent="0.4">
      <c r="A133" s="346"/>
      <c r="B133" s="348"/>
      <c r="C133" s="348"/>
      <c r="D133" s="350"/>
      <c r="E133" s="350"/>
      <c r="F133" s="350"/>
      <c r="G133" s="352"/>
      <c r="H133" s="352"/>
      <c r="I133" s="352"/>
      <c r="J133" s="352"/>
      <c r="K133" s="352"/>
      <c r="L133" s="352"/>
      <c r="M133" s="352"/>
      <c r="N133" s="158" t="s">
        <v>25</v>
      </c>
      <c r="O133" s="156">
        <f>SUM('案件．要員情報'!O134:X134)</f>
        <v>0</v>
      </c>
      <c r="P133" s="156">
        <f>SUM('案件．要員情報'!Y134:AH134)</f>
        <v>0</v>
      </c>
      <c r="Q133" s="156">
        <f>SUM('案件．要員情報'!AI134:AR134)</f>
        <v>0</v>
      </c>
      <c r="R133" s="156">
        <f>SUM('案件．要員情報'!AS134:BB134)</f>
        <v>0</v>
      </c>
      <c r="S133" s="156">
        <f>SUM('案件．要員情報'!BC134:BL134)</f>
        <v>0</v>
      </c>
      <c r="T133" s="156">
        <f>SUM('案件．要員情報'!BM134:BV134)</f>
        <v>0</v>
      </c>
      <c r="U133" s="156">
        <f>SUM('案件．要員情報'!BW134:CF134)</f>
        <v>0</v>
      </c>
      <c r="V133" s="156">
        <f>SUM('案件．要員情報'!CG134:CP134)</f>
        <v>0</v>
      </c>
      <c r="W133" s="156">
        <f>SUM('案件．要員情報'!CQ134:CW134)</f>
        <v>0</v>
      </c>
      <c r="X133" s="156">
        <f>SUM('案件．要員情報'!CX134:DD134)</f>
        <v>0</v>
      </c>
      <c r="Y133" s="156">
        <f>SUM('案件．要員情報'!DE134:DK134)</f>
        <v>0</v>
      </c>
      <c r="Z133" s="156">
        <f>SUM('案件．要員情報'!DL134:DS134)</f>
        <v>0</v>
      </c>
      <c r="AA133" s="159">
        <f t="shared" si="5"/>
        <v>0</v>
      </c>
    </row>
    <row r="134" spans="1:27" s="154" customFormat="1" ht="20.100000000000001" hidden="1" customHeight="1" outlineLevel="1" x14ac:dyDescent="0.4">
      <c r="A134" s="345">
        <v>65</v>
      </c>
      <c r="B134" s="347" t="s">
        <v>45</v>
      </c>
      <c r="C134" s="347" t="s">
        <v>346</v>
      </c>
      <c r="D134" s="349"/>
      <c r="E134" s="349"/>
      <c r="F134" s="349"/>
      <c r="G134" s="351"/>
      <c r="H134" s="351"/>
      <c r="I134" s="351"/>
      <c r="J134" s="351"/>
      <c r="K134" s="351"/>
      <c r="L134" s="351"/>
      <c r="M134" s="351"/>
      <c r="N134" s="157" t="s">
        <v>24</v>
      </c>
      <c r="O134" s="153">
        <f>SUM('案件．要員情報'!O135:X135)</f>
        <v>0</v>
      </c>
      <c r="P134" s="153">
        <f>SUM('案件．要員情報'!Y135:AH135)</f>
        <v>0</v>
      </c>
      <c r="Q134" s="153">
        <f>SUM('案件．要員情報'!AI135:AR135)</f>
        <v>0</v>
      </c>
      <c r="R134" s="153">
        <f>SUM('案件．要員情報'!AS135:BB135)</f>
        <v>0</v>
      </c>
      <c r="S134" s="153">
        <f>SUM('案件．要員情報'!BC135:BL135)</f>
        <v>0</v>
      </c>
      <c r="T134" s="153">
        <f>SUM('案件．要員情報'!BM135:BV135)</f>
        <v>0</v>
      </c>
      <c r="U134" s="153">
        <f>SUM('案件．要員情報'!BW135:CF135)</f>
        <v>0</v>
      </c>
      <c r="V134" s="153">
        <f>SUM('案件．要員情報'!CG135:CP135)</f>
        <v>0</v>
      </c>
      <c r="W134" s="153">
        <f>SUM('案件．要員情報'!CQ135:CW135)</f>
        <v>0</v>
      </c>
      <c r="X134" s="153">
        <f>SUM('案件．要員情報'!CX135:DD135)</f>
        <v>0</v>
      </c>
      <c r="Y134" s="153">
        <f>SUM('案件．要員情報'!DE135:DK135)</f>
        <v>0</v>
      </c>
      <c r="Z134" s="153">
        <f>SUM('案件．要員情報'!DL135:DS135)</f>
        <v>0</v>
      </c>
      <c r="AA134" s="215">
        <f t="shared" si="5"/>
        <v>0</v>
      </c>
    </row>
    <row r="135" spans="1:27" s="154" customFormat="1" ht="20.100000000000001" hidden="1" customHeight="1" outlineLevel="1" x14ac:dyDescent="0.4">
      <c r="A135" s="346"/>
      <c r="B135" s="348"/>
      <c r="C135" s="348"/>
      <c r="D135" s="350"/>
      <c r="E135" s="350"/>
      <c r="F135" s="350"/>
      <c r="G135" s="352"/>
      <c r="H135" s="352"/>
      <c r="I135" s="352"/>
      <c r="J135" s="352"/>
      <c r="K135" s="352"/>
      <c r="L135" s="352"/>
      <c r="M135" s="352"/>
      <c r="N135" s="158" t="s">
        <v>25</v>
      </c>
      <c r="O135" s="156">
        <f>SUM('案件．要員情報'!O136:X136)</f>
        <v>0</v>
      </c>
      <c r="P135" s="156">
        <f>SUM('案件．要員情報'!Y136:AH136)</f>
        <v>0</v>
      </c>
      <c r="Q135" s="156">
        <f>SUM('案件．要員情報'!AI136:AR136)</f>
        <v>0</v>
      </c>
      <c r="R135" s="156">
        <f>SUM('案件．要員情報'!AS136:BB136)</f>
        <v>0</v>
      </c>
      <c r="S135" s="156">
        <f>SUM('案件．要員情報'!BC136:BL136)</f>
        <v>0</v>
      </c>
      <c r="T135" s="156">
        <f>SUM('案件．要員情報'!BM136:BV136)</f>
        <v>0</v>
      </c>
      <c r="U135" s="156">
        <f>SUM('案件．要員情報'!BW136:CF136)</f>
        <v>0</v>
      </c>
      <c r="V135" s="156">
        <f>SUM('案件．要員情報'!CG136:CP136)</f>
        <v>0</v>
      </c>
      <c r="W135" s="156">
        <f>SUM('案件．要員情報'!CQ136:CW136)</f>
        <v>0</v>
      </c>
      <c r="X135" s="156">
        <f>SUM('案件．要員情報'!CX136:DD136)</f>
        <v>0</v>
      </c>
      <c r="Y135" s="156">
        <f>SUM('案件．要員情報'!DE136:DK136)</f>
        <v>0</v>
      </c>
      <c r="Z135" s="156">
        <f>SUM('案件．要員情報'!DL136:DS136)</f>
        <v>0</v>
      </c>
      <c r="AA135" s="159">
        <f t="shared" si="5"/>
        <v>0</v>
      </c>
    </row>
    <row r="136" spans="1:27" s="154" customFormat="1" ht="20.100000000000001" hidden="1" customHeight="1" outlineLevel="1" x14ac:dyDescent="0.4">
      <c r="A136" s="345">
        <v>66</v>
      </c>
      <c r="B136" s="347" t="s">
        <v>45</v>
      </c>
      <c r="C136" s="347" t="s">
        <v>346</v>
      </c>
      <c r="D136" s="349"/>
      <c r="E136" s="349"/>
      <c r="F136" s="349"/>
      <c r="G136" s="351"/>
      <c r="H136" s="351"/>
      <c r="I136" s="351"/>
      <c r="J136" s="351"/>
      <c r="K136" s="351"/>
      <c r="L136" s="351"/>
      <c r="M136" s="351"/>
      <c r="N136" s="157" t="s">
        <v>24</v>
      </c>
      <c r="O136" s="153">
        <f>SUM('案件．要員情報'!O137:X137)</f>
        <v>0</v>
      </c>
      <c r="P136" s="153">
        <f>SUM('案件．要員情報'!Y137:AH137)</f>
        <v>0</v>
      </c>
      <c r="Q136" s="153">
        <f>SUM('案件．要員情報'!AI137:AR137)</f>
        <v>0</v>
      </c>
      <c r="R136" s="153">
        <f>SUM('案件．要員情報'!AS137:BB137)</f>
        <v>0</v>
      </c>
      <c r="S136" s="153">
        <f>SUM('案件．要員情報'!BC137:BL137)</f>
        <v>0</v>
      </c>
      <c r="T136" s="153">
        <f>SUM('案件．要員情報'!BM137:BV137)</f>
        <v>0</v>
      </c>
      <c r="U136" s="153">
        <f>SUM('案件．要員情報'!BW137:CF137)</f>
        <v>0</v>
      </c>
      <c r="V136" s="153">
        <f>SUM('案件．要員情報'!CG137:CP137)</f>
        <v>0</v>
      </c>
      <c r="W136" s="153">
        <f>SUM('案件．要員情報'!CQ137:CW137)</f>
        <v>0</v>
      </c>
      <c r="X136" s="153">
        <f>SUM('案件．要員情報'!CX137:DD137)</f>
        <v>0</v>
      </c>
      <c r="Y136" s="153">
        <f>SUM('案件．要員情報'!DE137:DK137)</f>
        <v>0</v>
      </c>
      <c r="Z136" s="153">
        <f>SUM('案件．要員情報'!DL137:DS137)</f>
        <v>0</v>
      </c>
      <c r="AA136" s="215">
        <f t="shared" si="5"/>
        <v>0</v>
      </c>
    </row>
    <row r="137" spans="1:27" s="154" customFormat="1" ht="20.100000000000001" hidden="1" customHeight="1" outlineLevel="1" x14ac:dyDescent="0.4">
      <c r="A137" s="346"/>
      <c r="B137" s="348"/>
      <c r="C137" s="348"/>
      <c r="D137" s="350"/>
      <c r="E137" s="350"/>
      <c r="F137" s="350"/>
      <c r="G137" s="352"/>
      <c r="H137" s="352"/>
      <c r="I137" s="352"/>
      <c r="J137" s="352"/>
      <c r="K137" s="352"/>
      <c r="L137" s="352"/>
      <c r="M137" s="352"/>
      <c r="N137" s="158" t="s">
        <v>25</v>
      </c>
      <c r="O137" s="156">
        <f>SUM('案件．要員情報'!O138:X138)</f>
        <v>0</v>
      </c>
      <c r="P137" s="156">
        <f>SUM('案件．要員情報'!Y138:AH138)</f>
        <v>0</v>
      </c>
      <c r="Q137" s="156">
        <f>SUM('案件．要員情報'!AI138:AR138)</f>
        <v>0</v>
      </c>
      <c r="R137" s="156">
        <f>SUM('案件．要員情報'!AS138:BB138)</f>
        <v>0</v>
      </c>
      <c r="S137" s="156">
        <f>SUM('案件．要員情報'!BC138:BL138)</f>
        <v>0</v>
      </c>
      <c r="T137" s="156">
        <f>SUM('案件．要員情報'!BM138:BV138)</f>
        <v>0</v>
      </c>
      <c r="U137" s="156">
        <f>SUM('案件．要員情報'!BW138:CF138)</f>
        <v>0</v>
      </c>
      <c r="V137" s="156">
        <f>SUM('案件．要員情報'!CG138:CP138)</f>
        <v>0</v>
      </c>
      <c r="W137" s="156">
        <f>SUM('案件．要員情報'!CQ138:CW138)</f>
        <v>0</v>
      </c>
      <c r="X137" s="156">
        <f>SUM('案件．要員情報'!CX138:DD138)</f>
        <v>0</v>
      </c>
      <c r="Y137" s="156">
        <f>SUM('案件．要員情報'!DE138:DK138)</f>
        <v>0</v>
      </c>
      <c r="Z137" s="156">
        <f>SUM('案件．要員情報'!DL138:DS138)</f>
        <v>0</v>
      </c>
      <c r="AA137" s="159">
        <f t="shared" si="5"/>
        <v>0</v>
      </c>
    </row>
    <row r="138" spans="1:27" s="154" customFormat="1" ht="20.100000000000001" hidden="1" customHeight="1" outlineLevel="1" x14ac:dyDescent="0.4">
      <c r="A138" s="345">
        <v>67</v>
      </c>
      <c r="B138" s="347" t="s">
        <v>45</v>
      </c>
      <c r="C138" s="347" t="s">
        <v>346</v>
      </c>
      <c r="D138" s="349"/>
      <c r="E138" s="349"/>
      <c r="F138" s="349"/>
      <c r="G138" s="351"/>
      <c r="H138" s="351"/>
      <c r="I138" s="351"/>
      <c r="J138" s="351"/>
      <c r="K138" s="351"/>
      <c r="L138" s="351"/>
      <c r="M138" s="351"/>
      <c r="N138" s="157" t="s">
        <v>24</v>
      </c>
      <c r="O138" s="153">
        <f>SUM('案件．要員情報'!O139:X139)</f>
        <v>0</v>
      </c>
      <c r="P138" s="153">
        <f>SUM('案件．要員情報'!Y139:AH139)</f>
        <v>0</v>
      </c>
      <c r="Q138" s="153">
        <f>SUM('案件．要員情報'!AI139:AR139)</f>
        <v>0</v>
      </c>
      <c r="R138" s="153">
        <f>SUM('案件．要員情報'!AS139:BB139)</f>
        <v>0</v>
      </c>
      <c r="S138" s="153">
        <f>SUM('案件．要員情報'!BC139:BL139)</f>
        <v>0</v>
      </c>
      <c r="T138" s="153">
        <f>SUM('案件．要員情報'!BM139:BV139)</f>
        <v>0</v>
      </c>
      <c r="U138" s="153">
        <f>SUM('案件．要員情報'!BW139:CF139)</f>
        <v>0</v>
      </c>
      <c r="V138" s="153">
        <f>SUM('案件．要員情報'!CG139:CP139)</f>
        <v>0</v>
      </c>
      <c r="W138" s="153">
        <f>SUM('案件．要員情報'!CQ139:CW139)</f>
        <v>0</v>
      </c>
      <c r="X138" s="153">
        <f>SUM('案件．要員情報'!CX139:DD139)</f>
        <v>0</v>
      </c>
      <c r="Y138" s="153">
        <f>SUM('案件．要員情報'!DE139:DK139)</f>
        <v>0</v>
      </c>
      <c r="Z138" s="153">
        <f>SUM('案件．要員情報'!DL139:DS139)</f>
        <v>0</v>
      </c>
      <c r="AA138" s="215">
        <f t="shared" si="5"/>
        <v>0</v>
      </c>
    </row>
    <row r="139" spans="1:27" s="154" customFormat="1" ht="20.100000000000001" hidden="1" customHeight="1" outlineLevel="1" x14ac:dyDescent="0.4">
      <c r="A139" s="346"/>
      <c r="B139" s="348"/>
      <c r="C139" s="348"/>
      <c r="D139" s="350"/>
      <c r="E139" s="350"/>
      <c r="F139" s="350"/>
      <c r="G139" s="352"/>
      <c r="H139" s="352"/>
      <c r="I139" s="352"/>
      <c r="J139" s="352"/>
      <c r="K139" s="352"/>
      <c r="L139" s="352"/>
      <c r="M139" s="352"/>
      <c r="N139" s="158" t="s">
        <v>25</v>
      </c>
      <c r="O139" s="156">
        <f>SUM('案件．要員情報'!O140:X140)</f>
        <v>0</v>
      </c>
      <c r="P139" s="156">
        <f>SUM('案件．要員情報'!Y140:AH140)</f>
        <v>0</v>
      </c>
      <c r="Q139" s="156">
        <f>SUM('案件．要員情報'!AI140:AR140)</f>
        <v>0</v>
      </c>
      <c r="R139" s="156">
        <f>SUM('案件．要員情報'!AS140:BB140)</f>
        <v>0</v>
      </c>
      <c r="S139" s="156">
        <f>SUM('案件．要員情報'!BC140:BL140)</f>
        <v>0</v>
      </c>
      <c r="T139" s="156">
        <f>SUM('案件．要員情報'!BM140:BV140)</f>
        <v>0</v>
      </c>
      <c r="U139" s="156">
        <f>SUM('案件．要員情報'!BW140:CF140)</f>
        <v>0</v>
      </c>
      <c r="V139" s="156">
        <f>SUM('案件．要員情報'!CG140:CP140)</f>
        <v>0</v>
      </c>
      <c r="W139" s="156">
        <f>SUM('案件．要員情報'!CQ140:CW140)</f>
        <v>0</v>
      </c>
      <c r="X139" s="156">
        <f>SUM('案件．要員情報'!CX140:DD140)</f>
        <v>0</v>
      </c>
      <c r="Y139" s="156">
        <f>SUM('案件．要員情報'!DE140:DK140)</f>
        <v>0</v>
      </c>
      <c r="Z139" s="156">
        <f>SUM('案件．要員情報'!DL140:DS140)</f>
        <v>0</v>
      </c>
      <c r="AA139" s="159">
        <f t="shared" si="5"/>
        <v>0</v>
      </c>
    </row>
    <row r="140" spans="1:27" s="154" customFormat="1" ht="20.100000000000001" hidden="1" customHeight="1" outlineLevel="1" x14ac:dyDescent="0.4">
      <c r="A140" s="345">
        <v>68</v>
      </c>
      <c r="B140" s="347" t="s">
        <v>45</v>
      </c>
      <c r="C140" s="347" t="s">
        <v>346</v>
      </c>
      <c r="D140" s="349"/>
      <c r="E140" s="349"/>
      <c r="F140" s="349"/>
      <c r="G140" s="351"/>
      <c r="H140" s="351"/>
      <c r="I140" s="351"/>
      <c r="J140" s="351"/>
      <c r="K140" s="351"/>
      <c r="L140" s="351"/>
      <c r="M140" s="351"/>
      <c r="N140" s="157" t="s">
        <v>24</v>
      </c>
      <c r="O140" s="153">
        <f>SUM('案件．要員情報'!O141:X141)</f>
        <v>0</v>
      </c>
      <c r="P140" s="153">
        <f>SUM('案件．要員情報'!Y141:AH141)</f>
        <v>0</v>
      </c>
      <c r="Q140" s="153">
        <f>SUM('案件．要員情報'!AI141:AR141)</f>
        <v>0</v>
      </c>
      <c r="R140" s="153">
        <f>SUM('案件．要員情報'!AS141:BB141)</f>
        <v>0</v>
      </c>
      <c r="S140" s="153">
        <f>SUM('案件．要員情報'!BC141:BL141)</f>
        <v>0</v>
      </c>
      <c r="T140" s="153">
        <f>SUM('案件．要員情報'!BM141:BV141)</f>
        <v>0</v>
      </c>
      <c r="U140" s="153">
        <f>SUM('案件．要員情報'!BW141:CF141)</f>
        <v>0</v>
      </c>
      <c r="V140" s="153">
        <f>SUM('案件．要員情報'!CG141:CP141)</f>
        <v>0</v>
      </c>
      <c r="W140" s="153">
        <f>SUM('案件．要員情報'!CQ141:CW141)</f>
        <v>0</v>
      </c>
      <c r="X140" s="153">
        <f>SUM('案件．要員情報'!CX141:DD141)</f>
        <v>0</v>
      </c>
      <c r="Y140" s="153">
        <f>SUM('案件．要員情報'!DE141:DK141)</f>
        <v>0</v>
      </c>
      <c r="Z140" s="153">
        <f>SUM('案件．要員情報'!DL141:DS141)</f>
        <v>0</v>
      </c>
      <c r="AA140" s="215">
        <f t="shared" si="5"/>
        <v>0</v>
      </c>
    </row>
    <row r="141" spans="1:27" s="154" customFormat="1" ht="20.100000000000001" hidden="1" customHeight="1" outlineLevel="1" x14ac:dyDescent="0.4">
      <c r="A141" s="346"/>
      <c r="B141" s="348"/>
      <c r="C141" s="348"/>
      <c r="D141" s="350"/>
      <c r="E141" s="350"/>
      <c r="F141" s="350"/>
      <c r="G141" s="352"/>
      <c r="H141" s="352"/>
      <c r="I141" s="352"/>
      <c r="J141" s="352"/>
      <c r="K141" s="352"/>
      <c r="L141" s="352"/>
      <c r="M141" s="352"/>
      <c r="N141" s="158" t="s">
        <v>25</v>
      </c>
      <c r="O141" s="156">
        <f>SUM('案件．要員情報'!O142:X142)</f>
        <v>0</v>
      </c>
      <c r="P141" s="156">
        <f>SUM('案件．要員情報'!Y142:AH142)</f>
        <v>0</v>
      </c>
      <c r="Q141" s="156">
        <f>SUM('案件．要員情報'!AI142:AR142)</f>
        <v>0</v>
      </c>
      <c r="R141" s="156">
        <f>SUM('案件．要員情報'!AS142:BB142)</f>
        <v>0</v>
      </c>
      <c r="S141" s="156">
        <f>SUM('案件．要員情報'!BC142:BL142)</f>
        <v>0</v>
      </c>
      <c r="T141" s="156">
        <f>SUM('案件．要員情報'!BM142:BV142)</f>
        <v>0</v>
      </c>
      <c r="U141" s="156">
        <f>SUM('案件．要員情報'!BW142:CF142)</f>
        <v>0</v>
      </c>
      <c r="V141" s="156">
        <f>SUM('案件．要員情報'!CG142:CP142)</f>
        <v>0</v>
      </c>
      <c r="W141" s="156">
        <f>SUM('案件．要員情報'!CQ142:CW142)</f>
        <v>0</v>
      </c>
      <c r="X141" s="156">
        <f>SUM('案件．要員情報'!CX142:DD142)</f>
        <v>0</v>
      </c>
      <c r="Y141" s="156">
        <f>SUM('案件．要員情報'!DE142:DK142)</f>
        <v>0</v>
      </c>
      <c r="Z141" s="156">
        <f>SUM('案件．要員情報'!DL142:DS142)</f>
        <v>0</v>
      </c>
      <c r="AA141" s="159">
        <f t="shared" si="5"/>
        <v>0</v>
      </c>
    </row>
    <row r="142" spans="1:27" s="154" customFormat="1" ht="20.100000000000001" hidden="1" customHeight="1" outlineLevel="1" x14ac:dyDescent="0.4">
      <c r="A142" s="345">
        <v>69</v>
      </c>
      <c r="B142" s="347" t="s">
        <v>45</v>
      </c>
      <c r="C142" s="347" t="s">
        <v>346</v>
      </c>
      <c r="D142" s="349"/>
      <c r="E142" s="349"/>
      <c r="F142" s="349"/>
      <c r="G142" s="351"/>
      <c r="H142" s="351"/>
      <c r="I142" s="351"/>
      <c r="J142" s="351"/>
      <c r="K142" s="351"/>
      <c r="L142" s="351"/>
      <c r="M142" s="351"/>
      <c r="N142" s="157" t="s">
        <v>24</v>
      </c>
      <c r="O142" s="153">
        <f>SUM('案件．要員情報'!O143:X143)</f>
        <v>0</v>
      </c>
      <c r="P142" s="153">
        <f>SUM('案件．要員情報'!Y143:AH143)</f>
        <v>0</v>
      </c>
      <c r="Q142" s="153">
        <f>SUM('案件．要員情報'!AI143:AR143)</f>
        <v>0</v>
      </c>
      <c r="R142" s="153">
        <f>SUM('案件．要員情報'!AS143:BB143)</f>
        <v>0</v>
      </c>
      <c r="S142" s="153">
        <f>SUM('案件．要員情報'!BC143:BL143)</f>
        <v>0</v>
      </c>
      <c r="T142" s="153">
        <f>SUM('案件．要員情報'!BM143:BV143)</f>
        <v>0</v>
      </c>
      <c r="U142" s="153">
        <f>SUM('案件．要員情報'!BW143:CF143)</f>
        <v>0</v>
      </c>
      <c r="V142" s="153">
        <f>SUM('案件．要員情報'!CG143:CP143)</f>
        <v>0</v>
      </c>
      <c r="W142" s="153">
        <f>SUM('案件．要員情報'!CQ143:CW143)</f>
        <v>0</v>
      </c>
      <c r="X142" s="153">
        <f>SUM('案件．要員情報'!CX143:DD143)</f>
        <v>0</v>
      </c>
      <c r="Y142" s="153">
        <f>SUM('案件．要員情報'!DE143:DK143)</f>
        <v>0</v>
      </c>
      <c r="Z142" s="153">
        <f>SUM('案件．要員情報'!DL143:DS143)</f>
        <v>0</v>
      </c>
      <c r="AA142" s="215">
        <f t="shared" si="5"/>
        <v>0</v>
      </c>
    </row>
    <row r="143" spans="1:27" s="154" customFormat="1" ht="20.100000000000001" hidden="1" customHeight="1" outlineLevel="1" x14ac:dyDescent="0.4">
      <c r="A143" s="346"/>
      <c r="B143" s="348"/>
      <c r="C143" s="348"/>
      <c r="D143" s="350"/>
      <c r="E143" s="350"/>
      <c r="F143" s="350"/>
      <c r="G143" s="352"/>
      <c r="H143" s="352"/>
      <c r="I143" s="352"/>
      <c r="J143" s="352"/>
      <c r="K143" s="352"/>
      <c r="L143" s="352"/>
      <c r="M143" s="352"/>
      <c r="N143" s="158" t="s">
        <v>25</v>
      </c>
      <c r="O143" s="156">
        <f>SUM('案件．要員情報'!O144:X144)</f>
        <v>0</v>
      </c>
      <c r="P143" s="156">
        <f>SUM('案件．要員情報'!Y144:AH144)</f>
        <v>0</v>
      </c>
      <c r="Q143" s="156">
        <f>SUM('案件．要員情報'!AI144:AR144)</f>
        <v>0</v>
      </c>
      <c r="R143" s="156">
        <f>SUM('案件．要員情報'!AS144:BB144)</f>
        <v>0</v>
      </c>
      <c r="S143" s="156">
        <f>SUM('案件．要員情報'!BC144:BL144)</f>
        <v>0</v>
      </c>
      <c r="T143" s="156">
        <f>SUM('案件．要員情報'!BM144:BV144)</f>
        <v>0</v>
      </c>
      <c r="U143" s="156">
        <f>SUM('案件．要員情報'!BW144:CF144)</f>
        <v>0</v>
      </c>
      <c r="V143" s="156">
        <f>SUM('案件．要員情報'!CG144:CP144)</f>
        <v>0</v>
      </c>
      <c r="W143" s="156">
        <f>SUM('案件．要員情報'!CQ144:CW144)</f>
        <v>0</v>
      </c>
      <c r="X143" s="156">
        <f>SUM('案件．要員情報'!CX144:DD144)</f>
        <v>0</v>
      </c>
      <c r="Y143" s="156">
        <f>SUM('案件．要員情報'!DE144:DK144)</f>
        <v>0</v>
      </c>
      <c r="Z143" s="156">
        <f>SUM('案件．要員情報'!DL144:DS144)</f>
        <v>0</v>
      </c>
      <c r="AA143" s="159">
        <f t="shared" si="5"/>
        <v>0</v>
      </c>
    </row>
    <row r="144" spans="1:27" s="154" customFormat="1" ht="20.100000000000001" hidden="1" customHeight="1" outlineLevel="1" x14ac:dyDescent="0.4">
      <c r="A144" s="345">
        <v>70</v>
      </c>
      <c r="B144" s="347" t="s">
        <v>45</v>
      </c>
      <c r="C144" s="347" t="s">
        <v>346</v>
      </c>
      <c r="D144" s="349"/>
      <c r="E144" s="349"/>
      <c r="F144" s="349"/>
      <c r="G144" s="351"/>
      <c r="H144" s="351"/>
      <c r="I144" s="351"/>
      <c r="J144" s="351"/>
      <c r="K144" s="351"/>
      <c r="L144" s="351"/>
      <c r="M144" s="351"/>
      <c r="N144" s="157" t="s">
        <v>24</v>
      </c>
      <c r="O144" s="153">
        <f>SUM('案件．要員情報'!O145:X145)</f>
        <v>0</v>
      </c>
      <c r="P144" s="153">
        <f>SUM('案件．要員情報'!Y145:AH145)</f>
        <v>0</v>
      </c>
      <c r="Q144" s="153">
        <f>SUM('案件．要員情報'!AI145:AR145)</f>
        <v>0</v>
      </c>
      <c r="R144" s="153">
        <f>SUM('案件．要員情報'!AS145:BB145)</f>
        <v>0</v>
      </c>
      <c r="S144" s="153">
        <f>SUM('案件．要員情報'!BC145:BL145)</f>
        <v>0</v>
      </c>
      <c r="T144" s="153">
        <f>SUM('案件．要員情報'!BM145:BV145)</f>
        <v>0</v>
      </c>
      <c r="U144" s="153">
        <f>SUM('案件．要員情報'!BW145:CF145)</f>
        <v>0</v>
      </c>
      <c r="V144" s="153">
        <f>SUM('案件．要員情報'!CG145:CP145)</f>
        <v>0</v>
      </c>
      <c r="W144" s="153">
        <f>SUM('案件．要員情報'!CQ145:CW145)</f>
        <v>0</v>
      </c>
      <c r="X144" s="153">
        <f>SUM('案件．要員情報'!CX145:DD145)</f>
        <v>0</v>
      </c>
      <c r="Y144" s="153">
        <f>SUM('案件．要員情報'!DE145:DK145)</f>
        <v>0</v>
      </c>
      <c r="Z144" s="153">
        <f>SUM('案件．要員情報'!DL145:DS145)</f>
        <v>0</v>
      </c>
      <c r="AA144" s="215">
        <f t="shared" si="5"/>
        <v>0</v>
      </c>
    </row>
    <row r="145" spans="1:27" s="154" customFormat="1" ht="20.100000000000001" hidden="1" customHeight="1" outlineLevel="1" x14ac:dyDescent="0.4">
      <c r="A145" s="346"/>
      <c r="B145" s="348"/>
      <c r="C145" s="348"/>
      <c r="D145" s="350"/>
      <c r="E145" s="350"/>
      <c r="F145" s="350"/>
      <c r="G145" s="352"/>
      <c r="H145" s="352"/>
      <c r="I145" s="352"/>
      <c r="J145" s="352"/>
      <c r="K145" s="352"/>
      <c r="L145" s="352"/>
      <c r="M145" s="352"/>
      <c r="N145" s="158" t="s">
        <v>25</v>
      </c>
      <c r="O145" s="156">
        <f>SUM('案件．要員情報'!O146:X146)</f>
        <v>0</v>
      </c>
      <c r="P145" s="156">
        <f>SUM('案件．要員情報'!Y146:AH146)</f>
        <v>0</v>
      </c>
      <c r="Q145" s="156">
        <f>SUM('案件．要員情報'!AI146:AR146)</f>
        <v>0</v>
      </c>
      <c r="R145" s="156">
        <f>SUM('案件．要員情報'!AS146:BB146)</f>
        <v>0</v>
      </c>
      <c r="S145" s="156">
        <f>SUM('案件．要員情報'!BC146:BL146)</f>
        <v>0</v>
      </c>
      <c r="T145" s="156">
        <f>SUM('案件．要員情報'!BM146:BV146)</f>
        <v>0</v>
      </c>
      <c r="U145" s="156">
        <f>SUM('案件．要員情報'!BW146:CF146)</f>
        <v>0</v>
      </c>
      <c r="V145" s="156">
        <f>SUM('案件．要員情報'!CG146:CP146)</f>
        <v>0</v>
      </c>
      <c r="W145" s="156">
        <f>SUM('案件．要員情報'!CQ146:CW146)</f>
        <v>0</v>
      </c>
      <c r="X145" s="156">
        <f>SUM('案件．要員情報'!CX146:DD146)</f>
        <v>0</v>
      </c>
      <c r="Y145" s="156">
        <f>SUM('案件．要員情報'!DE146:DK146)</f>
        <v>0</v>
      </c>
      <c r="Z145" s="156">
        <f>SUM('案件．要員情報'!DL146:DS146)</f>
        <v>0</v>
      </c>
      <c r="AA145" s="159">
        <f t="shared" si="5"/>
        <v>0</v>
      </c>
    </row>
    <row r="146" spans="1:27" s="154" customFormat="1" ht="20.100000000000001" hidden="1" customHeight="1" outlineLevel="1" x14ac:dyDescent="0.4">
      <c r="A146" s="345">
        <v>71</v>
      </c>
      <c r="B146" s="347" t="s">
        <v>45</v>
      </c>
      <c r="C146" s="347" t="s">
        <v>346</v>
      </c>
      <c r="D146" s="349"/>
      <c r="E146" s="349"/>
      <c r="F146" s="349"/>
      <c r="G146" s="351"/>
      <c r="H146" s="351"/>
      <c r="I146" s="351"/>
      <c r="J146" s="351"/>
      <c r="K146" s="351"/>
      <c r="L146" s="351"/>
      <c r="M146" s="351"/>
      <c r="N146" s="157" t="s">
        <v>24</v>
      </c>
      <c r="O146" s="153">
        <f>SUM('案件．要員情報'!O147:X147)</f>
        <v>0</v>
      </c>
      <c r="P146" s="153">
        <f>SUM('案件．要員情報'!Y147:AH147)</f>
        <v>0</v>
      </c>
      <c r="Q146" s="153">
        <f>SUM('案件．要員情報'!AI147:AR147)</f>
        <v>0</v>
      </c>
      <c r="R146" s="153">
        <f>SUM('案件．要員情報'!AS147:BB147)</f>
        <v>0</v>
      </c>
      <c r="S146" s="153">
        <f>SUM('案件．要員情報'!BC147:BL147)</f>
        <v>0</v>
      </c>
      <c r="T146" s="153">
        <f>SUM('案件．要員情報'!BM147:BV147)</f>
        <v>0</v>
      </c>
      <c r="U146" s="153">
        <f>SUM('案件．要員情報'!BW147:CF147)</f>
        <v>0</v>
      </c>
      <c r="V146" s="153">
        <f>SUM('案件．要員情報'!CG147:CP147)</f>
        <v>0</v>
      </c>
      <c r="W146" s="153">
        <f>SUM('案件．要員情報'!CQ147:CW147)</f>
        <v>0</v>
      </c>
      <c r="X146" s="153">
        <f>SUM('案件．要員情報'!CX147:DD147)</f>
        <v>0</v>
      </c>
      <c r="Y146" s="153">
        <f>SUM('案件．要員情報'!DE147:DK147)</f>
        <v>0</v>
      </c>
      <c r="Z146" s="153">
        <f>SUM('案件．要員情報'!DL147:DS147)</f>
        <v>0</v>
      </c>
      <c r="AA146" s="215">
        <f t="shared" si="5"/>
        <v>0</v>
      </c>
    </row>
    <row r="147" spans="1:27" s="154" customFormat="1" ht="20.100000000000001" hidden="1" customHeight="1" outlineLevel="1" x14ac:dyDescent="0.4">
      <c r="A147" s="346"/>
      <c r="B147" s="348"/>
      <c r="C147" s="348"/>
      <c r="D147" s="350"/>
      <c r="E147" s="350"/>
      <c r="F147" s="350"/>
      <c r="G147" s="352"/>
      <c r="H147" s="352"/>
      <c r="I147" s="352"/>
      <c r="J147" s="352"/>
      <c r="K147" s="352"/>
      <c r="L147" s="352"/>
      <c r="M147" s="352"/>
      <c r="N147" s="158" t="s">
        <v>25</v>
      </c>
      <c r="O147" s="156">
        <f>SUM('案件．要員情報'!O148:X148)</f>
        <v>0</v>
      </c>
      <c r="P147" s="156">
        <f>SUM('案件．要員情報'!Y148:AH148)</f>
        <v>0</v>
      </c>
      <c r="Q147" s="156">
        <f>SUM('案件．要員情報'!AI148:AR148)</f>
        <v>0</v>
      </c>
      <c r="R147" s="156">
        <f>SUM('案件．要員情報'!AS148:BB148)</f>
        <v>0</v>
      </c>
      <c r="S147" s="156">
        <f>SUM('案件．要員情報'!BC148:BL148)</f>
        <v>0</v>
      </c>
      <c r="T147" s="156">
        <f>SUM('案件．要員情報'!BM148:BV148)</f>
        <v>0</v>
      </c>
      <c r="U147" s="156">
        <f>SUM('案件．要員情報'!BW148:CF148)</f>
        <v>0</v>
      </c>
      <c r="V147" s="156">
        <f>SUM('案件．要員情報'!CG148:CP148)</f>
        <v>0</v>
      </c>
      <c r="W147" s="156">
        <f>SUM('案件．要員情報'!CQ148:CW148)</f>
        <v>0</v>
      </c>
      <c r="X147" s="156">
        <f>SUM('案件．要員情報'!CX148:DD148)</f>
        <v>0</v>
      </c>
      <c r="Y147" s="156">
        <f>SUM('案件．要員情報'!DE148:DK148)</f>
        <v>0</v>
      </c>
      <c r="Z147" s="156">
        <f>SUM('案件．要員情報'!DL148:DS148)</f>
        <v>0</v>
      </c>
      <c r="AA147" s="159">
        <f t="shared" si="5"/>
        <v>0</v>
      </c>
    </row>
    <row r="148" spans="1:27" s="154" customFormat="1" ht="20.100000000000001" hidden="1" customHeight="1" outlineLevel="1" x14ac:dyDescent="0.4">
      <c r="A148" s="345">
        <v>72</v>
      </c>
      <c r="B148" s="347" t="s">
        <v>45</v>
      </c>
      <c r="C148" s="347" t="s">
        <v>346</v>
      </c>
      <c r="D148" s="349"/>
      <c r="E148" s="349"/>
      <c r="F148" s="349"/>
      <c r="G148" s="351"/>
      <c r="H148" s="351"/>
      <c r="I148" s="351"/>
      <c r="J148" s="351"/>
      <c r="K148" s="351"/>
      <c r="L148" s="351"/>
      <c r="M148" s="351"/>
      <c r="N148" s="157" t="s">
        <v>24</v>
      </c>
      <c r="O148" s="153">
        <f>SUM('案件．要員情報'!O149:X149)</f>
        <v>0</v>
      </c>
      <c r="P148" s="153">
        <f>SUM('案件．要員情報'!Y149:AH149)</f>
        <v>0</v>
      </c>
      <c r="Q148" s="153">
        <f>SUM('案件．要員情報'!AI149:AR149)</f>
        <v>0</v>
      </c>
      <c r="R148" s="153">
        <f>SUM('案件．要員情報'!AS149:BB149)</f>
        <v>0</v>
      </c>
      <c r="S148" s="153">
        <f>SUM('案件．要員情報'!BC149:BL149)</f>
        <v>0</v>
      </c>
      <c r="T148" s="153">
        <f>SUM('案件．要員情報'!BM149:BV149)</f>
        <v>0</v>
      </c>
      <c r="U148" s="153">
        <f>SUM('案件．要員情報'!BW149:CF149)</f>
        <v>0</v>
      </c>
      <c r="V148" s="153">
        <f>SUM('案件．要員情報'!CG149:CP149)</f>
        <v>0</v>
      </c>
      <c r="W148" s="153">
        <f>SUM('案件．要員情報'!CQ149:CW149)</f>
        <v>0</v>
      </c>
      <c r="X148" s="153">
        <f>SUM('案件．要員情報'!CX149:DD149)</f>
        <v>0</v>
      </c>
      <c r="Y148" s="153">
        <f>SUM('案件．要員情報'!DE149:DK149)</f>
        <v>0</v>
      </c>
      <c r="Z148" s="153">
        <f>SUM('案件．要員情報'!DL149:DS149)</f>
        <v>0</v>
      </c>
      <c r="AA148" s="215">
        <f t="shared" si="5"/>
        <v>0</v>
      </c>
    </row>
    <row r="149" spans="1:27" s="154" customFormat="1" ht="20.100000000000001" hidden="1" customHeight="1" outlineLevel="1" x14ac:dyDescent="0.4">
      <c r="A149" s="346"/>
      <c r="B149" s="348"/>
      <c r="C149" s="348"/>
      <c r="D149" s="350"/>
      <c r="E149" s="350"/>
      <c r="F149" s="350"/>
      <c r="G149" s="352"/>
      <c r="H149" s="352"/>
      <c r="I149" s="352"/>
      <c r="J149" s="352"/>
      <c r="K149" s="352"/>
      <c r="L149" s="352"/>
      <c r="M149" s="352"/>
      <c r="N149" s="158" t="s">
        <v>25</v>
      </c>
      <c r="O149" s="156">
        <f>SUM('案件．要員情報'!O150:X150)</f>
        <v>0</v>
      </c>
      <c r="P149" s="156">
        <f>SUM('案件．要員情報'!Y150:AH150)</f>
        <v>0</v>
      </c>
      <c r="Q149" s="156">
        <f>SUM('案件．要員情報'!AI150:AR150)</f>
        <v>0</v>
      </c>
      <c r="R149" s="156">
        <f>SUM('案件．要員情報'!AS150:BB150)</f>
        <v>0</v>
      </c>
      <c r="S149" s="156">
        <f>SUM('案件．要員情報'!BC150:BL150)</f>
        <v>0</v>
      </c>
      <c r="T149" s="156">
        <f>SUM('案件．要員情報'!BM150:BV150)</f>
        <v>0</v>
      </c>
      <c r="U149" s="156">
        <f>SUM('案件．要員情報'!BW150:CF150)</f>
        <v>0</v>
      </c>
      <c r="V149" s="156">
        <f>SUM('案件．要員情報'!CG150:CP150)</f>
        <v>0</v>
      </c>
      <c r="W149" s="156">
        <f>SUM('案件．要員情報'!CQ150:CW150)</f>
        <v>0</v>
      </c>
      <c r="X149" s="156">
        <f>SUM('案件．要員情報'!CX150:DD150)</f>
        <v>0</v>
      </c>
      <c r="Y149" s="156">
        <f>SUM('案件．要員情報'!DE150:DK150)</f>
        <v>0</v>
      </c>
      <c r="Z149" s="156">
        <f>SUM('案件．要員情報'!DL150:DS150)</f>
        <v>0</v>
      </c>
      <c r="AA149" s="159">
        <f t="shared" si="5"/>
        <v>0</v>
      </c>
    </row>
    <row r="150" spans="1:27" s="154" customFormat="1" ht="20.100000000000001" hidden="1" customHeight="1" outlineLevel="1" x14ac:dyDescent="0.4">
      <c r="A150" s="345">
        <v>73</v>
      </c>
      <c r="B150" s="347" t="s">
        <v>45</v>
      </c>
      <c r="C150" s="347" t="s">
        <v>346</v>
      </c>
      <c r="D150" s="349"/>
      <c r="E150" s="349"/>
      <c r="F150" s="349"/>
      <c r="G150" s="351"/>
      <c r="H150" s="351"/>
      <c r="I150" s="351"/>
      <c r="J150" s="351"/>
      <c r="K150" s="351"/>
      <c r="L150" s="351"/>
      <c r="M150" s="351"/>
      <c r="N150" s="157" t="s">
        <v>24</v>
      </c>
      <c r="O150" s="153">
        <f>SUM('案件．要員情報'!O151:X151)</f>
        <v>0</v>
      </c>
      <c r="P150" s="153">
        <f>SUM('案件．要員情報'!Y151:AH151)</f>
        <v>0</v>
      </c>
      <c r="Q150" s="153">
        <f>SUM('案件．要員情報'!AI151:AR151)</f>
        <v>0</v>
      </c>
      <c r="R150" s="153">
        <f>SUM('案件．要員情報'!AS151:BB151)</f>
        <v>0</v>
      </c>
      <c r="S150" s="153">
        <f>SUM('案件．要員情報'!BC151:BL151)</f>
        <v>0</v>
      </c>
      <c r="T150" s="153">
        <f>SUM('案件．要員情報'!BM151:BV151)</f>
        <v>0</v>
      </c>
      <c r="U150" s="153">
        <f>SUM('案件．要員情報'!BW151:CF151)</f>
        <v>0</v>
      </c>
      <c r="V150" s="153">
        <f>SUM('案件．要員情報'!CG151:CP151)</f>
        <v>0</v>
      </c>
      <c r="W150" s="153">
        <f>SUM('案件．要員情報'!CQ151:CW151)</f>
        <v>0</v>
      </c>
      <c r="X150" s="153">
        <f>SUM('案件．要員情報'!CX151:DD151)</f>
        <v>0</v>
      </c>
      <c r="Y150" s="153">
        <f>SUM('案件．要員情報'!DE151:DK151)</f>
        <v>0</v>
      </c>
      <c r="Z150" s="153">
        <f>SUM('案件．要員情報'!DL151:DS151)</f>
        <v>0</v>
      </c>
      <c r="AA150" s="215">
        <f t="shared" si="5"/>
        <v>0</v>
      </c>
    </row>
    <row r="151" spans="1:27" s="154" customFormat="1" ht="20.100000000000001" hidden="1" customHeight="1" outlineLevel="1" x14ac:dyDescent="0.4">
      <c r="A151" s="346"/>
      <c r="B151" s="348"/>
      <c r="C151" s="348"/>
      <c r="D151" s="350"/>
      <c r="E151" s="350"/>
      <c r="F151" s="350"/>
      <c r="G151" s="352"/>
      <c r="H151" s="352"/>
      <c r="I151" s="352"/>
      <c r="J151" s="352"/>
      <c r="K151" s="352"/>
      <c r="L151" s="352"/>
      <c r="M151" s="352"/>
      <c r="N151" s="158" t="s">
        <v>25</v>
      </c>
      <c r="O151" s="156">
        <f>SUM('案件．要員情報'!O152:X152)</f>
        <v>0</v>
      </c>
      <c r="P151" s="156">
        <f>SUM('案件．要員情報'!Y152:AH152)</f>
        <v>0</v>
      </c>
      <c r="Q151" s="156">
        <f>SUM('案件．要員情報'!AI152:AR152)</f>
        <v>0</v>
      </c>
      <c r="R151" s="156">
        <f>SUM('案件．要員情報'!AS152:BB152)</f>
        <v>0</v>
      </c>
      <c r="S151" s="156">
        <f>SUM('案件．要員情報'!BC152:BL152)</f>
        <v>0</v>
      </c>
      <c r="T151" s="156">
        <f>SUM('案件．要員情報'!BM152:BV152)</f>
        <v>0</v>
      </c>
      <c r="U151" s="156">
        <f>SUM('案件．要員情報'!BW152:CF152)</f>
        <v>0</v>
      </c>
      <c r="V151" s="156">
        <f>SUM('案件．要員情報'!CG152:CP152)</f>
        <v>0</v>
      </c>
      <c r="W151" s="156">
        <f>SUM('案件．要員情報'!CQ152:CW152)</f>
        <v>0</v>
      </c>
      <c r="X151" s="156">
        <f>SUM('案件．要員情報'!CX152:DD152)</f>
        <v>0</v>
      </c>
      <c r="Y151" s="156">
        <f>SUM('案件．要員情報'!DE152:DK152)</f>
        <v>0</v>
      </c>
      <c r="Z151" s="156">
        <f>SUM('案件．要員情報'!DL152:DS152)</f>
        <v>0</v>
      </c>
      <c r="AA151" s="159">
        <f t="shared" si="5"/>
        <v>0</v>
      </c>
    </row>
    <row r="152" spans="1:27" s="154" customFormat="1" ht="20.100000000000001" hidden="1" customHeight="1" outlineLevel="1" x14ac:dyDescent="0.4">
      <c r="A152" s="345">
        <v>74</v>
      </c>
      <c r="B152" s="347" t="s">
        <v>45</v>
      </c>
      <c r="C152" s="347" t="s">
        <v>346</v>
      </c>
      <c r="D152" s="349"/>
      <c r="E152" s="349"/>
      <c r="F152" s="349"/>
      <c r="G152" s="351"/>
      <c r="H152" s="351"/>
      <c r="I152" s="351"/>
      <c r="J152" s="351"/>
      <c r="K152" s="351"/>
      <c r="L152" s="351"/>
      <c r="M152" s="351"/>
      <c r="N152" s="157" t="s">
        <v>24</v>
      </c>
      <c r="O152" s="153">
        <f>SUM('案件．要員情報'!O153:X153)</f>
        <v>0</v>
      </c>
      <c r="P152" s="153">
        <f>SUM('案件．要員情報'!Y153:AH153)</f>
        <v>0</v>
      </c>
      <c r="Q152" s="153">
        <f>SUM('案件．要員情報'!AI153:AR153)</f>
        <v>0</v>
      </c>
      <c r="R152" s="153">
        <f>SUM('案件．要員情報'!AS153:BB153)</f>
        <v>0</v>
      </c>
      <c r="S152" s="153">
        <f>SUM('案件．要員情報'!BC153:BL153)</f>
        <v>0</v>
      </c>
      <c r="T152" s="153">
        <f>SUM('案件．要員情報'!BM153:BV153)</f>
        <v>0</v>
      </c>
      <c r="U152" s="153">
        <f>SUM('案件．要員情報'!BW153:CF153)</f>
        <v>0</v>
      </c>
      <c r="V152" s="153">
        <f>SUM('案件．要員情報'!CG153:CP153)</f>
        <v>0</v>
      </c>
      <c r="W152" s="153">
        <f>SUM('案件．要員情報'!CQ153:CW153)</f>
        <v>0</v>
      </c>
      <c r="X152" s="153">
        <f>SUM('案件．要員情報'!CX153:DD153)</f>
        <v>0</v>
      </c>
      <c r="Y152" s="153">
        <f>SUM('案件．要員情報'!DE153:DK153)</f>
        <v>0</v>
      </c>
      <c r="Z152" s="153">
        <f>SUM('案件．要員情報'!DL153:DS153)</f>
        <v>0</v>
      </c>
      <c r="AA152" s="215">
        <f t="shared" si="5"/>
        <v>0</v>
      </c>
    </row>
    <row r="153" spans="1:27" s="154" customFormat="1" ht="20.100000000000001" hidden="1" customHeight="1" outlineLevel="1" x14ac:dyDescent="0.4">
      <c r="A153" s="346"/>
      <c r="B153" s="348"/>
      <c r="C153" s="348"/>
      <c r="D153" s="350"/>
      <c r="E153" s="350"/>
      <c r="F153" s="350"/>
      <c r="G153" s="352"/>
      <c r="H153" s="352"/>
      <c r="I153" s="352"/>
      <c r="J153" s="352"/>
      <c r="K153" s="352"/>
      <c r="L153" s="352"/>
      <c r="M153" s="352"/>
      <c r="N153" s="158" t="s">
        <v>25</v>
      </c>
      <c r="O153" s="156">
        <f>SUM('案件．要員情報'!O154:X154)</f>
        <v>0</v>
      </c>
      <c r="P153" s="156">
        <f>SUM('案件．要員情報'!Y154:AH154)</f>
        <v>0</v>
      </c>
      <c r="Q153" s="156">
        <f>SUM('案件．要員情報'!AI154:AR154)</f>
        <v>0</v>
      </c>
      <c r="R153" s="156">
        <f>SUM('案件．要員情報'!AS154:BB154)</f>
        <v>0</v>
      </c>
      <c r="S153" s="156">
        <f>SUM('案件．要員情報'!BC154:BL154)</f>
        <v>0</v>
      </c>
      <c r="T153" s="156">
        <f>SUM('案件．要員情報'!BM154:BV154)</f>
        <v>0</v>
      </c>
      <c r="U153" s="156">
        <f>SUM('案件．要員情報'!BW154:CF154)</f>
        <v>0</v>
      </c>
      <c r="V153" s="156">
        <f>SUM('案件．要員情報'!CG154:CP154)</f>
        <v>0</v>
      </c>
      <c r="W153" s="156">
        <f>SUM('案件．要員情報'!CQ154:CW154)</f>
        <v>0</v>
      </c>
      <c r="X153" s="156">
        <f>SUM('案件．要員情報'!CX154:DD154)</f>
        <v>0</v>
      </c>
      <c r="Y153" s="156">
        <f>SUM('案件．要員情報'!DE154:DK154)</f>
        <v>0</v>
      </c>
      <c r="Z153" s="156">
        <f>SUM('案件．要員情報'!DL154:DS154)</f>
        <v>0</v>
      </c>
      <c r="AA153" s="159">
        <f t="shared" si="5"/>
        <v>0</v>
      </c>
    </row>
    <row r="154" spans="1:27" s="154" customFormat="1" ht="20.100000000000001" hidden="1" customHeight="1" outlineLevel="1" x14ac:dyDescent="0.4">
      <c r="A154" s="345">
        <v>75</v>
      </c>
      <c r="B154" s="347" t="s">
        <v>45</v>
      </c>
      <c r="C154" s="347" t="s">
        <v>346</v>
      </c>
      <c r="D154" s="349"/>
      <c r="E154" s="349"/>
      <c r="F154" s="349"/>
      <c r="G154" s="351"/>
      <c r="H154" s="351"/>
      <c r="I154" s="351"/>
      <c r="J154" s="351"/>
      <c r="K154" s="351"/>
      <c r="L154" s="351"/>
      <c r="M154" s="351"/>
      <c r="N154" s="157" t="s">
        <v>24</v>
      </c>
      <c r="O154" s="153">
        <f>SUM('案件．要員情報'!O155:X155)</f>
        <v>0</v>
      </c>
      <c r="P154" s="153">
        <f>SUM('案件．要員情報'!Y155:AH155)</f>
        <v>0</v>
      </c>
      <c r="Q154" s="153">
        <f>SUM('案件．要員情報'!AI155:AR155)</f>
        <v>0</v>
      </c>
      <c r="R154" s="153">
        <f>SUM('案件．要員情報'!AS155:BB155)</f>
        <v>0</v>
      </c>
      <c r="S154" s="153">
        <f>SUM('案件．要員情報'!BC155:BL155)</f>
        <v>0</v>
      </c>
      <c r="T154" s="153">
        <f>SUM('案件．要員情報'!BM155:BV155)</f>
        <v>0</v>
      </c>
      <c r="U154" s="153">
        <f>SUM('案件．要員情報'!BW155:CF155)</f>
        <v>0</v>
      </c>
      <c r="V154" s="153">
        <f>SUM('案件．要員情報'!CG155:CP155)</f>
        <v>0</v>
      </c>
      <c r="W154" s="153">
        <f>SUM('案件．要員情報'!CQ155:CW155)</f>
        <v>0</v>
      </c>
      <c r="X154" s="153">
        <f>SUM('案件．要員情報'!CX155:DD155)</f>
        <v>0</v>
      </c>
      <c r="Y154" s="153">
        <f>SUM('案件．要員情報'!DE155:DK155)</f>
        <v>0</v>
      </c>
      <c r="Z154" s="153">
        <f>SUM('案件．要員情報'!DL155:DS155)</f>
        <v>0</v>
      </c>
      <c r="AA154" s="215">
        <f t="shared" si="5"/>
        <v>0</v>
      </c>
    </row>
    <row r="155" spans="1:27" s="154" customFormat="1" ht="20.100000000000001" hidden="1" customHeight="1" outlineLevel="1" x14ac:dyDescent="0.4">
      <c r="A155" s="346"/>
      <c r="B155" s="348"/>
      <c r="C155" s="348"/>
      <c r="D155" s="350"/>
      <c r="E155" s="350"/>
      <c r="F155" s="350"/>
      <c r="G155" s="352"/>
      <c r="H155" s="352"/>
      <c r="I155" s="352"/>
      <c r="J155" s="352"/>
      <c r="K155" s="352"/>
      <c r="L155" s="352"/>
      <c r="M155" s="352"/>
      <c r="N155" s="158" t="s">
        <v>25</v>
      </c>
      <c r="O155" s="156">
        <f>SUM('案件．要員情報'!O156:X156)</f>
        <v>0</v>
      </c>
      <c r="P155" s="156">
        <f>SUM('案件．要員情報'!Y156:AH156)</f>
        <v>0</v>
      </c>
      <c r="Q155" s="156">
        <f>SUM('案件．要員情報'!AI156:AR156)</f>
        <v>0</v>
      </c>
      <c r="R155" s="156">
        <f>SUM('案件．要員情報'!AS156:BB156)</f>
        <v>0</v>
      </c>
      <c r="S155" s="156">
        <f>SUM('案件．要員情報'!BC156:BL156)</f>
        <v>0</v>
      </c>
      <c r="T155" s="156">
        <f>SUM('案件．要員情報'!BM156:BV156)</f>
        <v>0</v>
      </c>
      <c r="U155" s="156">
        <f>SUM('案件．要員情報'!BW156:CF156)</f>
        <v>0</v>
      </c>
      <c r="V155" s="156">
        <f>SUM('案件．要員情報'!CG156:CP156)</f>
        <v>0</v>
      </c>
      <c r="W155" s="156">
        <f>SUM('案件．要員情報'!CQ156:CW156)</f>
        <v>0</v>
      </c>
      <c r="X155" s="156">
        <f>SUM('案件．要員情報'!CX156:DD156)</f>
        <v>0</v>
      </c>
      <c r="Y155" s="156">
        <f>SUM('案件．要員情報'!DE156:DK156)</f>
        <v>0</v>
      </c>
      <c r="Z155" s="156">
        <f>SUM('案件．要員情報'!DL156:DS156)</f>
        <v>0</v>
      </c>
      <c r="AA155" s="159">
        <f t="shared" si="5"/>
        <v>0</v>
      </c>
    </row>
    <row r="156" spans="1:27" s="154" customFormat="1" ht="20.100000000000001" hidden="1" customHeight="1" outlineLevel="1" x14ac:dyDescent="0.4">
      <c r="A156" s="345">
        <v>76</v>
      </c>
      <c r="B156" s="347" t="s">
        <v>45</v>
      </c>
      <c r="C156" s="347" t="s">
        <v>346</v>
      </c>
      <c r="D156" s="349"/>
      <c r="E156" s="349"/>
      <c r="F156" s="349"/>
      <c r="G156" s="351"/>
      <c r="H156" s="351"/>
      <c r="I156" s="351"/>
      <c r="J156" s="351"/>
      <c r="K156" s="351"/>
      <c r="L156" s="351"/>
      <c r="M156" s="351"/>
      <c r="N156" s="157" t="s">
        <v>24</v>
      </c>
      <c r="O156" s="153">
        <f>SUM('案件．要員情報'!O157:X157)</f>
        <v>0</v>
      </c>
      <c r="P156" s="153">
        <f>SUM('案件．要員情報'!Y157:AH157)</f>
        <v>0</v>
      </c>
      <c r="Q156" s="153">
        <f>SUM('案件．要員情報'!AI157:AR157)</f>
        <v>0</v>
      </c>
      <c r="R156" s="153">
        <f>SUM('案件．要員情報'!AS157:BB157)</f>
        <v>0</v>
      </c>
      <c r="S156" s="153">
        <f>SUM('案件．要員情報'!BC157:BL157)</f>
        <v>0</v>
      </c>
      <c r="T156" s="153">
        <f>SUM('案件．要員情報'!BM157:BV157)</f>
        <v>0</v>
      </c>
      <c r="U156" s="153">
        <f>SUM('案件．要員情報'!BW157:CF157)</f>
        <v>0</v>
      </c>
      <c r="V156" s="153">
        <f>SUM('案件．要員情報'!CG157:CP157)</f>
        <v>0</v>
      </c>
      <c r="W156" s="153">
        <f>SUM('案件．要員情報'!CQ157:CW157)</f>
        <v>0</v>
      </c>
      <c r="X156" s="153">
        <f>SUM('案件．要員情報'!CX157:DD157)</f>
        <v>0</v>
      </c>
      <c r="Y156" s="153">
        <f>SUM('案件．要員情報'!DE157:DK157)</f>
        <v>0</v>
      </c>
      <c r="Z156" s="153">
        <f>SUM('案件．要員情報'!DL157:DS157)</f>
        <v>0</v>
      </c>
      <c r="AA156" s="215">
        <f t="shared" si="5"/>
        <v>0</v>
      </c>
    </row>
    <row r="157" spans="1:27" s="154" customFormat="1" ht="20.100000000000001" hidden="1" customHeight="1" outlineLevel="1" x14ac:dyDescent="0.4">
      <c r="A157" s="346"/>
      <c r="B157" s="348"/>
      <c r="C157" s="348"/>
      <c r="D157" s="350"/>
      <c r="E157" s="350"/>
      <c r="F157" s="350"/>
      <c r="G157" s="352"/>
      <c r="H157" s="352"/>
      <c r="I157" s="352"/>
      <c r="J157" s="352"/>
      <c r="K157" s="352"/>
      <c r="L157" s="352"/>
      <c r="M157" s="352"/>
      <c r="N157" s="158" t="s">
        <v>25</v>
      </c>
      <c r="O157" s="156">
        <f>SUM('案件．要員情報'!O158:X158)</f>
        <v>0</v>
      </c>
      <c r="P157" s="156">
        <f>SUM('案件．要員情報'!Y158:AH158)</f>
        <v>0</v>
      </c>
      <c r="Q157" s="156">
        <f>SUM('案件．要員情報'!AI158:AR158)</f>
        <v>0</v>
      </c>
      <c r="R157" s="156">
        <f>SUM('案件．要員情報'!AS158:BB158)</f>
        <v>0</v>
      </c>
      <c r="S157" s="156">
        <f>SUM('案件．要員情報'!BC158:BL158)</f>
        <v>0</v>
      </c>
      <c r="T157" s="156">
        <f>SUM('案件．要員情報'!BM158:BV158)</f>
        <v>0</v>
      </c>
      <c r="U157" s="156">
        <f>SUM('案件．要員情報'!BW158:CF158)</f>
        <v>0</v>
      </c>
      <c r="V157" s="156">
        <f>SUM('案件．要員情報'!CG158:CP158)</f>
        <v>0</v>
      </c>
      <c r="W157" s="156">
        <f>SUM('案件．要員情報'!CQ158:CW158)</f>
        <v>0</v>
      </c>
      <c r="X157" s="156">
        <f>SUM('案件．要員情報'!CX158:DD158)</f>
        <v>0</v>
      </c>
      <c r="Y157" s="156">
        <f>SUM('案件．要員情報'!DE158:DK158)</f>
        <v>0</v>
      </c>
      <c r="Z157" s="156">
        <f>SUM('案件．要員情報'!DL158:DS158)</f>
        <v>0</v>
      </c>
      <c r="AA157" s="159">
        <f t="shared" si="5"/>
        <v>0</v>
      </c>
    </row>
    <row r="158" spans="1:27" s="154" customFormat="1" ht="20.100000000000001" hidden="1" customHeight="1" outlineLevel="1" x14ac:dyDescent="0.4">
      <c r="A158" s="345">
        <v>77</v>
      </c>
      <c r="B158" s="347" t="s">
        <v>45</v>
      </c>
      <c r="C158" s="347" t="s">
        <v>346</v>
      </c>
      <c r="D158" s="349"/>
      <c r="E158" s="349"/>
      <c r="F158" s="349"/>
      <c r="G158" s="351"/>
      <c r="H158" s="351"/>
      <c r="I158" s="351"/>
      <c r="J158" s="351"/>
      <c r="K158" s="351"/>
      <c r="L158" s="351"/>
      <c r="M158" s="351"/>
      <c r="N158" s="157" t="s">
        <v>24</v>
      </c>
      <c r="O158" s="153">
        <f>SUM('案件．要員情報'!O159:X159)</f>
        <v>0</v>
      </c>
      <c r="P158" s="153">
        <f>SUM('案件．要員情報'!Y159:AH159)</f>
        <v>0</v>
      </c>
      <c r="Q158" s="153">
        <f>SUM('案件．要員情報'!AI159:AR159)</f>
        <v>0</v>
      </c>
      <c r="R158" s="153">
        <f>SUM('案件．要員情報'!AS159:BB159)</f>
        <v>0</v>
      </c>
      <c r="S158" s="153">
        <f>SUM('案件．要員情報'!BC159:BL159)</f>
        <v>0</v>
      </c>
      <c r="T158" s="153">
        <f>SUM('案件．要員情報'!BM159:BV159)</f>
        <v>0</v>
      </c>
      <c r="U158" s="153">
        <f>SUM('案件．要員情報'!BW159:CF159)</f>
        <v>0</v>
      </c>
      <c r="V158" s="153">
        <f>SUM('案件．要員情報'!CG159:CP159)</f>
        <v>0</v>
      </c>
      <c r="W158" s="153">
        <f>SUM('案件．要員情報'!CQ159:CW159)</f>
        <v>0</v>
      </c>
      <c r="X158" s="153">
        <f>SUM('案件．要員情報'!CX159:DD159)</f>
        <v>0</v>
      </c>
      <c r="Y158" s="153">
        <f>SUM('案件．要員情報'!DE159:DK159)</f>
        <v>0</v>
      </c>
      <c r="Z158" s="153">
        <f>SUM('案件．要員情報'!DL159:DS159)</f>
        <v>0</v>
      </c>
      <c r="AA158" s="215">
        <f t="shared" si="5"/>
        <v>0</v>
      </c>
    </row>
    <row r="159" spans="1:27" s="154" customFormat="1" ht="20.100000000000001" hidden="1" customHeight="1" outlineLevel="1" x14ac:dyDescent="0.4">
      <c r="A159" s="346"/>
      <c r="B159" s="348"/>
      <c r="C159" s="348"/>
      <c r="D159" s="350"/>
      <c r="E159" s="350"/>
      <c r="F159" s="350"/>
      <c r="G159" s="352"/>
      <c r="H159" s="352"/>
      <c r="I159" s="352"/>
      <c r="J159" s="352"/>
      <c r="K159" s="352"/>
      <c r="L159" s="352"/>
      <c r="M159" s="352"/>
      <c r="N159" s="158" t="s">
        <v>25</v>
      </c>
      <c r="O159" s="156">
        <f>SUM('案件．要員情報'!O160:X160)</f>
        <v>0</v>
      </c>
      <c r="P159" s="156">
        <f>SUM('案件．要員情報'!Y160:AH160)</f>
        <v>0</v>
      </c>
      <c r="Q159" s="156">
        <f>SUM('案件．要員情報'!AI160:AR160)</f>
        <v>0</v>
      </c>
      <c r="R159" s="156">
        <f>SUM('案件．要員情報'!AS160:BB160)</f>
        <v>0</v>
      </c>
      <c r="S159" s="156">
        <f>SUM('案件．要員情報'!BC160:BL160)</f>
        <v>0</v>
      </c>
      <c r="T159" s="156">
        <f>SUM('案件．要員情報'!BM160:BV160)</f>
        <v>0</v>
      </c>
      <c r="U159" s="156">
        <f>SUM('案件．要員情報'!BW160:CF160)</f>
        <v>0</v>
      </c>
      <c r="V159" s="156">
        <f>SUM('案件．要員情報'!CG160:CP160)</f>
        <v>0</v>
      </c>
      <c r="W159" s="156">
        <f>SUM('案件．要員情報'!CQ160:CW160)</f>
        <v>0</v>
      </c>
      <c r="X159" s="156">
        <f>SUM('案件．要員情報'!CX160:DD160)</f>
        <v>0</v>
      </c>
      <c r="Y159" s="156">
        <f>SUM('案件．要員情報'!DE160:DK160)</f>
        <v>0</v>
      </c>
      <c r="Z159" s="156">
        <f>SUM('案件．要員情報'!DL160:DS160)</f>
        <v>0</v>
      </c>
      <c r="AA159" s="159">
        <f t="shared" si="5"/>
        <v>0</v>
      </c>
    </row>
    <row r="160" spans="1:27" s="154" customFormat="1" ht="20.100000000000001" hidden="1" customHeight="1" outlineLevel="1" x14ac:dyDescent="0.4">
      <c r="A160" s="345">
        <v>78</v>
      </c>
      <c r="B160" s="347" t="s">
        <v>45</v>
      </c>
      <c r="C160" s="347" t="s">
        <v>346</v>
      </c>
      <c r="D160" s="349"/>
      <c r="E160" s="349"/>
      <c r="F160" s="349"/>
      <c r="G160" s="351"/>
      <c r="H160" s="351"/>
      <c r="I160" s="351"/>
      <c r="J160" s="351"/>
      <c r="K160" s="351"/>
      <c r="L160" s="351"/>
      <c r="M160" s="351"/>
      <c r="N160" s="157" t="s">
        <v>24</v>
      </c>
      <c r="O160" s="153">
        <f>SUM('案件．要員情報'!O161:X161)</f>
        <v>0</v>
      </c>
      <c r="P160" s="153">
        <f>SUM('案件．要員情報'!Y161:AH161)</f>
        <v>0</v>
      </c>
      <c r="Q160" s="153">
        <f>SUM('案件．要員情報'!AI161:AR161)</f>
        <v>0</v>
      </c>
      <c r="R160" s="153">
        <f>SUM('案件．要員情報'!AS161:BB161)</f>
        <v>0</v>
      </c>
      <c r="S160" s="153">
        <f>SUM('案件．要員情報'!BC161:BL161)</f>
        <v>0</v>
      </c>
      <c r="T160" s="153">
        <f>SUM('案件．要員情報'!BM161:BV161)</f>
        <v>0</v>
      </c>
      <c r="U160" s="153">
        <f>SUM('案件．要員情報'!BW161:CF161)</f>
        <v>0</v>
      </c>
      <c r="V160" s="153">
        <f>SUM('案件．要員情報'!CG161:CP161)</f>
        <v>0</v>
      </c>
      <c r="W160" s="153">
        <f>SUM('案件．要員情報'!CQ161:CW161)</f>
        <v>0</v>
      </c>
      <c r="X160" s="153">
        <f>SUM('案件．要員情報'!CX161:DD161)</f>
        <v>0</v>
      </c>
      <c r="Y160" s="153">
        <f>SUM('案件．要員情報'!DE161:DK161)</f>
        <v>0</v>
      </c>
      <c r="Z160" s="153">
        <f>SUM('案件．要員情報'!DL161:DS161)</f>
        <v>0</v>
      </c>
      <c r="AA160" s="215">
        <f t="shared" si="5"/>
        <v>0</v>
      </c>
    </row>
    <row r="161" spans="1:32" s="154" customFormat="1" ht="20.100000000000001" hidden="1" customHeight="1" outlineLevel="1" x14ac:dyDescent="0.4">
      <c r="A161" s="346"/>
      <c r="B161" s="348"/>
      <c r="C161" s="348"/>
      <c r="D161" s="350"/>
      <c r="E161" s="350"/>
      <c r="F161" s="350"/>
      <c r="G161" s="352"/>
      <c r="H161" s="352"/>
      <c r="I161" s="352"/>
      <c r="J161" s="352"/>
      <c r="K161" s="352"/>
      <c r="L161" s="352"/>
      <c r="M161" s="352"/>
      <c r="N161" s="158" t="s">
        <v>25</v>
      </c>
      <c r="O161" s="156">
        <f>SUM('案件．要員情報'!O162:X162)</f>
        <v>0</v>
      </c>
      <c r="P161" s="156">
        <f>SUM('案件．要員情報'!Y162:AH162)</f>
        <v>0</v>
      </c>
      <c r="Q161" s="156">
        <f>SUM('案件．要員情報'!AI162:AR162)</f>
        <v>0</v>
      </c>
      <c r="R161" s="156">
        <f>SUM('案件．要員情報'!AS162:BB162)</f>
        <v>0</v>
      </c>
      <c r="S161" s="156">
        <f>SUM('案件．要員情報'!BC162:BL162)</f>
        <v>0</v>
      </c>
      <c r="T161" s="156">
        <f>SUM('案件．要員情報'!BM162:BV162)</f>
        <v>0</v>
      </c>
      <c r="U161" s="156">
        <f>SUM('案件．要員情報'!BW162:CF162)</f>
        <v>0</v>
      </c>
      <c r="V161" s="156">
        <f>SUM('案件．要員情報'!CG162:CP162)</f>
        <v>0</v>
      </c>
      <c r="W161" s="156">
        <f>SUM('案件．要員情報'!CQ162:CW162)</f>
        <v>0</v>
      </c>
      <c r="X161" s="156">
        <f>SUM('案件．要員情報'!CX162:DD162)</f>
        <v>0</v>
      </c>
      <c r="Y161" s="156">
        <f>SUM('案件．要員情報'!DE162:DK162)</f>
        <v>0</v>
      </c>
      <c r="Z161" s="156">
        <f>SUM('案件．要員情報'!DL162:DS162)</f>
        <v>0</v>
      </c>
      <c r="AA161" s="159">
        <f t="shared" si="5"/>
        <v>0</v>
      </c>
    </row>
    <row r="162" spans="1:32" s="154" customFormat="1" ht="20.100000000000001" hidden="1" customHeight="1" outlineLevel="1" x14ac:dyDescent="0.4">
      <c r="A162" s="345">
        <v>79</v>
      </c>
      <c r="B162" s="347" t="s">
        <v>45</v>
      </c>
      <c r="C162" s="347" t="s">
        <v>346</v>
      </c>
      <c r="D162" s="349"/>
      <c r="E162" s="349"/>
      <c r="F162" s="349"/>
      <c r="G162" s="351"/>
      <c r="H162" s="351"/>
      <c r="I162" s="351"/>
      <c r="J162" s="351"/>
      <c r="K162" s="351"/>
      <c r="L162" s="351"/>
      <c r="M162" s="351"/>
      <c r="N162" s="157" t="s">
        <v>24</v>
      </c>
      <c r="O162" s="153">
        <f>SUM('案件．要員情報'!O163:X163)</f>
        <v>0</v>
      </c>
      <c r="P162" s="153">
        <f>SUM('案件．要員情報'!Y163:AH163)</f>
        <v>0</v>
      </c>
      <c r="Q162" s="153">
        <f>SUM('案件．要員情報'!AI163:AR163)</f>
        <v>0</v>
      </c>
      <c r="R162" s="153">
        <f>SUM('案件．要員情報'!AS163:BB163)</f>
        <v>0</v>
      </c>
      <c r="S162" s="153">
        <f>SUM('案件．要員情報'!BC163:BL163)</f>
        <v>0</v>
      </c>
      <c r="T162" s="153">
        <f>SUM('案件．要員情報'!BM163:BV163)</f>
        <v>0</v>
      </c>
      <c r="U162" s="153">
        <f>SUM('案件．要員情報'!BW163:CF163)</f>
        <v>0</v>
      </c>
      <c r="V162" s="153">
        <f>SUM('案件．要員情報'!CG163:CP163)</f>
        <v>0</v>
      </c>
      <c r="W162" s="153">
        <f>SUM('案件．要員情報'!CQ163:CW163)</f>
        <v>0</v>
      </c>
      <c r="X162" s="153">
        <f>SUM('案件．要員情報'!CX163:DD163)</f>
        <v>0</v>
      </c>
      <c r="Y162" s="153">
        <f>SUM('案件．要員情報'!DE163:DK163)</f>
        <v>0</v>
      </c>
      <c r="Z162" s="153">
        <f>SUM('案件．要員情報'!DL163:DS163)</f>
        <v>0</v>
      </c>
      <c r="AA162" s="215">
        <f t="shared" si="5"/>
        <v>0</v>
      </c>
    </row>
    <row r="163" spans="1:32" s="154" customFormat="1" ht="20.100000000000001" hidden="1" customHeight="1" outlineLevel="1" x14ac:dyDescent="0.4">
      <c r="A163" s="346"/>
      <c r="B163" s="348"/>
      <c r="C163" s="348"/>
      <c r="D163" s="350"/>
      <c r="E163" s="350"/>
      <c r="F163" s="350"/>
      <c r="G163" s="352"/>
      <c r="H163" s="352"/>
      <c r="I163" s="352"/>
      <c r="J163" s="352"/>
      <c r="K163" s="352"/>
      <c r="L163" s="352"/>
      <c r="M163" s="352"/>
      <c r="N163" s="158" t="s">
        <v>25</v>
      </c>
      <c r="O163" s="156">
        <f>SUM('案件．要員情報'!O164:X164)</f>
        <v>0</v>
      </c>
      <c r="P163" s="156">
        <f>SUM('案件．要員情報'!Y164:AH164)</f>
        <v>0</v>
      </c>
      <c r="Q163" s="156">
        <f>SUM('案件．要員情報'!AI164:AR164)</f>
        <v>0</v>
      </c>
      <c r="R163" s="156">
        <f>SUM('案件．要員情報'!AS164:BB164)</f>
        <v>0</v>
      </c>
      <c r="S163" s="156">
        <f>SUM('案件．要員情報'!BC164:BL164)</f>
        <v>0</v>
      </c>
      <c r="T163" s="156">
        <f>SUM('案件．要員情報'!BM164:BV164)</f>
        <v>0</v>
      </c>
      <c r="U163" s="156">
        <f>SUM('案件．要員情報'!BW164:CF164)</f>
        <v>0</v>
      </c>
      <c r="V163" s="156">
        <f>SUM('案件．要員情報'!CG164:CP164)</f>
        <v>0</v>
      </c>
      <c r="W163" s="156">
        <f>SUM('案件．要員情報'!CQ164:CW164)</f>
        <v>0</v>
      </c>
      <c r="X163" s="156">
        <f>SUM('案件．要員情報'!CX164:DD164)</f>
        <v>0</v>
      </c>
      <c r="Y163" s="156">
        <f>SUM('案件．要員情報'!DE164:DK164)</f>
        <v>0</v>
      </c>
      <c r="Z163" s="156">
        <f>SUM('案件．要員情報'!DL164:DS164)</f>
        <v>0</v>
      </c>
      <c r="AA163" s="159">
        <f t="shared" si="5"/>
        <v>0</v>
      </c>
    </row>
    <row r="164" spans="1:32" s="154" customFormat="1" ht="20.100000000000001" hidden="1" customHeight="1" outlineLevel="1" x14ac:dyDescent="0.4">
      <c r="A164" s="345">
        <v>80</v>
      </c>
      <c r="B164" s="347" t="s">
        <v>45</v>
      </c>
      <c r="C164" s="347" t="s">
        <v>346</v>
      </c>
      <c r="D164" s="349"/>
      <c r="E164" s="349"/>
      <c r="F164" s="349"/>
      <c r="G164" s="351"/>
      <c r="H164" s="351"/>
      <c r="I164" s="351"/>
      <c r="J164" s="351"/>
      <c r="K164" s="351"/>
      <c r="L164" s="351"/>
      <c r="M164" s="351"/>
      <c r="N164" s="157" t="s">
        <v>24</v>
      </c>
      <c r="O164" s="153">
        <f>SUM('案件．要員情報'!O165:X165)</f>
        <v>0</v>
      </c>
      <c r="P164" s="153">
        <f>SUM('案件．要員情報'!Y165:AH165)</f>
        <v>0</v>
      </c>
      <c r="Q164" s="153">
        <f>SUM('案件．要員情報'!AI165:AR165)</f>
        <v>0</v>
      </c>
      <c r="R164" s="153">
        <f>SUM('案件．要員情報'!AS165:BB165)</f>
        <v>0</v>
      </c>
      <c r="S164" s="153">
        <f>SUM('案件．要員情報'!BC165:BL165)</f>
        <v>0</v>
      </c>
      <c r="T164" s="153">
        <f>SUM('案件．要員情報'!BM165:BV165)</f>
        <v>0</v>
      </c>
      <c r="U164" s="153">
        <f>SUM('案件．要員情報'!BW165:CF165)</f>
        <v>0</v>
      </c>
      <c r="V164" s="153">
        <f>SUM('案件．要員情報'!CG165:CP165)</f>
        <v>0</v>
      </c>
      <c r="W164" s="153">
        <f>SUM('案件．要員情報'!CQ165:CW165)</f>
        <v>0</v>
      </c>
      <c r="X164" s="153">
        <f>SUM('案件．要員情報'!CX165:DD165)</f>
        <v>0</v>
      </c>
      <c r="Y164" s="153">
        <f>SUM('案件．要員情報'!DE165:DK165)</f>
        <v>0</v>
      </c>
      <c r="Z164" s="153">
        <f>SUM('案件．要員情報'!DL165:DS165)</f>
        <v>0</v>
      </c>
      <c r="AA164" s="215">
        <f t="shared" si="5"/>
        <v>0</v>
      </c>
    </row>
    <row r="165" spans="1:32" s="154" customFormat="1" ht="20.100000000000001" hidden="1" customHeight="1" outlineLevel="1" x14ac:dyDescent="0.4">
      <c r="A165" s="346"/>
      <c r="B165" s="348"/>
      <c r="C165" s="348"/>
      <c r="D165" s="350"/>
      <c r="E165" s="350"/>
      <c r="F165" s="350"/>
      <c r="G165" s="352"/>
      <c r="H165" s="352"/>
      <c r="I165" s="352"/>
      <c r="J165" s="352"/>
      <c r="K165" s="352"/>
      <c r="L165" s="352"/>
      <c r="M165" s="352"/>
      <c r="N165" s="158" t="s">
        <v>25</v>
      </c>
      <c r="O165" s="156">
        <f>SUM('案件．要員情報'!O166:X166)</f>
        <v>0</v>
      </c>
      <c r="P165" s="156">
        <f>SUM('案件．要員情報'!Y166:AH166)</f>
        <v>0</v>
      </c>
      <c r="Q165" s="156">
        <f>SUM('案件．要員情報'!AI166:AR166)</f>
        <v>0</v>
      </c>
      <c r="R165" s="156">
        <f>SUM('案件．要員情報'!AS166:BB166)</f>
        <v>0</v>
      </c>
      <c r="S165" s="156">
        <f>SUM('案件．要員情報'!BC166:BL166)</f>
        <v>0</v>
      </c>
      <c r="T165" s="156">
        <f>SUM('案件．要員情報'!BM166:BV166)</f>
        <v>0</v>
      </c>
      <c r="U165" s="156">
        <f>SUM('案件．要員情報'!BW166:CF166)</f>
        <v>0</v>
      </c>
      <c r="V165" s="156">
        <f>SUM('案件．要員情報'!CG166:CP166)</f>
        <v>0</v>
      </c>
      <c r="W165" s="156">
        <f>SUM('案件．要員情報'!CQ166:CW166)</f>
        <v>0</v>
      </c>
      <c r="X165" s="156">
        <f>SUM('案件．要員情報'!CX166:DD166)</f>
        <v>0</v>
      </c>
      <c r="Y165" s="156">
        <f>SUM('案件．要員情報'!DE166:DK166)</f>
        <v>0</v>
      </c>
      <c r="Z165" s="156">
        <f>SUM('案件．要員情報'!DL166:DS166)</f>
        <v>0</v>
      </c>
      <c r="AA165" s="159">
        <f t="shared" si="5"/>
        <v>0</v>
      </c>
    </row>
    <row r="166" spans="1:32" ht="20.100000000000001" customHeight="1" collapsed="1" x14ac:dyDescent="0.4">
      <c r="A166" s="390" t="s">
        <v>35</v>
      </c>
      <c r="B166" s="391"/>
      <c r="C166" s="391"/>
      <c r="D166" s="391"/>
      <c r="E166" s="391"/>
      <c r="F166" s="391"/>
      <c r="G166" s="392"/>
      <c r="H166" s="379"/>
      <c r="I166" s="379"/>
      <c r="J166" s="379"/>
      <c r="K166" s="102" t="s">
        <v>35</v>
      </c>
      <c r="L166" s="102"/>
      <c r="M166" s="103" t="s">
        <v>37</v>
      </c>
      <c r="N166" s="99" t="s">
        <v>24</v>
      </c>
      <c r="O166" s="218">
        <f>SUM(O6,O8,O10,O12,O14,O16,O18,O20,O22,O24,O26,O28,O30,O32,O34,O36,O38,O40,O42,O44,O46,O48,O50,O52,O54,O56,O58,O60,O62,O64,O66,O68,O70,O72,O74,O76,O78,O80,O82,O84,O86,O88,O90,O92,O94,O96,O98,O100,O102,O104,O106,O108,O110,O112,O114)</f>
        <v>7.4249999999999998</v>
      </c>
      <c r="P166" s="322">
        <f t="shared" ref="P166:Z166" si="6">SUM(P6,P8,P10,P12,P14,P16,P18,P20,P22,P24,P26,P28,P30,P32,P34,P36,P38,P40,P42,P44,P46,P48,P50,P52,P54,P56,P58,P60,P62,P64,P66,P68,P70,P72,P74,P76,P78,P80,P82,P84,P86,P88,P90,P92,P94,P96,P98,P100,P102,P104,P106,P108,P110,P112,P114)</f>
        <v>6.3238095238095218</v>
      </c>
      <c r="Q166" s="322">
        <f t="shared" si="6"/>
        <v>7.0429206349206348</v>
      </c>
      <c r="R166" s="322">
        <f t="shared" si="6"/>
        <v>7.3939393939393936</v>
      </c>
      <c r="S166" s="322">
        <f t="shared" si="6"/>
        <v>7.8920634920634907</v>
      </c>
      <c r="T166" s="322">
        <f t="shared" si="6"/>
        <v>9.0545454545454529</v>
      </c>
      <c r="U166" s="322">
        <f t="shared" si="6"/>
        <v>8.0666666666666664</v>
      </c>
      <c r="V166" s="322">
        <f t="shared" si="6"/>
        <v>3.4444444444444442</v>
      </c>
      <c r="W166" s="322">
        <f t="shared" si="6"/>
        <v>4.746666666666667</v>
      </c>
      <c r="X166" s="322">
        <f t="shared" si="6"/>
        <v>4.526984126984126</v>
      </c>
      <c r="Y166" s="322">
        <f t="shared" si="6"/>
        <v>3.2784313725490195</v>
      </c>
      <c r="Z166" s="322">
        <f t="shared" si="6"/>
        <v>0</v>
      </c>
      <c r="AA166" s="215">
        <f>SUM(O166:Z166)</f>
        <v>69.195471776589429</v>
      </c>
    </row>
    <row r="167" spans="1:32" ht="20.100000000000001" customHeight="1" x14ac:dyDescent="0.4">
      <c r="A167" s="393"/>
      <c r="B167" s="394"/>
      <c r="C167" s="394"/>
      <c r="D167" s="394"/>
      <c r="E167" s="394"/>
      <c r="F167" s="394"/>
      <c r="G167" s="395"/>
      <c r="H167" s="380"/>
      <c r="I167" s="380"/>
      <c r="J167" s="380"/>
      <c r="K167" s="104" t="s">
        <v>35</v>
      </c>
      <c r="L167" s="104"/>
      <c r="M167" s="105" t="s">
        <v>81</v>
      </c>
      <c r="N167" s="100" t="s">
        <v>25</v>
      </c>
      <c r="O167" s="106">
        <f>SUM(O7,O9,O11,O13,O15,O17,O19,O21,O23,O25,O27,O29,O31,O33,O35,O37,O39,O41,O43,O45,O47,O49,O51,O53,O55,O57,O59,O61,O63,O65,O67,O69,O71,O73,O75,O77,O79,O81,O83,O85,O87,O89,O91,O93,O95,O97,O99,O101,O103,O105,O107,O109,O111,O113,O115)</f>
        <v>7.1541666666666677</v>
      </c>
      <c r="P167" s="106">
        <f t="shared" ref="P167:Z167" si="7">SUM(P7,P9,P11,P13,P15,P17,P19,P21,P23,P25,P27,P29,P31,P33,P35,P37,P39,P41,P43,P45,P47,P49,P51,P53,P55,P57,P59,P61,P63,P65,P67,P69,P71,P73,P75,P77,P79,P81,P83,P85,P87,P89,P91,P93,P95,P97,P99,P101,P103,P105,P107,P109,P111,P113,P115)</f>
        <v>6.0412698412698402</v>
      </c>
      <c r="Q167" s="106">
        <f t="shared" si="7"/>
        <v>6.9746031746031747</v>
      </c>
      <c r="R167" s="106">
        <f t="shared" si="7"/>
        <v>7.1727272727272711</v>
      </c>
      <c r="S167" s="106">
        <f t="shared" si="7"/>
        <v>7.6603174603174597</v>
      </c>
      <c r="T167" s="106">
        <f t="shared" si="7"/>
        <v>8.6499999999999986</v>
      </c>
      <c r="U167" s="106">
        <f t="shared" si="7"/>
        <v>7.8766666666666652</v>
      </c>
      <c r="V167" s="106">
        <f t="shared" si="7"/>
        <v>3.0518518518518523</v>
      </c>
      <c r="W167" s="106">
        <f t="shared" si="7"/>
        <v>4.546666666666666</v>
      </c>
      <c r="X167" s="106">
        <f t="shared" si="7"/>
        <v>4.4253968253968248</v>
      </c>
      <c r="Y167" s="106">
        <f t="shared" si="7"/>
        <v>4.4235294117647062</v>
      </c>
      <c r="Z167" s="106">
        <f t="shared" si="7"/>
        <v>0</v>
      </c>
      <c r="AA167" s="159">
        <f t="shared" ref="AA167" si="8">SUM(O167:Z167)</f>
        <v>67.97719583793112</v>
      </c>
    </row>
    <row r="169" spans="1:32" ht="20.100000000000001" customHeight="1" x14ac:dyDescent="0.4">
      <c r="A169" s="107" t="s">
        <v>29</v>
      </c>
    </row>
    <row r="170" spans="1:32" s="97" customFormat="1" ht="20.100000000000001" customHeight="1" x14ac:dyDescent="0.4">
      <c r="A170" s="388" t="s">
        <v>0</v>
      </c>
      <c r="B170" s="397" t="s">
        <v>87</v>
      </c>
      <c r="C170" s="397" t="s">
        <v>6</v>
      </c>
      <c r="D170" s="397" t="s">
        <v>158</v>
      </c>
      <c r="E170" s="397" t="s">
        <v>2</v>
      </c>
      <c r="F170" s="397" t="s">
        <v>159</v>
      </c>
      <c r="G170" s="384" t="s">
        <v>1</v>
      </c>
      <c r="H170" s="386" t="s">
        <v>166</v>
      </c>
      <c r="I170" s="386" t="s">
        <v>167</v>
      </c>
      <c r="J170" s="386" t="s">
        <v>25</v>
      </c>
      <c r="K170" s="388" t="s">
        <v>7</v>
      </c>
      <c r="L170" s="388" t="s">
        <v>8</v>
      </c>
      <c r="M170" s="388" t="s">
        <v>191</v>
      </c>
      <c r="N170" s="382" t="s">
        <v>5</v>
      </c>
      <c r="O170" s="383"/>
      <c r="P170" s="383"/>
      <c r="Q170" s="383"/>
      <c r="R170" s="383"/>
      <c r="S170" s="383"/>
      <c r="T170" s="383"/>
      <c r="U170" s="383"/>
      <c r="V170" s="383"/>
      <c r="W170" s="383"/>
      <c r="X170" s="383"/>
      <c r="Y170" s="383"/>
      <c r="Z170" s="383"/>
      <c r="AA170" s="89"/>
      <c r="AB170" s="89"/>
      <c r="AC170" s="89"/>
      <c r="AD170" s="89"/>
      <c r="AE170" s="89"/>
      <c r="AF170" s="89"/>
    </row>
    <row r="171" spans="1:32" s="97" customFormat="1" ht="20.100000000000001" customHeight="1" x14ac:dyDescent="0.4">
      <c r="A171" s="389"/>
      <c r="B171" s="397"/>
      <c r="C171" s="397"/>
      <c r="D171" s="397"/>
      <c r="E171" s="397"/>
      <c r="F171" s="397"/>
      <c r="G171" s="385"/>
      <c r="H171" s="387"/>
      <c r="I171" s="387"/>
      <c r="J171" s="387"/>
      <c r="K171" s="389"/>
      <c r="L171" s="389"/>
      <c r="M171" s="389"/>
      <c r="N171" s="160"/>
      <c r="O171" s="152" t="s">
        <v>192</v>
      </c>
      <c r="P171" s="152" t="s">
        <v>136</v>
      </c>
      <c r="Q171" s="152" t="s">
        <v>138</v>
      </c>
      <c r="R171" s="152" t="s">
        <v>139</v>
      </c>
      <c r="S171" s="152" t="s">
        <v>140</v>
      </c>
      <c r="T171" s="152" t="s">
        <v>141</v>
      </c>
      <c r="U171" s="161" t="s">
        <v>142</v>
      </c>
      <c r="V171" s="152" t="s">
        <v>143</v>
      </c>
      <c r="W171" s="152" t="s">
        <v>144</v>
      </c>
      <c r="X171" s="152" t="s">
        <v>145</v>
      </c>
      <c r="Y171" s="152" t="s">
        <v>30</v>
      </c>
      <c r="Z171" s="152" t="s">
        <v>146</v>
      </c>
      <c r="AA171" s="89"/>
      <c r="AB171" s="89"/>
      <c r="AC171" s="89"/>
      <c r="AD171" s="89"/>
      <c r="AE171" s="89"/>
      <c r="AF171" s="89"/>
    </row>
    <row r="172" spans="1:32" ht="20.100000000000001" customHeight="1" x14ac:dyDescent="0.4">
      <c r="A172" s="372">
        <v>1</v>
      </c>
      <c r="B172" s="372" t="s">
        <v>46</v>
      </c>
      <c r="C172" s="372" t="s">
        <v>28</v>
      </c>
      <c r="D172" s="374" t="s">
        <v>19</v>
      </c>
      <c r="E172" s="376" t="s">
        <v>26</v>
      </c>
      <c r="F172" s="374" t="s">
        <v>19</v>
      </c>
      <c r="G172" s="377" t="s">
        <v>85</v>
      </c>
      <c r="H172" s="379"/>
      <c r="I172" s="379"/>
      <c r="J172" s="367"/>
      <c r="K172" s="108"/>
      <c r="L172" s="108"/>
      <c r="M172" s="396" t="s">
        <v>176</v>
      </c>
      <c r="N172" s="99" t="s">
        <v>24</v>
      </c>
      <c r="O172" s="153">
        <f>SUM('案件．要員情報'!O174:X174)</f>
        <v>0.6</v>
      </c>
      <c r="P172" s="153">
        <f>SUM('案件．要員情報'!Y174:AH174)</f>
        <v>0.66666666666666663</v>
      </c>
      <c r="Q172" s="153">
        <f>SUM('案件．要員情報'!AI174:AR174)</f>
        <v>0.33333333333333331</v>
      </c>
      <c r="R172" s="153">
        <f>SUM('案件．要員情報'!AS174:BB174)</f>
        <v>0.31818181818181807</v>
      </c>
      <c r="S172" s="153">
        <f>SUM('案件．要員情報'!BC174:BL174)</f>
        <v>0.33333333333333331</v>
      </c>
      <c r="T172" s="153">
        <f>SUM('案件．要員情報'!BM174:BV174)</f>
        <v>0.33333333333333331</v>
      </c>
      <c r="U172" s="153">
        <f>SUM('案件．要員情報'!BW174:CF174)</f>
        <v>0.35000000000000009</v>
      </c>
      <c r="V172" s="153">
        <f>SUM('案件．要員情報'!CG174:CP174)</f>
        <v>0.33333333333333331</v>
      </c>
      <c r="W172" s="153">
        <f>SUM('案件．要員情報'!CQ174:CW174)</f>
        <v>0.23333333333333331</v>
      </c>
      <c r="X172" s="153">
        <f>SUM('案件．要員情報'!CX174:DD174)</f>
        <v>0.23333333333333331</v>
      </c>
      <c r="Y172" s="153">
        <f>SUM('案件．要員情報'!DE174:DK174)</f>
        <v>0.46666666666666662</v>
      </c>
      <c r="Z172" s="153">
        <f>SUM('案件．要員情報'!DL174:DS174)</f>
        <v>0</v>
      </c>
    </row>
    <row r="173" spans="1:32" ht="20.100000000000001" customHeight="1" x14ac:dyDescent="0.4">
      <c r="A173" s="373"/>
      <c r="B173" s="373"/>
      <c r="C173" s="373"/>
      <c r="D173" s="375"/>
      <c r="E173" s="375"/>
      <c r="F173" s="375"/>
      <c r="G173" s="378"/>
      <c r="H173" s="380"/>
      <c r="I173" s="380"/>
      <c r="J173" s="368"/>
      <c r="K173" s="109"/>
      <c r="L173" s="109"/>
      <c r="M173" s="361"/>
      <c r="N173" s="100" t="s">
        <v>25</v>
      </c>
      <c r="O173" s="156">
        <f>SUM('案件．要員情報'!O175:X175)</f>
        <v>0.30833333333333329</v>
      </c>
      <c r="P173" s="156">
        <f>SUM('案件．要員情報'!Y175:AH175)</f>
        <v>0.32063492063492061</v>
      </c>
      <c r="Q173" s="156">
        <f>SUM('案件．要員情報'!AI175:AR175)</f>
        <v>0.32857142857142851</v>
      </c>
      <c r="R173" s="156">
        <f>SUM('案件．要員情報'!AS175:BB175)</f>
        <v>0.31969696969696965</v>
      </c>
      <c r="S173" s="156">
        <f>SUM('案件．要員情報'!BC175:BL175)</f>
        <v>0.31904761904761902</v>
      </c>
      <c r="T173" s="156">
        <f>SUM('案件．要員情報'!BM175:BV175)</f>
        <v>0.32727272727272722</v>
      </c>
      <c r="U173" s="156">
        <f>SUM('案件．要員情報'!BW175:CF175)</f>
        <v>0.30499999999999999</v>
      </c>
      <c r="V173" s="156">
        <f>SUM('案件．要員情報'!CG175:CP175)</f>
        <v>0.3259259259259259</v>
      </c>
      <c r="W173" s="156">
        <f>SUM('案件．要員情報'!CQ175:CW175)</f>
        <v>0.21166666666666664</v>
      </c>
      <c r="X173" s="156">
        <f>SUM('案件．要員情報'!CX175:DD175)</f>
        <v>0.22698412698412695</v>
      </c>
      <c r="Y173" s="156">
        <f>SUM('案件．要員情報'!DE175:DK175)</f>
        <v>0.2</v>
      </c>
      <c r="Z173" s="156">
        <f>SUM('案件．要員情報'!DL175:DS175)</f>
        <v>0</v>
      </c>
    </row>
    <row r="174" spans="1:32" ht="20.100000000000001" customHeight="1" x14ac:dyDescent="0.4">
      <c r="A174" s="372">
        <v>2</v>
      </c>
      <c r="B174" s="372" t="s">
        <v>46</v>
      </c>
      <c r="C174" s="372" t="s">
        <v>28</v>
      </c>
      <c r="D174" s="374" t="s">
        <v>34</v>
      </c>
      <c r="E174" s="376" t="s">
        <v>26</v>
      </c>
      <c r="F174" s="374" t="s">
        <v>19</v>
      </c>
      <c r="G174" s="416" t="s">
        <v>160</v>
      </c>
      <c r="H174" s="379"/>
      <c r="I174" s="379"/>
      <c r="J174" s="367"/>
      <c r="K174" s="108"/>
      <c r="L174" s="108"/>
      <c r="M174" s="396" t="s">
        <v>38</v>
      </c>
      <c r="N174" s="99" t="s">
        <v>24</v>
      </c>
      <c r="O174" s="153">
        <f>SUM('案件．要員情報'!O176:X176)</f>
        <v>0.11249999999999999</v>
      </c>
      <c r="P174" s="153">
        <f>SUM('案件．要員情報'!Y176:AH176)</f>
        <v>0.12698412698412698</v>
      </c>
      <c r="Q174" s="153">
        <f>SUM('案件．要員情報'!AI176:AR176)</f>
        <v>0.12698412698412698</v>
      </c>
      <c r="R174" s="153">
        <f>SUM('案件．要員情報'!AS176:BB176)</f>
        <v>0.12121212121212119</v>
      </c>
      <c r="S174" s="153">
        <f>SUM('案件．要員情報'!BC176:BL176)</f>
        <v>9.5238095238095233E-2</v>
      </c>
      <c r="T174" s="153">
        <f>SUM('案件．要員情報'!BM176:BV176)</f>
        <v>0.12121212121212119</v>
      </c>
      <c r="U174" s="153">
        <f>SUM('案件．要員情報'!BW176:CF176)</f>
        <v>0.16666666666666666</v>
      </c>
      <c r="V174" s="153">
        <f>SUM('案件．要員情報'!CG176:CP176)</f>
        <v>0.14814814814814811</v>
      </c>
      <c r="W174" s="153">
        <f>SUM('案件．要員情報'!CQ176:CW176)</f>
        <v>7.0000000000000007E-2</v>
      </c>
      <c r="X174" s="153">
        <f>SUM('案件．要員情報'!CX176:DD176)</f>
        <v>8.8888888888888878E-2</v>
      </c>
      <c r="Y174" s="153">
        <f>SUM('案件．要員情報'!DE176:DK176)</f>
        <v>0.10980392156862745</v>
      </c>
      <c r="Z174" s="153">
        <f>SUM('案件．要員情報'!DL176:DS176)</f>
        <v>0</v>
      </c>
    </row>
    <row r="175" spans="1:32" ht="20.100000000000001" customHeight="1" x14ac:dyDescent="0.4">
      <c r="A175" s="373"/>
      <c r="B175" s="373"/>
      <c r="C175" s="373"/>
      <c r="D175" s="375"/>
      <c r="E175" s="375"/>
      <c r="F175" s="375"/>
      <c r="G175" s="378"/>
      <c r="H175" s="380"/>
      <c r="I175" s="380"/>
      <c r="J175" s="368"/>
      <c r="K175" s="109"/>
      <c r="L175" s="109"/>
      <c r="M175" s="361"/>
      <c r="N175" s="100" t="s">
        <v>25</v>
      </c>
      <c r="O175" s="156">
        <f>SUM('案件．要員情報'!O177:X177)</f>
        <v>0.10416666666666666</v>
      </c>
      <c r="P175" s="156">
        <f>SUM('案件．要員情報'!Y177:AH177)</f>
        <v>0.10476190476190475</v>
      </c>
      <c r="Q175" s="156">
        <f>SUM('案件．要員情報'!AI177:AR177)</f>
        <v>0.1238095238095238</v>
      </c>
      <c r="R175" s="156">
        <f>SUM('案件．要員情報'!AS177:BB177)</f>
        <v>0.12424242424242424</v>
      </c>
      <c r="S175" s="156">
        <f>SUM('案件．要員情報'!BC177:BL177)</f>
        <v>8.8888888888888906E-2</v>
      </c>
      <c r="T175" s="156">
        <f>SUM('案件．要員情報'!BM177:BV177)</f>
        <v>0.13030303030303028</v>
      </c>
      <c r="U175" s="156">
        <f>SUM('案件．要員情報'!BW177:CF177)</f>
        <v>0.11</v>
      </c>
      <c r="V175" s="156">
        <f>SUM('案件．要員情報'!CG177:CP177)</f>
        <v>0.14074074074074072</v>
      </c>
      <c r="W175" s="156">
        <f>SUM('案件．要員情報'!CQ177:CW177)</f>
        <v>6.6666666666666666E-2</v>
      </c>
      <c r="X175" s="156">
        <f>SUM('案件．要員情報'!CX177:DD177)</f>
        <v>8.2539682539682552E-2</v>
      </c>
      <c r="Y175" s="156">
        <f>SUM('案件．要員情報'!DE177:DK177)</f>
        <v>3.5294117647058823E-2</v>
      </c>
      <c r="Z175" s="156">
        <f>SUM('案件．要員情報'!DL177:DS177)</f>
        <v>0</v>
      </c>
    </row>
    <row r="176" spans="1:32" ht="20.100000000000001" customHeight="1" x14ac:dyDescent="0.4">
      <c r="A176" s="372">
        <v>3</v>
      </c>
      <c r="B176" s="372" t="s">
        <v>46</v>
      </c>
      <c r="C176" s="372" t="s">
        <v>28</v>
      </c>
      <c r="D176" s="374" t="s">
        <v>19</v>
      </c>
      <c r="E176" s="376" t="s">
        <v>26</v>
      </c>
      <c r="F176" s="374" t="s">
        <v>19</v>
      </c>
      <c r="G176" s="377" t="s">
        <v>32</v>
      </c>
      <c r="H176" s="379"/>
      <c r="I176" s="379"/>
      <c r="J176" s="367"/>
      <c r="K176" s="108"/>
      <c r="L176" s="108"/>
      <c r="M176" s="360" t="s">
        <v>161</v>
      </c>
      <c r="N176" s="99" t="s">
        <v>24</v>
      </c>
      <c r="O176" s="153">
        <f>SUM('案件．要員情報'!O178:X178)</f>
        <v>0.6</v>
      </c>
      <c r="P176" s="153">
        <f>SUM('案件．要員情報'!Y178:AH178)</f>
        <v>0.66666666666666663</v>
      </c>
      <c r="Q176" s="153">
        <f>SUM('案件．要員情報'!AI178:AR178)</f>
        <v>0.33333333333333331</v>
      </c>
      <c r="R176" s="153">
        <f>SUM('案件．要員情報'!AS178:BB178)</f>
        <v>0.31818181818181807</v>
      </c>
      <c r="S176" s="153">
        <f>SUM('案件．要員情報'!BC178:BL178)</f>
        <v>0.33333333333333331</v>
      </c>
      <c r="T176" s="153">
        <f>SUM('案件．要員情報'!BM178:BV178)</f>
        <v>0.33333333333333331</v>
      </c>
      <c r="U176" s="153">
        <f>SUM('案件．要員情報'!BW178:CF178)</f>
        <v>0.35000000000000009</v>
      </c>
      <c r="V176" s="153">
        <f>SUM('案件．要員情報'!CG178:CP178)</f>
        <v>0.33333333333333331</v>
      </c>
      <c r="W176" s="153">
        <f>SUM('案件．要員情報'!CQ178:CW178)</f>
        <v>0.23333333333333331</v>
      </c>
      <c r="X176" s="153">
        <f>SUM('案件．要員情報'!CX178:DD178)</f>
        <v>0.23333333333333331</v>
      </c>
      <c r="Y176" s="153">
        <f>SUM('案件．要員情報'!DE178:DK178)</f>
        <v>0.46666666666666662</v>
      </c>
      <c r="Z176" s="153">
        <f>SUM('案件．要員情報'!DL178:DS178)</f>
        <v>0</v>
      </c>
    </row>
    <row r="177" spans="1:32" ht="20.100000000000001" customHeight="1" x14ac:dyDescent="0.4">
      <c r="A177" s="373"/>
      <c r="B177" s="373"/>
      <c r="C177" s="373"/>
      <c r="D177" s="375"/>
      <c r="E177" s="375"/>
      <c r="F177" s="375"/>
      <c r="G177" s="378"/>
      <c r="H177" s="380"/>
      <c r="I177" s="380"/>
      <c r="J177" s="368"/>
      <c r="K177" s="109"/>
      <c r="L177" s="109"/>
      <c r="M177" s="361"/>
      <c r="N177" s="100" t="s">
        <v>25</v>
      </c>
      <c r="O177" s="156">
        <f>SUM('案件．要員情報'!O179:X179)</f>
        <v>0.30833333333333329</v>
      </c>
      <c r="P177" s="156">
        <f>SUM('案件．要員情報'!Y179:AH179)</f>
        <v>0.32063492063492061</v>
      </c>
      <c r="Q177" s="156">
        <f>SUM('案件．要員情報'!AI179:AR179)</f>
        <v>0.32857142857142851</v>
      </c>
      <c r="R177" s="156">
        <f>SUM('案件．要員情報'!AS179:BB179)</f>
        <v>0.31969696969696965</v>
      </c>
      <c r="S177" s="156">
        <f>SUM('案件．要員情報'!BC179:BL179)</f>
        <v>0.31904761904761902</v>
      </c>
      <c r="T177" s="156">
        <f>SUM('案件．要員情報'!BM179:BV179)</f>
        <v>0.32727272727272722</v>
      </c>
      <c r="U177" s="156">
        <f>SUM('案件．要員情報'!BW179:CF179)</f>
        <v>0.30499999999999999</v>
      </c>
      <c r="V177" s="156">
        <f>SUM('案件．要員情報'!CG179:CP179)</f>
        <v>0.3259259259259259</v>
      </c>
      <c r="W177" s="156">
        <f>SUM('案件．要員情報'!CQ179:CW179)</f>
        <v>0.21166666666666664</v>
      </c>
      <c r="X177" s="156">
        <f>SUM('案件．要員情報'!CX179:DD179)</f>
        <v>0.22698412698412695</v>
      </c>
      <c r="Y177" s="156">
        <f>SUM('案件．要員情報'!DE179:DK179)</f>
        <v>0.2</v>
      </c>
      <c r="Z177" s="156">
        <f>SUM('案件．要員情報'!DL179:DS179)</f>
        <v>0</v>
      </c>
    </row>
    <row r="178" spans="1:32" ht="27.75" customHeight="1" x14ac:dyDescent="0.4">
      <c r="A178" s="372">
        <v>4</v>
      </c>
      <c r="B178" s="372" t="s">
        <v>46</v>
      </c>
      <c r="C178" s="372" t="s">
        <v>28</v>
      </c>
      <c r="D178" s="374" t="s">
        <v>19</v>
      </c>
      <c r="E178" s="376" t="s">
        <v>26</v>
      </c>
      <c r="F178" s="374" t="s">
        <v>19</v>
      </c>
      <c r="G178" s="377" t="s">
        <v>33</v>
      </c>
      <c r="H178" s="379"/>
      <c r="I178" s="379"/>
      <c r="J178" s="367"/>
      <c r="K178" s="108"/>
      <c r="L178" s="108"/>
      <c r="M178" s="360" t="s">
        <v>40</v>
      </c>
      <c r="N178" s="99" t="s">
        <v>24</v>
      </c>
      <c r="O178" s="153">
        <f>SUM('案件．要員情報'!O180:X180)</f>
        <v>0</v>
      </c>
      <c r="P178" s="153">
        <f>SUM('案件．要員情報'!Y180:AH180)</f>
        <v>0</v>
      </c>
      <c r="Q178" s="153">
        <f>SUM('案件．要員情報'!AI180:AR180)</f>
        <v>0</v>
      </c>
      <c r="R178" s="153">
        <f>SUM('案件．要員情報'!AS180:BB180)</f>
        <v>0</v>
      </c>
      <c r="S178" s="153">
        <f>SUM('案件．要員情報'!BC180:BL180)</f>
        <v>0</v>
      </c>
      <c r="T178" s="153">
        <f>SUM('案件．要員情報'!BM180:BV180)</f>
        <v>0</v>
      </c>
      <c r="U178" s="153">
        <f>SUM('案件．要員情報'!BW180:CF180)</f>
        <v>0</v>
      </c>
      <c r="V178" s="153">
        <f>SUM('案件．要員情報'!CG180:CP180)</f>
        <v>0</v>
      </c>
      <c r="W178" s="153">
        <f>SUM('案件．要員情報'!CQ180:CW180)</f>
        <v>0</v>
      </c>
      <c r="X178" s="153">
        <f>SUM('案件．要員情報'!CX180:DD180)</f>
        <v>0</v>
      </c>
      <c r="Y178" s="153">
        <f>SUM('案件．要員情報'!DE180:DK180)</f>
        <v>0</v>
      </c>
      <c r="Z178" s="153">
        <f>SUM('案件．要員情報'!DL180:DS180)</f>
        <v>0</v>
      </c>
    </row>
    <row r="179" spans="1:32" ht="27.75" customHeight="1" x14ac:dyDescent="0.4">
      <c r="A179" s="373"/>
      <c r="B179" s="373"/>
      <c r="C179" s="373"/>
      <c r="D179" s="375"/>
      <c r="E179" s="375"/>
      <c r="F179" s="375"/>
      <c r="G179" s="378"/>
      <c r="H179" s="380"/>
      <c r="I179" s="380"/>
      <c r="J179" s="368"/>
      <c r="K179" s="109"/>
      <c r="L179" s="109"/>
      <c r="M179" s="361"/>
      <c r="N179" s="100" t="s">
        <v>25</v>
      </c>
      <c r="O179" s="156">
        <f>SUM('案件．要員情報'!O181:X181)</f>
        <v>0</v>
      </c>
      <c r="P179" s="156">
        <f>SUM('案件．要員情報'!Y181:AH181)</f>
        <v>0</v>
      </c>
      <c r="Q179" s="156">
        <f>SUM('案件．要員情報'!AI181:AR181)</f>
        <v>0</v>
      </c>
      <c r="R179" s="156">
        <f>SUM('案件．要員情報'!AS181:BB181)</f>
        <v>0</v>
      </c>
      <c r="S179" s="156">
        <f>SUM('案件．要員情報'!BC181:BL181)</f>
        <v>0</v>
      </c>
      <c r="T179" s="156">
        <f>SUM('案件．要員情報'!BM181:BV181)</f>
        <v>0</v>
      </c>
      <c r="U179" s="156">
        <f>SUM('案件．要員情報'!BW181:CF181)</f>
        <v>0</v>
      </c>
      <c r="V179" s="156">
        <f>SUM('案件．要員情報'!CG181:CP181)</f>
        <v>0</v>
      </c>
      <c r="W179" s="156">
        <f>SUM('案件．要員情報'!CQ181:CW181)</f>
        <v>0</v>
      </c>
      <c r="X179" s="156">
        <f>SUM('案件．要員情報'!CX181:DD181)</f>
        <v>0</v>
      </c>
      <c r="Y179" s="156">
        <f>SUM('案件．要員情報'!DE181:DK181)</f>
        <v>0</v>
      </c>
      <c r="Z179" s="156">
        <f>SUM('案件．要員情報'!DL181:DS181)</f>
        <v>0</v>
      </c>
    </row>
    <row r="180" spans="1:32" ht="20.100000000000001" customHeight="1" x14ac:dyDescent="0.4">
      <c r="A180" s="372">
        <v>5</v>
      </c>
      <c r="B180" s="372" t="s">
        <v>46</v>
      </c>
      <c r="C180" s="372" t="s">
        <v>28</v>
      </c>
      <c r="D180" s="374" t="s">
        <v>19</v>
      </c>
      <c r="E180" s="376" t="s">
        <v>26</v>
      </c>
      <c r="F180" s="374" t="s">
        <v>19</v>
      </c>
      <c r="G180" s="416" t="s">
        <v>39</v>
      </c>
      <c r="H180" s="379"/>
      <c r="I180" s="379"/>
      <c r="J180" s="367"/>
      <c r="K180" s="108"/>
      <c r="L180" s="108"/>
      <c r="M180" s="360"/>
      <c r="N180" s="99" t="s">
        <v>24</v>
      </c>
      <c r="O180" s="153">
        <f>SUM('案件．要員情報'!O182:X182)</f>
        <v>0.6</v>
      </c>
      <c r="P180" s="153">
        <f>SUM('案件．要員情報'!Y182:AH182)</f>
        <v>0.41269841269841268</v>
      </c>
      <c r="Q180" s="153">
        <f>SUM('案件．要員情報'!AI182:AR182)</f>
        <v>0.76</v>
      </c>
      <c r="R180" s="153">
        <f>SUM('案件．要員情報'!AS182:BB182)</f>
        <v>0.84848484848484851</v>
      </c>
      <c r="S180" s="153">
        <f>SUM('案件．要員情報'!BC182:BL182)</f>
        <v>0.57200000000000006</v>
      </c>
      <c r="T180" s="153">
        <f>SUM('案件．要員情報'!BM182:BV182)</f>
        <v>0.13333333333333333</v>
      </c>
      <c r="U180" s="153">
        <f>SUM('案件．要員情報'!BW182:CF182)</f>
        <v>0.29333333333333333</v>
      </c>
      <c r="V180" s="153">
        <f>SUM('案件．要員情報'!CG182:CP182)</f>
        <v>0.66666666666666663</v>
      </c>
      <c r="W180" s="153">
        <f>SUM('案件．要員情報'!CQ182:CW182)</f>
        <v>0.26666666666666666</v>
      </c>
      <c r="X180" s="153">
        <f>SUM('案件．要員情報'!CX182:DD182)</f>
        <v>0.32666666666666666</v>
      </c>
      <c r="Y180" s="153">
        <f>SUM('案件．要員情報'!DE182:DK182)</f>
        <v>0.4</v>
      </c>
      <c r="Z180" s="153">
        <f>SUM('案件．要員情報'!DL182:DS182)</f>
        <v>0</v>
      </c>
    </row>
    <row r="181" spans="1:32" ht="20.100000000000001" customHeight="1" x14ac:dyDescent="0.4">
      <c r="A181" s="373"/>
      <c r="B181" s="373"/>
      <c r="C181" s="373"/>
      <c r="D181" s="375"/>
      <c r="E181" s="375"/>
      <c r="F181" s="375"/>
      <c r="G181" s="417"/>
      <c r="H181" s="380"/>
      <c r="I181" s="380"/>
      <c r="J181" s="368"/>
      <c r="K181" s="109"/>
      <c r="L181" s="109"/>
      <c r="M181" s="361"/>
      <c r="N181" s="100" t="s">
        <v>25</v>
      </c>
      <c r="O181" s="156">
        <f>SUM('案件．要員情報'!O183:X183)</f>
        <v>0.92499999999999993</v>
      </c>
      <c r="P181" s="156">
        <f>SUM('案件．要員情報'!Y183:AH183)</f>
        <v>0.7587301587301587</v>
      </c>
      <c r="Q181" s="156">
        <f>SUM('案件．要員情報'!AI183:AR183)</f>
        <v>0.73333333333333328</v>
      </c>
      <c r="R181" s="156">
        <f>SUM('案件．要員情報'!AS183:BB183)</f>
        <v>0.80303030303030298</v>
      </c>
      <c r="S181" s="156">
        <f>SUM('案件．要員情報'!BC183:BL183)</f>
        <v>0.60952380952380947</v>
      </c>
      <c r="T181" s="156">
        <f>SUM('案件．要員情報'!BM183:BV183)</f>
        <v>0.35</v>
      </c>
      <c r="U181" s="156">
        <f>SUM('案件．要員情報'!BW183:CF183)</f>
        <v>0.44666666666666666</v>
      </c>
      <c r="V181" s="156">
        <f>SUM('案件．要員情報'!CG183:CP183)</f>
        <v>0.44444444444444448</v>
      </c>
      <c r="W181" s="156">
        <f>SUM('案件．要員情報'!CQ183:CW183)</f>
        <v>0.24666666666666665</v>
      </c>
      <c r="X181" s="156">
        <f>SUM('案件．要員情報'!CX183:DD183)</f>
        <v>0.33650793650793653</v>
      </c>
      <c r="Y181" s="156">
        <f>SUM('案件．要員情報'!DE183:DK183)</f>
        <v>0.30588235294117649</v>
      </c>
      <c r="Z181" s="156">
        <f>SUM('案件．要員情報'!DL183:DS183)</f>
        <v>0</v>
      </c>
    </row>
    <row r="182" spans="1:32" ht="20.100000000000001" customHeight="1" x14ac:dyDescent="0.4">
      <c r="A182" s="372">
        <v>6</v>
      </c>
      <c r="B182" s="372" t="s">
        <v>46</v>
      </c>
      <c r="C182" s="372" t="s">
        <v>28</v>
      </c>
      <c r="D182" s="374" t="s">
        <v>19</v>
      </c>
      <c r="E182" s="376" t="s">
        <v>42</v>
      </c>
      <c r="F182" s="374" t="s">
        <v>19</v>
      </c>
      <c r="G182" s="416" t="s">
        <v>41</v>
      </c>
      <c r="H182" s="379"/>
      <c r="I182" s="379"/>
      <c r="J182" s="367"/>
      <c r="K182" s="108"/>
      <c r="L182" s="108"/>
      <c r="M182" s="360"/>
      <c r="N182" s="99" t="s">
        <v>24</v>
      </c>
      <c r="O182" s="153">
        <f>SUM('案件．要員情報'!O184:X184)</f>
        <v>0</v>
      </c>
      <c r="P182" s="153">
        <f>SUM('案件．要員情報'!Y184:AH184)</f>
        <v>0</v>
      </c>
      <c r="Q182" s="153">
        <f>SUM('案件．要員情報'!AI184:AR184)</f>
        <v>0</v>
      </c>
      <c r="R182" s="153">
        <f>SUM('案件．要員情報'!AS184:BB184)</f>
        <v>0</v>
      </c>
      <c r="S182" s="153">
        <f>SUM('案件．要員情報'!BC184:BL184)</f>
        <v>0</v>
      </c>
      <c r="T182" s="153">
        <f>SUM('案件．要員情報'!BM184:BV184)</f>
        <v>0</v>
      </c>
      <c r="U182" s="153">
        <f>SUM('案件．要員情報'!BW184:CF184)</f>
        <v>0</v>
      </c>
      <c r="V182" s="153">
        <f>SUM('案件．要員情報'!CG184:CP184)</f>
        <v>0</v>
      </c>
      <c r="W182" s="153">
        <f>SUM('案件．要員情報'!CQ184:CW184)</f>
        <v>0</v>
      </c>
      <c r="X182" s="153">
        <f>SUM('案件．要員情報'!CX184:DD184)</f>
        <v>0</v>
      </c>
      <c r="Y182" s="153">
        <f>SUM('案件．要員情報'!DE184:DK184)</f>
        <v>0</v>
      </c>
      <c r="Z182" s="153">
        <f>SUM('案件．要員情報'!DL184:DS184)</f>
        <v>0</v>
      </c>
    </row>
    <row r="183" spans="1:32" ht="20.100000000000001" customHeight="1" x14ac:dyDescent="0.4">
      <c r="A183" s="373"/>
      <c r="B183" s="373"/>
      <c r="C183" s="373"/>
      <c r="D183" s="375"/>
      <c r="E183" s="375"/>
      <c r="F183" s="375"/>
      <c r="G183" s="417"/>
      <c r="H183" s="380"/>
      <c r="I183" s="380"/>
      <c r="J183" s="368"/>
      <c r="K183" s="109"/>
      <c r="L183" s="109"/>
      <c r="M183" s="361"/>
      <c r="N183" s="100" t="s">
        <v>25</v>
      </c>
      <c r="O183" s="156">
        <f>SUM('案件．要員情報'!O185:X185)</f>
        <v>0.22499999999999998</v>
      </c>
      <c r="P183" s="156">
        <f>SUM('案件．要員情報'!Y185:AH185)</f>
        <v>0.16825396825396827</v>
      </c>
      <c r="Q183" s="156">
        <f>SUM('案件．要員情報'!AI185:AR185)</f>
        <v>1.9047619047619049E-2</v>
      </c>
      <c r="R183" s="156">
        <f>SUM('案件．要員情報'!AS185:BB185)</f>
        <v>0</v>
      </c>
      <c r="S183" s="156">
        <f>SUM('案件．要員情報'!BC185:BL185)</f>
        <v>0</v>
      </c>
      <c r="T183" s="156">
        <f>SUM('案件．要員情報'!BM185:BV185)</f>
        <v>0</v>
      </c>
      <c r="U183" s="156">
        <f>SUM('案件．要員情報'!BW185:CF185)</f>
        <v>0</v>
      </c>
      <c r="V183" s="156">
        <f>SUM('案件．要員情報'!CG185:CP185)</f>
        <v>0</v>
      </c>
      <c r="W183" s="156">
        <f>SUM('案件．要員情報'!CQ185:CW185)</f>
        <v>0</v>
      </c>
      <c r="X183" s="156">
        <f>SUM('案件．要員情報'!CX185:DD185)</f>
        <v>0</v>
      </c>
      <c r="Y183" s="156">
        <f>SUM('案件．要員情報'!DE185:DK185)</f>
        <v>0</v>
      </c>
      <c r="Z183" s="156">
        <f>SUM('案件．要員情報'!DL185:DS185)</f>
        <v>0</v>
      </c>
    </row>
    <row r="184" spans="1:32" ht="20.100000000000001" customHeight="1" x14ac:dyDescent="0.4">
      <c r="A184" s="390" t="s">
        <v>35</v>
      </c>
      <c r="B184" s="391"/>
      <c r="C184" s="391"/>
      <c r="D184" s="391"/>
      <c r="E184" s="391"/>
      <c r="F184" s="391"/>
      <c r="G184" s="392"/>
      <c r="H184" s="379"/>
      <c r="I184" s="379"/>
      <c r="J184" s="379"/>
      <c r="K184" s="102"/>
      <c r="L184" s="102"/>
      <c r="M184" s="103" t="s">
        <v>37</v>
      </c>
      <c r="N184" s="99" t="s">
        <v>24</v>
      </c>
      <c r="O184" s="98">
        <f>SUM(O172,O174,O176,O178,O180,O182)</f>
        <v>1.9125000000000001</v>
      </c>
      <c r="P184" s="98">
        <f t="shared" ref="P184:Z185" si="9">SUM(P172,P174,P176,P178,P180,P182)</f>
        <v>1.873015873015873</v>
      </c>
      <c r="Q184" s="98">
        <f t="shared" si="9"/>
        <v>1.5536507936507937</v>
      </c>
      <c r="R184" s="98">
        <f t="shared" si="9"/>
        <v>1.606060606060606</v>
      </c>
      <c r="S184" s="98">
        <f t="shared" si="9"/>
        <v>1.3339047619047619</v>
      </c>
      <c r="T184" s="98">
        <f t="shared" si="9"/>
        <v>0.92121212121212115</v>
      </c>
      <c r="U184" s="98">
        <f t="shared" si="9"/>
        <v>1.1600000000000001</v>
      </c>
      <c r="V184" s="98">
        <f t="shared" si="9"/>
        <v>1.4814814814814814</v>
      </c>
      <c r="W184" s="98">
        <f t="shared" si="9"/>
        <v>0.80333333333333323</v>
      </c>
      <c r="X184" s="98">
        <f t="shared" si="9"/>
        <v>0.88222222222222213</v>
      </c>
      <c r="Y184" s="98">
        <f t="shared" si="9"/>
        <v>1.4431372549019605</v>
      </c>
      <c r="Z184" s="98">
        <f>SUM(Z172,Z174,Z176,Z178,Z180,Z182)</f>
        <v>0</v>
      </c>
    </row>
    <row r="185" spans="1:32" ht="20.100000000000001" customHeight="1" x14ac:dyDescent="0.4">
      <c r="A185" s="393"/>
      <c r="B185" s="394"/>
      <c r="C185" s="394"/>
      <c r="D185" s="394"/>
      <c r="E185" s="394"/>
      <c r="F185" s="394"/>
      <c r="G185" s="395"/>
      <c r="H185" s="380"/>
      <c r="I185" s="380"/>
      <c r="J185" s="380"/>
      <c r="K185" s="104"/>
      <c r="L185" s="104"/>
      <c r="M185" s="105" t="s">
        <v>81</v>
      </c>
      <c r="N185" s="100" t="s">
        <v>25</v>
      </c>
      <c r="O185" s="106">
        <f>SUM(O173,O175,O177,O179,O181,O183)</f>
        <v>1.8708333333333331</v>
      </c>
      <c r="P185" s="106">
        <f t="shared" si="9"/>
        <v>1.6730158730158731</v>
      </c>
      <c r="Q185" s="106">
        <f t="shared" si="9"/>
        <v>1.5333333333333332</v>
      </c>
      <c r="R185" s="106">
        <f>SUM(R173,R175,R177,R179,R181,R183)</f>
        <v>1.5666666666666664</v>
      </c>
      <c r="S185" s="106">
        <f t="shared" si="9"/>
        <v>1.3365079365079364</v>
      </c>
      <c r="T185" s="106">
        <f>SUM(T173,T175,T177,T179,T181,T183)</f>
        <v>1.1348484848484848</v>
      </c>
      <c r="U185" s="106">
        <f t="shared" si="9"/>
        <v>1.1666666666666665</v>
      </c>
      <c r="V185" s="106">
        <f t="shared" si="9"/>
        <v>1.2370370370370369</v>
      </c>
      <c r="W185" s="106">
        <f t="shared" si="9"/>
        <v>0.73666666666666658</v>
      </c>
      <c r="X185" s="106">
        <f t="shared" si="9"/>
        <v>0.87301587301587302</v>
      </c>
      <c r="Y185" s="106">
        <f t="shared" si="9"/>
        <v>0.74117647058823533</v>
      </c>
      <c r="Z185" s="106">
        <f t="shared" si="9"/>
        <v>0</v>
      </c>
      <c r="AA185" s="110">
        <f>SUM(O185:Z185)</f>
        <v>13.869768341680107</v>
      </c>
    </row>
    <row r="187" spans="1:32" ht="20.100000000000001" customHeight="1" x14ac:dyDescent="0.4">
      <c r="M187" s="111" t="s">
        <v>193</v>
      </c>
      <c r="N187" s="112" t="s">
        <v>24</v>
      </c>
      <c r="O187" s="113">
        <f>SUM(O166,O184)</f>
        <v>9.3375000000000004</v>
      </c>
      <c r="P187" s="113">
        <f>SUM(P166,P184)</f>
        <v>8.1968253968253943</v>
      </c>
      <c r="Q187" s="113">
        <f t="shared" ref="O187:Z188" si="10">SUM(Q166,Q184)</f>
        <v>8.5965714285714281</v>
      </c>
      <c r="R187" s="113">
        <f t="shared" si="10"/>
        <v>9</v>
      </c>
      <c r="S187" s="113">
        <f t="shared" si="10"/>
        <v>9.2259682539682526</v>
      </c>
      <c r="T187" s="113">
        <f t="shared" si="10"/>
        <v>9.9757575757575747</v>
      </c>
      <c r="U187" s="113">
        <f t="shared" si="10"/>
        <v>9.2266666666666666</v>
      </c>
      <c r="V187" s="113">
        <f t="shared" si="10"/>
        <v>4.9259259259259256</v>
      </c>
      <c r="W187" s="113">
        <f t="shared" si="10"/>
        <v>5.5500000000000007</v>
      </c>
      <c r="X187" s="113">
        <f t="shared" si="10"/>
        <v>5.4092063492063485</v>
      </c>
      <c r="Y187" s="113">
        <f t="shared" si="10"/>
        <v>4.7215686274509796</v>
      </c>
      <c r="Z187" s="113">
        <f t="shared" si="10"/>
        <v>0</v>
      </c>
      <c r="AA187" s="215">
        <f>SUM(O187:Z187)</f>
        <v>84.165990224372564</v>
      </c>
    </row>
    <row r="188" spans="1:32" ht="20.100000000000001" customHeight="1" x14ac:dyDescent="0.4">
      <c r="M188" s="111" t="s">
        <v>194</v>
      </c>
      <c r="N188" s="114" t="s">
        <v>25</v>
      </c>
      <c r="O188" s="113">
        <f t="shared" si="10"/>
        <v>9.0250000000000004</v>
      </c>
      <c r="P188" s="113">
        <f>SUM(P167,P185)</f>
        <v>7.7142857142857135</v>
      </c>
      <c r="Q188" s="113">
        <f t="shared" si="10"/>
        <v>8.5079365079365079</v>
      </c>
      <c r="R188" s="113">
        <f t="shared" si="10"/>
        <v>8.7393939393939384</v>
      </c>
      <c r="S188" s="113">
        <f t="shared" si="10"/>
        <v>8.9968253968253968</v>
      </c>
      <c r="T188" s="113">
        <f t="shared" si="10"/>
        <v>9.7848484848484834</v>
      </c>
      <c r="U188" s="113">
        <f t="shared" si="10"/>
        <v>9.0433333333333312</v>
      </c>
      <c r="V188" s="113">
        <f t="shared" si="10"/>
        <v>4.2888888888888896</v>
      </c>
      <c r="W188" s="113">
        <f t="shared" si="10"/>
        <v>5.2833333333333323</v>
      </c>
      <c r="X188" s="113">
        <f t="shared" si="10"/>
        <v>5.2984126984126974</v>
      </c>
      <c r="Y188" s="113">
        <f t="shared" si="10"/>
        <v>5.1647058823529415</v>
      </c>
      <c r="Z188" s="113">
        <f>SUM(Z167,Z185)</f>
        <v>0</v>
      </c>
      <c r="AA188" s="159">
        <f>SUM(O188:Z188)</f>
        <v>81.84696417961122</v>
      </c>
    </row>
    <row r="190" spans="1:32" ht="20.100000000000001" customHeight="1" x14ac:dyDescent="0.4">
      <c r="A190" s="107" t="s">
        <v>18</v>
      </c>
    </row>
    <row r="191" spans="1:32" s="97" customFormat="1" ht="20.100000000000001" customHeight="1" x14ac:dyDescent="0.4">
      <c r="A191" s="413" t="s">
        <v>0</v>
      </c>
      <c r="B191" s="420" t="s">
        <v>87</v>
      </c>
      <c r="C191" s="420" t="s">
        <v>6</v>
      </c>
      <c r="D191" s="420" t="s">
        <v>158</v>
      </c>
      <c r="E191" s="420" t="s">
        <v>2</v>
      </c>
      <c r="F191" s="420" t="s">
        <v>159</v>
      </c>
      <c r="G191" s="418" t="s">
        <v>1</v>
      </c>
      <c r="H191" s="411" t="s">
        <v>166</v>
      </c>
      <c r="I191" s="411" t="s">
        <v>167</v>
      </c>
      <c r="J191" s="411" t="s">
        <v>25</v>
      </c>
      <c r="K191" s="413" t="s">
        <v>7</v>
      </c>
      <c r="L191" s="413" t="s">
        <v>8</v>
      </c>
      <c r="M191" s="413" t="s">
        <v>191</v>
      </c>
      <c r="N191" s="409" t="s">
        <v>5</v>
      </c>
      <c r="O191" s="410"/>
      <c r="P191" s="410"/>
      <c r="Q191" s="410"/>
      <c r="R191" s="410"/>
      <c r="S191" s="410"/>
      <c r="T191" s="410"/>
      <c r="U191" s="410"/>
      <c r="V191" s="410"/>
      <c r="W191" s="410"/>
      <c r="X191" s="410"/>
      <c r="Y191" s="410"/>
      <c r="Z191" s="410"/>
      <c r="AA191" s="89"/>
      <c r="AB191" s="89"/>
      <c r="AC191" s="89"/>
      <c r="AD191" s="89"/>
      <c r="AE191" s="89"/>
      <c r="AF191" s="89"/>
    </row>
    <row r="192" spans="1:32" s="97" customFormat="1" ht="20.100000000000001" customHeight="1" x14ac:dyDescent="0.4">
      <c r="A192" s="414"/>
      <c r="B192" s="420"/>
      <c r="C192" s="420"/>
      <c r="D192" s="420"/>
      <c r="E192" s="420"/>
      <c r="F192" s="420"/>
      <c r="G192" s="419"/>
      <c r="H192" s="412"/>
      <c r="I192" s="412"/>
      <c r="J192" s="412"/>
      <c r="K192" s="414"/>
      <c r="L192" s="414"/>
      <c r="M192" s="414"/>
      <c r="N192" s="115"/>
      <c r="O192" s="116" t="s">
        <v>135</v>
      </c>
      <c r="P192" s="116" t="s">
        <v>136</v>
      </c>
      <c r="Q192" s="116" t="s">
        <v>138</v>
      </c>
      <c r="R192" s="116" t="s">
        <v>139</v>
      </c>
      <c r="S192" s="116" t="s">
        <v>140</v>
      </c>
      <c r="T192" s="116" t="s">
        <v>141</v>
      </c>
      <c r="U192" s="116" t="s">
        <v>142</v>
      </c>
      <c r="V192" s="116" t="s">
        <v>143</v>
      </c>
      <c r="W192" s="116" t="s">
        <v>144</v>
      </c>
      <c r="X192" s="116" t="s">
        <v>145</v>
      </c>
      <c r="Y192" s="116" t="s">
        <v>30</v>
      </c>
      <c r="Z192" s="116" t="s">
        <v>146</v>
      </c>
      <c r="AA192" s="89"/>
      <c r="AB192" s="89"/>
      <c r="AC192" s="89"/>
      <c r="AD192" s="89"/>
      <c r="AE192" s="89"/>
      <c r="AF192" s="89"/>
    </row>
    <row r="193" spans="1:32" ht="36" customHeight="1" x14ac:dyDescent="0.4">
      <c r="A193" s="372">
        <v>1</v>
      </c>
      <c r="B193" s="372" t="s">
        <v>46</v>
      </c>
      <c r="C193" s="372" t="s">
        <v>14</v>
      </c>
      <c r="D193" s="374" t="s">
        <v>19</v>
      </c>
      <c r="E193" s="376" t="s">
        <v>177</v>
      </c>
      <c r="F193" s="374" t="s">
        <v>19</v>
      </c>
      <c r="G193" s="377" t="s">
        <v>178</v>
      </c>
      <c r="H193" s="379">
        <v>0</v>
      </c>
      <c r="I193" s="379">
        <f>SUM(Y193:Y193)</f>
        <v>0</v>
      </c>
      <c r="J193" s="367">
        <f>SUM(Y194:Y194)</f>
        <v>0.1764705882352941</v>
      </c>
      <c r="K193" s="117"/>
      <c r="L193" s="117"/>
      <c r="M193" s="415"/>
      <c r="N193" s="99" t="s">
        <v>24</v>
      </c>
      <c r="O193" s="153">
        <f>SUM('案件．要員情報'!O198:X198)</f>
        <v>0.66666666666666663</v>
      </c>
      <c r="P193" s="153">
        <f>SUM('案件．要員情報'!Y198:AH198)</f>
        <v>0.35873015873015868</v>
      </c>
      <c r="Q193" s="153">
        <f>SUM('案件．要員情報'!AI198:AR198)</f>
        <v>0.2095238095238095</v>
      </c>
      <c r="R193" s="153">
        <f>SUM('案件．要員情報'!AS198:BB198)</f>
        <v>0.20606060606060606</v>
      </c>
      <c r="S193" s="153">
        <f>SUM('案件．要員情報'!BC198:BL198)</f>
        <v>0.77460317460317452</v>
      </c>
      <c r="T193" s="153">
        <f>SUM('案件．要員情報'!BM198:BV198)</f>
        <v>2.4242424242424242E-2</v>
      </c>
      <c r="U193" s="153">
        <f>SUM('案件．要員情報'!BW198:CF198)</f>
        <v>0.77333333333333332</v>
      </c>
      <c r="V193" s="153">
        <f>SUM('案件．要員情報'!CG198:CP198)</f>
        <v>2.5185185185185186</v>
      </c>
      <c r="W193" s="153">
        <f>SUM('案件．要員情報'!CQ198:CW198)</f>
        <v>0.6</v>
      </c>
      <c r="X193" s="153">
        <f>SUM('案件．要員情報'!CX198:DD198)</f>
        <v>0.47619047619047616</v>
      </c>
      <c r="Y193" s="153">
        <f>SUM('案件．要員情報'!DE198:DK198)</f>
        <v>0</v>
      </c>
      <c r="Z193" s="153">
        <f>SUM('案件．要員情報'!DL198:DS198)</f>
        <v>0</v>
      </c>
    </row>
    <row r="194" spans="1:32" ht="15.75" x14ac:dyDescent="0.4">
      <c r="A194" s="373"/>
      <c r="B194" s="373"/>
      <c r="C194" s="373"/>
      <c r="D194" s="375"/>
      <c r="E194" s="375"/>
      <c r="F194" s="375"/>
      <c r="G194" s="378"/>
      <c r="H194" s="380"/>
      <c r="I194" s="380"/>
      <c r="J194" s="368"/>
      <c r="K194" s="118"/>
      <c r="L194" s="118"/>
      <c r="M194" s="361"/>
      <c r="N194" s="100" t="s">
        <v>25</v>
      </c>
      <c r="O194" s="156">
        <f>SUM('案件．要員情報'!O199:X199)</f>
        <v>0.82916666666666661</v>
      </c>
      <c r="P194" s="156">
        <f>SUM('案件．要員情報'!Y199:AH199)</f>
        <v>0.42222222222222217</v>
      </c>
      <c r="Q194" s="156">
        <f>SUM('案件．要員情報'!AI199:AR199)</f>
        <v>0.2</v>
      </c>
      <c r="R194" s="156">
        <f>SUM('案件．要員情報'!AS199:BB199)</f>
        <v>0.46666666666666667</v>
      </c>
      <c r="S194" s="156">
        <f>SUM('案件．要員情報'!BC199:BL199)</f>
        <v>0.67619047619047601</v>
      </c>
      <c r="T194" s="156">
        <f>SUM('案件．要員情報'!BM199:BV199)</f>
        <v>0.21212121212121215</v>
      </c>
      <c r="U194" s="156">
        <f>SUM('案件．要員情報'!BW199:CF199)</f>
        <v>0.92</v>
      </c>
      <c r="V194" s="156">
        <f>SUM('案件．要員情報'!CG199:CP199)</f>
        <v>3.0296296296296292</v>
      </c>
      <c r="W194" s="156">
        <f>SUM('案件．要員情報'!CQ199:CW199)</f>
        <v>0.85</v>
      </c>
      <c r="X194" s="156">
        <f>SUM('案件．要員情報'!CX199:DD199)</f>
        <v>0.48888888888888882</v>
      </c>
      <c r="Y194" s="156">
        <f>SUM('案件．要員情報'!DE199:DK199)</f>
        <v>0.1764705882352941</v>
      </c>
      <c r="Z194" s="156">
        <f>SUM('案件．要員情報'!DL199:DS199)</f>
        <v>0</v>
      </c>
    </row>
    <row r="195" spans="1:32" ht="20.100000000000001" customHeight="1" x14ac:dyDescent="0.4">
      <c r="A195" s="372">
        <v>2</v>
      </c>
      <c r="B195" s="372" t="s">
        <v>46</v>
      </c>
      <c r="C195" s="372" t="s">
        <v>14</v>
      </c>
      <c r="D195" s="374" t="s">
        <v>19</v>
      </c>
      <c r="E195" s="376" t="s">
        <v>197</v>
      </c>
      <c r="F195" s="374" t="s">
        <v>19</v>
      </c>
      <c r="G195" s="377" t="s">
        <v>179</v>
      </c>
      <c r="H195" s="379">
        <v>0</v>
      </c>
      <c r="I195" s="379">
        <f>SUM(Y195:Y195)</f>
        <v>0.5490196078431373</v>
      </c>
      <c r="J195" s="367">
        <f>SUM(Y196:Y196)</f>
        <v>0.69803921568627447</v>
      </c>
      <c r="K195" s="117"/>
      <c r="L195" s="117"/>
      <c r="M195" s="360"/>
      <c r="N195" s="99" t="s">
        <v>24</v>
      </c>
      <c r="O195" s="153">
        <f>SUM('案件．要員情報'!O200:X200)</f>
        <v>0</v>
      </c>
      <c r="P195" s="153">
        <f>SUM('案件．要員情報'!Y200:AH200)</f>
        <v>1.4476190476190474</v>
      </c>
      <c r="Q195" s="153">
        <f>SUM('案件．要員情報'!AI200:AR200)</f>
        <v>1.1936507936507936</v>
      </c>
      <c r="R195" s="153">
        <f>SUM('案件．要員情報'!AS200:BB200)</f>
        <v>0.79393939393939383</v>
      </c>
      <c r="S195" s="153">
        <f>SUM('案件．要員情報'!BC200:BL200)</f>
        <v>0</v>
      </c>
      <c r="T195" s="153">
        <f>SUM('案件．要員情報'!BM200:BV200)</f>
        <v>0</v>
      </c>
      <c r="U195" s="153">
        <f>SUM('案件．要員情報'!BW200:CF200)</f>
        <v>0</v>
      </c>
      <c r="V195" s="153">
        <f>SUM('案件．要員情報'!CG200:CP200)</f>
        <v>2.5555555555555558</v>
      </c>
      <c r="W195" s="153">
        <f>SUM('案件．要員情報'!CQ200:CW200)</f>
        <v>0.85</v>
      </c>
      <c r="X195" s="153">
        <f>SUM('案件．要員情報'!CX200:DD200)</f>
        <v>1.1111111111111112</v>
      </c>
      <c r="Y195" s="153">
        <f>SUM('案件．要員情報'!DE200:DK200)</f>
        <v>0.5490196078431373</v>
      </c>
      <c r="Z195" s="153">
        <f>SUM('案件．要員情報'!DL200:DS200)</f>
        <v>0</v>
      </c>
    </row>
    <row r="196" spans="1:32" ht="15.75" x14ac:dyDescent="0.4">
      <c r="A196" s="373"/>
      <c r="B196" s="373"/>
      <c r="C196" s="373"/>
      <c r="D196" s="375"/>
      <c r="E196" s="375"/>
      <c r="F196" s="375"/>
      <c r="G196" s="378"/>
      <c r="H196" s="380"/>
      <c r="I196" s="380"/>
      <c r="J196" s="368"/>
      <c r="K196" s="118"/>
      <c r="L196" s="118"/>
      <c r="M196" s="361"/>
      <c r="N196" s="100" t="s">
        <v>25</v>
      </c>
      <c r="O196" s="156">
        <f>SUM('案件．要員情報'!O201:X201)</f>
        <v>0</v>
      </c>
      <c r="P196" s="156">
        <f>SUM('案件．要員情報'!Y201:AH201)</f>
        <v>1.5492063492063493</v>
      </c>
      <c r="Q196" s="156">
        <f>SUM('案件．要員情報'!AI201:AR201)</f>
        <v>1.2825396825396826</v>
      </c>
      <c r="R196" s="156">
        <f>SUM('案件．要員情報'!AS201:BB201)</f>
        <v>0.7848484848484848</v>
      </c>
      <c r="S196" s="156">
        <f>SUM('案件．要員情報'!BC201:BL201)</f>
        <v>1.5873015873015872E-2</v>
      </c>
      <c r="T196" s="156">
        <f>SUM('案件．要員情報'!BM201:BV201)</f>
        <v>0</v>
      </c>
      <c r="U196" s="156">
        <f>SUM('案件．要員情報'!BW201:CF201)</f>
        <v>0</v>
      </c>
      <c r="V196" s="156">
        <f>SUM('案件．要員情報'!CG201:CP201)</f>
        <v>2.2222222222222219</v>
      </c>
      <c r="W196" s="156">
        <f>SUM('案件．要員情報'!CQ201:CW201)</f>
        <v>0.86999999999999988</v>
      </c>
      <c r="X196" s="156">
        <f>SUM('案件．要員情報'!CX201:DD201)</f>
        <v>1.2126984126984128</v>
      </c>
      <c r="Y196" s="156">
        <f>SUM('案件．要員情報'!DE201:DK201)</f>
        <v>0.69803921568627447</v>
      </c>
      <c r="Z196" s="156">
        <f>SUM('案件．要員情報'!DL201:DS201)</f>
        <v>0</v>
      </c>
    </row>
    <row r="197" spans="1:32" ht="20.100000000000001" customHeight="1" x14ac:dyDescent="0.4">
      <c r="A197" s="372">
        <v>3</v>
      </c>
      <c r="B197" s="372" t="s">
        <v>46</v>
      </c>
      <c r="C197" s="372" t="s">
        <v>14</v>
      </c>
      <c r="D197" s="374" t="s">
        <v>19</v>
      </c>
      <c r="E197" s="376" t="s">
        <v>198</v>
      </c>
      <c r="F197" s="374" t="s">
        <v>19</v>
      </c>
      <c r="G197" s="377" t="s">
        <v>200</v>
      </c>
      <c r="H197" s="379">
        <v>0</v>
      </c>
      <c r="I197" s="379">
        <f>SUM(Y197:Y197)</f>
        <v>0</v>
      </c>
      <c r="J197" s="367">
        <f>SUM(Y198:Y198)</f>
        <v>0</v>
      </c>
      <c r="K197" s="117"/>
      <c r="L197" s="117"/>
      <c r="M197" s="360"/>
      <c r="N197" s="99" t="s">
        <v>24</v>
      </c>
      <c r="O197" s="153">
        <f>SUM('案件．要員情報'!O202:X202)</f>
        <v>0</v>
      </c>
      <c r="P197" s="153">
        <f>SUM('案件．要員情報'!Y202:AH202)</f>
        <v>0</v>
      </c>
      <c r="Q197" s="153">
        <f>SUM('案件．要員情報'!AI202:AR202)</f>
        <v>0</v>
      </c>
      <c r="R197" s="153">
        <f>SUM('案件．要員情報'!AS202:BB202)</f>
        <v>0</v>
      </c>
      <c r="S197" s="153">
        <f>SUM('案件．要員情報'!BC202:BL202)</f>
        <v>0</v>
      </c>
      <c r="T197" s="153">
        <f>SUM('案件．要員情報'!BM202:BV202)</f>
        <v>0</v>
      </c>
      <c r="U197" s="153">
        <f>SUM('案件．要員情報'!BW202:CF202)</f>
        <v>0</v>
      </c>
      <c r="V197" s="153">
        <f>SUM('案件．要員情報'!CG202:CP202)</f>
        <v>0</v>
      </c>
      <c r="W197" s="153">
        <f>SUM('案件．要員情報'!CQ202:CW202)</f>
        <v>0</v>
      </c>
      <c r="X197" s="153">
        <f>SUM('案件．要員情報'!CX202:DD202)</f>
        <v>0</v>
      </c>
      <c r="Y197" s="153">
        <f>SUM('案件．要員情報'!DE202:DK202)</f>
        <v>0</v>
      </c>
      <c r="Z197" s="153">
        <f>SUM('案件．要員情報'!DL202:DS202)</f>
        <v>0</v>
      </c>
    </row>
    <row r="198" spans="1:32" ht="15.75" x14ac:dyDescent="0.4">
      <c r="A198" s="373"/>
      <c r="B198" s="373"/>
      <c r="C198" s="373"/>
      <c r="D198" s="375"/>
      <c r="E198" s="375"/>
      <c r="F198" s="375"/>
      <c r="G198" s="378"/>
      <c r="H198" s="380"/>
      <c r="I198" s="380"/>
      <c r="J198" s="368"/>
      <c r="K198" s="118"/>
      <c r="L198" s="118"/>
      <c r="M198" s="361"/>
      <c r="N198" s="100" t="s">
        <v>25</v>
      </c>
      <c r="O198" s="156">
        <f>SUM('案件．要員情報'!O203:X203)</f>
        <v>0</v>
      </c>
      <c r="P198" s="156">
        <f>SUM('案件．要員情報'!Y203:AH203)</f>
        <v>0</v>
      </c>
      <c r="Q198" s="156">
        <f>SUM('案件．要員情報'!AI203:AR203)</f>
        <v>0</v>
      </c>
      <c r="R198" s="156">
        <f>SUM('案件．要員情報'!AS203:BB203)</f>
        <v>0</v>
      </c>
      <c r="S198" s="156">
        <f>SUM('案件．要員情報'!BC203:BL203)</f>
        <v>0</v>
      </c>
      <c r="T198" s="156">
        <f>SUM('案件．要員情報'!BM203:BV203)</f>
        <v>0</v>
      </c>
      <c r="U198" s="156">
        <f>SUM('案件．要員情報'!BW203:CF203)</f>
        <v>0</v>
      </c>
      <c r="V198" s="156">
        <f>SUM('案件．要員情報'!CG203:CP203)</f>
        <v>0</v>
      </c>
      <c r="W198" s="156">
        <f>SUM('案件．要員情報'!CQ203:CW203)</f>
        <v>0</v>
      </c>
      <c r="X198" s="156">
        <f>SUM('案件．要員情報'!CX203:DD203)</f>
        <v>0</v>
      </c>
      <c r="Y198" s="156">
        <f>SUM('案件．要員情報'!DE203:DK203)</f>
        <v>0</v>
      </c>
      <c r="Z198" s="156">
        <f>SUM('案件．要員情報'!DL203:DS203)</f>
        <v>0</v>
      </c>
    </row>
    <row r="199" spans="1:32" ht="15.75" x14ac:dyDescent="0.4">
      <c r="A199" s="372">
        <v>4</v>
      </c>
      <c r="B199" s="372" t="s">
        <v>46</v>
      </c>
      <c r="C199" s="372" t="s">
        <v>14</v>
      </c>
      <c r="D199" s="374" t="s">
        <v>19</v>
      </c>
      <c r="E199" s="374" t="s">
        <v>19</v>
      </c>
      <c r="F199" s="374" t="s">
        <v>19</v>
      </c>
      <c r="G199" s="377" t="s">
        <v>22</v>
      </c>
      <c r="H199" s="379">
        <v>0</v>
      </c>
      <c r="I199" s="379">
        <f>SUM(Y199:Y199)</f>
        <v>0</v>
      </c>
      <c r="J199" s="367">
        <f>SUM(Y200:Y200)</f>
        <v>0</v>
      </c>
      <c r="K199" s="108"/>
      <c r="L199" s="108"/>
      <c r="M199" s="402" t="s">
        <v>43</v>
      </c>
      <c r="N199" s="99" t="s">
        <v>24</v>
      </c>
      <c r="O199" s="153">
        <f>SUM('案件．要員情報'!O204:X204)</f>
        <v>0</v>
      </c>
      <c r="P199" s="153">
        <f>SUM('案件．要員情報'!Y204:AH204)</f>
        <v>0</v>
      </c>
      <c r="Q199" s="153">
        <f>SUM('案件．要員情報'!AI204:AR204)</f>
        <v>0</v>
      </c>
      <c r="R199" s="153">
        <f>SUM('案件．要員情報'!AS204:BB204)</f>
        <v>0</v>
      </c>
      <c r="S199" s="153">
        <f>SUM('案件．要員情報'!BC204:BL204)</f>
        <v>0</v>
      </c>
      <c r="T199" s="153">
        <f>SUM('案件．要員情報'!BM204:BV204)</f>
        <v>0</v>
      </c>
      <c r="U199" s="153">
        <f>SUM('案件．要員情報'!BW204:CF204)</f>
        <v>0</v>
      </c>
      <c r="V199" s="153">
        <f>SUM('案件．要員情報'!CG204:CP204)</f>
        <v>0</v>
      </c>
      <c r="W199" s="153">
        <f>SUM('案件．要員情報'!CQ204:CW204)</f>
        <v>0</v>
      </c>
      <c r="X199" s="153">
        <f>SUM('案件．要員情報'!CX204:DD204)</f>
        <v>0</v>
      </c>
      <c r="Y199" s="153">
        <f>SUM('案件．要員情報'!DE204:DK204)</f>
        <v>0</v>
      </c>
      <c r="Z199" s="153">
        <f>SUM('案件．要員情報'!DL204:DS204)</f>
        <v>0</v>
      </c>
    </row>
    <row r="200" spans="1:32" ht="15.75" x14ac:dyDescent="0.4">
      <c r="A200" s="373"/>
      <c r="B200" s="373"/>
      <c r="C200" s="373"/>
      <c r="D200" s="375"/>
      <c r="E200" s="375"/>
      <c r="F200" s="375"/>
      <c r="G200" s="378"/>
      <c r="H200" s="380"/>
      <c r="I200" s="380"/>
      <c r="J200" s="368"/>
      <c r="K200" s="109"/>
      <c r="L200" s="109"/>
      <c r="M200" s="361"/>
      <c r="N200" s="100" t="s">
        <v>25</v>
      </c>
      <c r="O200" s="156">
        <f>SUM('案件．要員情報'!O205:X205)</f>
        <v>0</v>
      </c>
      <c r="P200" s="156">
        <f>SUM('案件．要員情報'!Y205:AH205)</f>
        <v>0</v>
      </c>
      <c r="Q200" s="156">
        <f>SUM('案件．要員情報'!AI205:AR205)</f>
        <v>0</v>
      </c>
      <c r="R200" s="156">
        <f>SUM('案件．要員情報'!AS205:BB205)</f>
        <v>0</v>
      </c>
      <c r="S200" s="156">
        <f>SUM('案件．要員情報'!BC205:BL205)</f>
        <v>0.31111111111111112</v>
      </c>
      <c r="T200" s="156">
        <f>SUM('案件．要員情報'!BM205:BV205)</f>
        <v>0</v>
      </c>
      <c r="U200" s="156">
        <f>SUM('案件．要員情報'!BW205:CF205)</f>
        <v>0</v>
      </c>
      <c r="V200" s="156">
        <f>SUM('案件．要員情報'!CG205:CP205)</f>
        <v>0</v>
      </c>
      <c r="W200" s="156">
        <f>SUM('案件．要員情報'!CQ205:CW205)</f>
        <v>0</v>
      </c>
      <c r="X200" s="156">
        <f>SUM('案件．要員情報'!CX205:DD205)</f>
        <v>0</v>
      </c>
      <c r="Y200" s="156">
        <f>SUM('案件．要員情報'!DE205:DK205)</f>
        <v>0</v>
      </c>
      <c r="Z200" s="156">
        <f>SUM('案件．要員情報'!DL205:DS205)</f>
        <v>0</v>
      </c>
    </row>
    <row r="201" spans="1:32" ht="20.100000000000001" customHeight="1" x14ac:dyDescent="0.4">
      <c r="A201" s="372">
        <v>5</v>
      </c>
      <c r="B201" s="372" t="s">
        <v>46</v>
      </c>
      <c r="C201" s="372" t="s">
        <v>14</v>
      </c>
      <c r="D201" s="374" t="s">
        <v>19</v>
      </c>
      <c r="E201" s="374" t="s">
        <v>19</v>
      </c>
      <c r="F201" s="374" t="s">
        <v>19</v>
      </c>
      <c r="G201" s="400" t="s">
        <v>23</v>
      </c>
      <c r="H201" s="379">
        <v>0</v>
      </c>
      <c r="I201" s="379">
        <f>SUM(Y201:Y201)</f>
        <v>0</v>
      </c>
      <c r="J201" s="367">
        <f>SUM(Y202:Y202)</f>
        <v>0</v>
      </c>
      <c r="K201" s="108"/>
      <c r="L201" s="108"/>
      <c r="M201" s="403" t="s">
        <v>19</v>
      </c>
      <c r="N201" s="99" t="s">
        <v>24</v>
      </c>
      <c r="O201" s="153">
        <f>SUM('案件．要員情報'!O206:X206)</f>
        <v>0</v>
      </c>
      <c r="P201" s="153">
        <f>SUM('案件．要員情報'!Y206:AH206)</f>
        <v>0</v>
      </c>
      <c r="Q201" s="153">
        <f>SUM('案件．要員情報'!AI206:AR206)</f>
        <v>0</v>
      </c>
      <c r="R201" s="153">
        <f>SUM('案件．要員情報'!AS206:BB206)</f>
        <v>0</v>
      </c>
      <c r="S201" s="153">
        <f>SUM('案件．要員情報'!BC206:BL206)</f>
        <v>0</v>
      </c>
      <c r="T201" s="153">
        <f>SUM('案件．要員情報'!BM206:BV206)</f>
        <v>0</v>
      </c>
      <c r="U201" s="153">
        <f>SUM('案件．要員情報'!BW206:CF206)</f>
        <v>0</v>
      </c>
      <c r="V201" s="153">
        <f>SUM('案件．要員情報'!CG206:CP206)</f>
        <v>0</v>
      </c>
      <c r="W201" s="153">
        <f>SUM('案件．要員情報'!CQ206:CW206)</f>
        <v>0</v>
      </c>
      <c r="X201" s="153">
        <f>SUM('案件．要員情報'!CX206:DD206)</f>
        <v>0</v>
      </c>
      <c r="Y201" s="153">
        <f>SUM('案件．要員情報'!DE206:DK206)</f>
        <v>0</v>
      </c>
      <c r="Z201" s="153">
        <f>SUM('案件．要員情報'!DL206:DS206)</f>
        <v>0</v>
      </c>
    </row>
    <row r="202" spans="1:32" ht="20.100000000000001" customHeight="1" x14ac:dyDescent="0.4">
      <c r="A202" s="373"/>
      <c r="B202" s="373"/>
      <c r="C202" s="373"/>
      <c r="D202" s="375"/>
      <c r="E202" s="375"/>
      <c r="F202" s="375"/>
      <c r="G202" s="401"/>
      <c r="H202" s="380"/>
      <c r="I202" s="380"/>
      <c r="J202" s="368"/>
      <c r="K202" s="109"/>
      <c r="L202" s="109"/>
      <c r="M202" s="361"/>
      <c r="N202" s="100" t="s">
        <v>25</v>
      </c>
      <c r="O202" s="156">
        <f>SUM('案件．要員情報'!O207:X207)</f>
        <v>0.14583333333333334</v>
      </c>
      <c r="P202" s="156">
        <f>SUM('案件．要員情報'!Y207:AH207)</f>
        <v>0.31428571428571428</v>
      </c>
      <c r="Q202" s="156">
        <f>SUM('案件．要員情報'!AI207:AR207)</f>
        <v>1.2698412698412698E-2</v>
      </c>
      <c r="R202" s="156">
        <f>SUM('案件．要員情報'!AS207:BB207)</f>
        <v>6.0606060606060606E-3</v>
      </c>
      <c r="S202" s="156">
        <f>SUM('案件．要員情報'!BC207:BL207)</f>
        <v>0</v>
      </c>
      <c r="T202" s="156">
        <f>SUM('案件．要員情報'!BM207:BV207)</f>
        <v>0</v>
      </c>
      <c r="U202" s="156">
        <f>SUM('案件．要員情報'!BW207:CF207)</f>
        <v>3.3333333333333333E-2</v>
      </c>
      <c r="V202" s="156">
        <f>SUM('案件．要員情報'!CG207:CP207)</f>
        <v>0.46296296296296297</v>
      </c>
      <c r="W202" s="156">
        <f>SUM('案件．要員情報'!CQ207:CW207)</f>
        <v>0</v>
      </c>
      <c r="X202" s="156">
        <f>SUM('案件．要員情報'!CX207:DD207)</f>
        <v>0</v>
      </c>
      <c r="Y202" s="156">
        <f>SUM('案件．要員情報'!DE207:DK207)</f>
        <v>0</v>
      </c>
      <c r="Z202" s="156">
        <f>SUM('案件．要員情報'!DL207:DS207)</f>
        <v>0</v>
      </c>
    </row>
    <row r="203" spans="1:32" ht="20.100000000000001" customHeight="1" x14ac:dyDescent="0.4">
      <c r="A203" s="390" t="s">
        <v>35</v>
      </c>
      <c r="B203" s="391"/>
      <c r="C203" s="391"/>
      <c r="D203" s="391"/>
      <c r="E203" s="391"/>
      <c r="F203" s="391"/>
      <c r="G203" s="392"/>
      <c r="H203" s="379">
        <f>SUM(H193:H202)</f>
        <v>0</v>
      </c>
      <c r="I203" s="379">
        <f>SUM(I193:I202)</f>
        <v>0.5490196078431373</v>
      </c>
      <c r="J203" s="379">
        <f>SUM(J193:J202)</f>
        <v>0.87450980392156863</v>
      </c>
      <c r="K203" s="102"/>
      <c r="L203" s="102"/>
      <c r="M203" s="103" t="s">
        <v>37</v>
      </c>
      <c r="N203" s="99" t="s">
        <v>24</v>
      </c>
      <c r="O203" s="98">
        <f t="shared" ref="O203:Q204" si="11">SUM(O193,O195,O197,O199,O201)</f>
        <v>0.66666666666666663</v>
      </c>
      <c r="P203" s="98">
        <f t="shared" si="11"/>
        <v>1.8063492063492061</v>
      </c>
      <c r="Q203" s="98">
        <f t="shared" si="11"/>
        <v>1.4031746031746031</v>
      </c>
      <c r="R203" s="98">
        <f t="shared" ref="R203:Z203" si="12">SUM(R193,R195,R197,R199,R201)</f>
        <v>0.99999999999999989</v>
      </c>
      <c r="S203" s="98">
        <f t="shared" si="12"/>
        <v>0.77460317460317452</v>
      </c>
      <c r="T203" s="98">
        <f t="shared" si="12"/>
        <v>2.4242424242424242E-2</v>
      </c>
      <c r="U203" s="98">
        <f t="shared" si="12"/>
        <v>0.77333333333333332</v>
      </c>
      <c r="V203" s="98">
        <f t="shared" si="12"/>
        <v>5.0740740740740744</v>
      </c>
      <c r="W203" s="98">
        <f t="shared" si="12"/>
        <v>1.45</v>
      </c>
      <c r="X203" s="98">
        <f t="shared" si="12"/>
        <v>1.5873015873015874</v>
      </c>
      <c r="Y203" s="98">
        <f t="shared" si="12"/>
        <v>0.5490196078431373</v>
      </c>
      <c r="Z203" s="98">
        <f t="shared" si="12"/>
        <v>0</v>
      </c>
    </row>
    <row r="204" spans="1:32" ht="20.100000000000001" customHeight="1" x14ac:dyDescent="0.4">
      <c r="A204" s="393"/>
      <c r="B204" s="394"/>
      <c r="C204" s="394"/>
      <c r="D204" s="394"/>
      <c r="E204" s="394"/>
      <c r="F204" s="394"/>
      <c r="G204" s="395"/>
      <c r="H204" s="380"/>
      <c r="I204" s="380"/>
      <c r="J204" s="380"/>
      <c r="K204" s="104"/>
      <c r="L204" s="104"/>
      <c r="M204" s="105" t="s">
        <v>81</v>
      </c>
      <c r="N204" s="100" t="s">
        <v>25</v>
      </c>
      <c r="O204" s="106">
        <f t="shared" si="11"/>
        <v>0.97499999999999998</v>
      </c>
      <c r="P204" s="106">
        <f t="shared" si="11"/>
        <v>2.2857142857142856</v>
      </c>
      <c r="Q204" s="106">
        <f t="shared" si="11"/>
        <v>1.4952380952380953</v>
      </c>
      <c r="R204" s="106">
        <f t="shared" ref="R204:Z204" si="13">SUM(R194,R196,R198,R200,R202)</f>
        <v>1.2575757575757576</v>
      </c>
      <c r="S204" s="106">
        <f t="shared" si="13"/>
        <v>1.0031746031746029</v>
      </c>
      <c r="T204" s="106">
        <f t="shared" si="13"/>
        <v>0.21212121212121215</v>
      </c>
      <c r="U204" s="106">
        <f t="shared" si="13"/>
        <v>0.95333333333333337</v>
      </c>
      <c r="V204" s="106">
        <f t="shared" si="13"/>
        <v>5.7148148148148143</v>
      </c>
      <c r="W204" s="106">
        <f t="shared" si="13"/>
        <v>1.7199999999999998</v>
      </c>
      <c r="X204" s="106">
        <f t="shared" si="13"/>
        <v>1.7015873015873018</v>
      </c>
      <c r="Y204" s="106">
        <f t="shared" si="13"/>
        <v>0.87450980392156863</v>
      </c>
      <c r="Z204" s="106">
        <f t="shared" si="13"/>
        <v>0</v>
      </c>
      <c r="AB204" s="139"/>
      <c r="AC204" s="139"/>
    </row>
    <row r="205" spans="1:32" ht="20.100000000000001" customHeight="1" x14ac:dyDescent="0.4">
      <c r="M205" s="119"/>
      <c r="N205" s="120"/>
      <c r="O205" s="120"/>
      <c r="P205" s="120"/>
      <c r="Q205" s="120"/>
      <c r="R205" s="120"/>
      <c r="S205" s="120"/>
      <c r="T205" s="120"/>
      <c r="U205" s="120"/>
      <c r="V205" s="120"/>
      <c r="W205" s="120"/>
      <c r="X205" s="120"/>
      <c r="Y205" s="120"/>
      <c r="Z205" s="120"/>
    </row>
    <row r="206" spans="1:32" ht="30" customHeight="1" thickBot="1" x14ac:dyDescent="0.45">
      <c r="G206" s="121" t="s">
        <v>195</v>
      </c>
      <c r="H206" s="122">
        <f>SUM(H166,H184)</f>
        <v>0</v>
      </c>
      <c r="I206" s="122">
        <f>SUM(I166,I184)</f>
        <v>0</v>
      </c>
      <c r="K206" s="421" t="s">
        <v>196</v>
      </c>
      <c r="L206" s="421"/>
      <c r="M206" s="421"/>
      <c r="N206" s="112" t="s">
        <v>24</v>
      </c>
      <c r="O206" s="112">
        <f>SUM(O187,O203)</f>
        <v>10.004166666666666</v>
      </c>
      <c r="P206" s="112">
        <f>SUM(P187,P203)</f>
        <v>10.0031746031746</v>
      </c>
      <c r="Q206" s="112">
        <f t="shared" ref="Q206:Z206" si="14">SUM(Q187,Q203)</f>
        <v>9.9997460317460316</v>
      </c>
      <c r="R206" s="112">
        <f t="shared" si="14"/>
        <v>10</v>
      </c>
      <c r="S206" s="112">
        <f t="shared" si="14"/>
        <v>10.000571428571426</v>
      </c>
      <c r="T206" s="112">
        <f t="shared" si="14"/>
        <v>9.9999999999999982</v>
      </c>
      <c r="U206" s="112">
        <f t="shared" si="14"/>
        <v>10</v>
      </c>
      <c r="V206" s="112">
        <f t="shared" si="14"/>
        <v>10</v>
      </c>
      <c r="W206" s="112">
        <f t="shared" si="14"/>
        <v>7.0000000000000009</v>
      </c>
      <c r="X206" s="112">
        <f t="shared" si="14"/>
        <v>6.9965079365079355</v>
      </c>
      <c r="Y206" s="112">
        <f t="shared" si="14"/>
        <v>5.2705882352941167</v>
      </c>
      <c r="Z206" s="112">
        <f t="shared" si="14"/>
        <v>0</v>
      </c>
      <c r="AA206" s="215">
        <f>SUM(O206:Z206)</f>
        <v>99.274754901960776</v>
      </c>
    </row>
    <row r="207" spans="1:32" ht="30" customHeight="1" thickTop="1" thickBot="1" x14ac:dyDescent="0.45">
      <c r="G207" s="121" t="s">
        <v>83</v>
      </c>
      <c r="H207" s="123">
        <f>H203</f>
        <v>0</v>
      </c>
      <c r="I207" s="123">
        <f>I203</f>
        <v>0.5490196078431373</v>
      </c>
      <c r="K207" s="421" t="s">
        <v>196</v>
      </c>
      <c r="L207" s="421"/>
      <c r="M207" s="421"/>
      <c r="N207" s="114" t="s">
        <v>25</v>
      </c>
      <c r="O207" s="112">
        <f>SUM(O188,O204)</f>
        <v>10</v>
      </c>
      <c r="P207" s="112">
        <f>SUM(P188,P204)</f>
        <v>10</v>
      </c>
      <c r="Q207" s="112">
        <f t="shared" ref="Q207:Z207" si="15">SUM(Q188,Q204)</f>
        <v>10.003174603174603</v>
      </c>
      <c r="R207" s="112">
        <f t="shared" si="15"/>
        <v>9.9969696969696962</v>
      </c>
      <c r="S207" s="112">
        <f t="shared" si="15"/>
        <v>10</v>
      </c>
      <c r="T207" s="112">
        <f t="shared" si="15"/>
        <v>9.9969696969696962</v>
      </c>
      <c r="U207" s="112">
        <f t="shared" si="15"/>
        <v>9.9966666666666644</v>
      </c>
      <c r="V207" s="112">
        <f t="shared" si="15"/>
        <v>10.003703703703703</v>
      </c>
      <c r="W207" s="112">
        <f t="shared" si="15"/>
        <v>7.0033333333333321</v>
      </c>
      <c r="X207" s="112">
        <f t="shared" si="15"/>
        <v>6.9999999999999991</v>
      </c>
      <c r="Y207" s="112">
        <f t="shared" si="15"/>
        <v>6.0392156862745097</v>
      </c>
      <c r="Z207" s="112">
        <f t="shared" si="15"/>
        <v>0</v>
      </c>
      <c r="AA207" s="159">
        <f>SUM(O207:Z207)</f>
        <v>100.04003338709222</v>
      </c>
      <c r="AC207" s="101"/>
      <c r="AD207" s="101"/>
    </row>
    <row r="208" spans="1:32" ht="20.100000000000001" customHeight="1" thickTop="1" x14ac:dyDescent="0.4">
      <c r="P208" s="124"/>
      <c r="Q208" s="124"/>
      <c r="R208" s="125"/>
      <c r="S208" s="125"/>
      <c r="T208" s="125"/>
      <c r="U208" s="125"/>
      <c r="V208" s="124"/>
      <c r="W208" s="124"/>
      <c r="X208" s="124"/>
      <c r="Y208" s="124"/>
      <c r="Z208" s="124"/>
      <c r="AA208" s="124"/>
      <c r="AB208" s="124"/>
      <c r="AC208" s="124"/>
      <c r="AD208" s="124"/>
      <c r="AE208" s="124"/>
      <c r="AF208" s="124"/>
    </row>
    <row r="209" spans="14:41" ht="20.100000000000001" customHeight="1" x14ac:dyDescent="0.4">
      <c r="O209" s="126"/>
      <c r="P209" s="127"/>
      <c r="Q209" s="127"/>
      <c r="R209" s="127"/>
      <c r="S209" s="127"/>
      <c r="T209" s="127"/>
      <c r="U209" s="127"/>
      <c r="V209" s="128"/>
      <c r="W209" s="128"/>
      <c r="X209" s="128"/>
      <c r="Y209" s="129"/>
      <c r="Z209" s="128"/>
      <c r="AA209" s="130"/>
      <c r="AB209" s="404"/>
      <c r="AC209" s="404"/>
      <c r="AD209" s="404"/>
      <c r="AE209" s="128"/>
      <c r="AF209" s="128"/>
      <c r="AG209" s="128"/>
      <c r="AH209" s="124"/>
    </row>
    <row r="210" spans="14:41" ht="20.100000000000001" customHeight="1" x14ac:dyDescent="0.4">
      <c r="N210" s="131"/>
      <c r="O210" s="132"/>
      <c r="P210" s="124"/>
      <c r="Q210" s="124"/>
      <c r="R210" s="124"/>
      <c r="S210" s="124"/>
      <c r="T210" s="124"/>
      <c r="U210" s="124"/>
      <c r="V210" s="133"/>
      <c r="W210" s="133"/>
      <c r="X210" s="133"/>
      <c r="Y210" s="131"/>
      <c r="Z210" s="133"/>
      <c r="AA210" s="134"/>
      <c r="AB210" s="405"/>
      <c r="AC210" s="405"/>
      <c r="AD210" s="405"/>
      <c r="AE210" s="133"/>
      <c r="AF210" s="133"/>
      <c r="AG210" s="133"/>
      <c r="AH210" s="124"/>
    </row>
    <row r="211" spans="14:41" ht="20.100000000000001" customHeight="1" x14ac:dyDescent="0.4">
      <c r="N211" s="135"/>
      <c r="O211" s="132"/>
      <c r="P211" s="124"/>
      <c r="Q211" s="124"/>
      <c r="R211" s="124"/>
      <c r="S211" s="124"/>
      <c r="T211" s="124"/>
      <c r="U211" s="124"/>
      <c r="V211" s="136"/>
      <c r="W211" s="136"/>
      <c r="X211" s="136"/>
      <c r="Y211" s="137"/>
      <c r="Z211" s="136"/>
      <c r="AA211" s="138"/>
      <c r="AB211" s="406"/>
      <c r="AC211" s="406"/>
      <c r="AD211" s="406"/>
      <c r="AE211" s="136"/>
      <c r="AF211" s="136"/>
      <c r="AG211" s="136"/>
      <c r="AH211" s="124"/>
    </row>
    <row r="212" spans="14:41" ht="20.100000000000001" customHeight="1" x14ac:dyDescent="0.4">
      <c r="O212" s="126"/>
      <c r="S212" s="140"/>
      <c r="T212" s="140"/>
      <c r="U212" s="140"/>
      <c r="V212" s="140"/>
      <c r="W212" s="140"/>
      <c r="X212" s="140"/>
      <c r="Y212" s="140"/>
    </row>
    <row r="213" spans="14:41" ht="20.100000000000001" customHeight="1" x14ac:dyDescent="0.4">
      <c r="O213" s="126"/>
      <c r="R213" s="140"/>
      <c r="S213" s="140"/>
      <c r="T213" s="140"/>
      <c r="U213" s="140"/>
      <c r="V213" s="140"/>
      <c r="W213" s="140"/>
      <c r="X213" s="140"/>
      <c r="Y213" s="140"/>
      <c r="AJ213" s="141"/>
      <c r="AK213" s="142"/>
      <c r="AL213" s="142"/>
      <c r="AM213" s="142"/>
      <c r="AN213" s="142"/>
      <c r="AO213" s="142"/>
    </row>
    <row r="214" spans="14:41" ht="20.100000000000001" customHeight="1" x14ac:dyDescent="0.4">
      <c r="O214" s="126"/>
      <c r="R214" s="140"/>
      <c r="S214" s="140"/>
      <c r="T214" s="140"/>
      <c r="U214" s="140"/>
      <c r="V214" s="140"/>
      <c r="W214" s="140"/>
      <c r="X214" s="140"/>
      <c r="Y214" s="140"/>
      <c r="AJ214" s="143"/>
      <c r="AK214" s="142"/>
      <c r="AL214" s="144"/>
      <c r="AM214" s="142"/>
      <c r="AN214" s="145"/>
      <c r="AO214" s="145"/>
    </row>
    <row r="215" spans="14:41" ht="20.100000000000001" customHeight="1" x14ac:dyDescent="0.4">
      <c r="O215" s="126"/>
      <c r="R215" s="140"/>
      <c r="S215" s="140"/>
      <c r="T215" s="140"/>
      <c r="U215" s="140"/>
      <c r="V215" s="140"/>
      <c r="W215" s="140"/>
      <c r="X215" s="140"/>
      <c r="Y215" s="140"/>
      <c r="AJ215" s="142"/>
      <c r="AK215" s="146"/>
      <c r="AL215" s="407"/>
      <c r="AM215" s="408"/>
      <c r="AN215" s="398"/>
      <c r="AO215" s="398"/>
    </row>
    <row r="216" spans="14:41" ht="20.100000000000001" customHeight="1" x14ac:dyDescent="0.4">
      <c r="O216" s="126"/>
      <c r="R216" s="140"/>
      <c r="S216" s="140"/>
      <c r="T216" s="140"/>
      <c r="U216" s="140"/>
      <c r="V216" s="140"/>
      <c r="W216" s="140"/>
      <c r="X216" s="140"/>
      <c r="Y216" s="140"/>
      <c r="AJ216" s="142"/>
      <c r="AK216" s="146"/>
      <c r="AL216" s="399"/>
      <c r="AM216" s="399"/>
      <c r="AN216" s="398"/>
      <c r="AO216" s="398"/>
    </row>
    <row r="217" spans="14:41" ht="20.100000000000001" customHeight="1" x14ac:dyDescent="0.4">
      <c r="O217" s="126"/>
      <c r="R217" s="140"/>
      <c r="S217" s="140"/>
      <c r="T217" s="140"/>
      <c r="U217" s="140"/>
      <c r="V217" s="140"/>
      <c r="W217" s="140"/>
      <c r="X217" s="140"/>
      <c r="Y217" s="140"/>
      <c r="AJ217" s="142"/>
      <c r="AK217" s="142"/>
      <c r="AL217" s="142"/>
      <c r="AM217" s="142"/>
      <c r="AN217" s="142"/>
      <c r="AO217" s="142"/>
    </row>
    <row r="218" spans="14:41" ht="20.100000000000001" customHeight="1" x14ac:dyDescent="0.4">
      <c r="O218" s="126"/>
      <c r="R218" s="140"/>
      <c r="S218" s="140"/>
      <c r="T218" s="140"/>
      <c r="U218" s="140"/>
      <c r="V218" s="140"/>
      <c r="W218" s="140"/>
      <c r="X218" s="140"/>
      <c r="Y218" s="140"/>
      <c r="Z218" s="142"/>
      <c r="AA218" s="142"/>
      <c r="AB218" s="142"/>
      <c r="AC218" s="142"/>
      <c r="AD218" s="142"/>
      <c r="AE218" s="142"/>
      <c r="AF218" s="142"/>
      <c r="AG218" s="142"/>
      <c r="AH218" s="141"/>
      <c r="AI218" s="141"/>
      <c r="AJ218" s="142"/>
      <c r="AK218" s="142"/>
      <c r="AL218" s="142"/>
      <c r="AM218" s="142"/>
    </row>
    <row r="219" spans="14:41" ht="20.100000000000001" customHeight="1" x14ac:dyDescent="0.4">
      <c r="O219" s="126"/>
      <c r="R219" s="140"/>
      <c r="S219" s="140"/>
      <c r="T219" s="127"/>
      <c r="U219" s="140"/>
      <c r="V219" s="140"/>
      <c r="W219" s="140"/>
      <c r="X219" s="140"/>
      <c r="Y219" s="140"/>
      <c r="Z219" s="142"/>
      <c r="AA219" s="142"/>
      <c r="AB219" s="142"/>
      <c r="AC219" s="142"/>
      <c r="AD219" s="142"/>
      <c r="AE219" s="142"/>
      <c r="AF219" s="142"/>
      <c r="AG219" s="142"/>
      <c r="AH219" s="143"/>
      <c r="AI219" s="142"/>
      <c r="AJ219" s="144"/>
      <c r="AK219" s="142"/>
      <c r="AL219" s="145"/>
      <c r="AM219" s="145"/>
    </row>
    <row r="220" spans="14:41" ht="20.100000000000001" customHeight="1" x14ac:dyDescent="0.4">
      <c r="O220" s="126"/>
      <c r="R220" s="140"/>
      <c r="S220" s="140"/>
      <c r="T220" s="124"/>
      <c r="U220" s="140"/>
      <c r="V220" s="140"/>
      <c r="W220" s="140"/>
      <c r="X220" s="140"/>
      <c r="Y220" s="140"/>
      <c r="Z220" s="142"/>
      <c r="AA220" s="142"/>
      <c r="AB220" s="142"/>
      <c r="AC220" s="142"/>
      <c r="AD220" s="142"/>
      <c r="AE220" s="142"/>
      <c r="AF220" s="142"/>
      <c r="AG220" s="142"/>
      <c r="AH220" s="142"/>
      <c r="AI220" s="146"/>
      <c r="AJ220" s="407"/>
      <c r="AK220" s="408"/>
      <c r="AL220" s="398"/>
      <c r="AM220" s="398"/>
    </row>
    <row r="221" spans="14:41" ht="20.100000000000001" customHeight="1" x14ac:dyDescent="0.4">
      <c r="O221" s="126"/>
      <c r="R221" s="140"/>
      <c r="S221" s="140"/>
      <c r="T221" s="124"/>
      <c r="U221" s="140"/>
      <c r="V221" s="140"/>
      <c r="W221" s="140"/>
      <c r="X221" s="140"/>
      <c r="Y221" s="140"/>
      <c r="Z221" s="142"/>
      <c r="AA221" s="142"/>
      <c r="AB221" s="142"/>
      <c r="AC221" s="142"/>
      <c r="AD221" s="142"/>
      <c r="AE221" s="142"/>
      <c r="AF221" s="142"/>
      <c r="AG221" s="142"/>
      <c r="AH221" s="142"/>
      <c r="AI221" s="146"/>
      <c r="AJ221" s="147"/>
      <c r="AK221" s="148"/>
      <c r="AL221" s="149"/>
      <c r="AM221" s="149"/>
    </row>
    <row r="222" spans="14:41" ht="20.100000000000001" customHeight="1" x14ac:dyDescent="0.4">
      <c r="O222" s="126"/>
      <c r="R222" s="140"/>
      <c r="S222" s="140"/>
      <c r="T222" s="150"/>
      <c r="U222" s="140"/>
      <c r="V222" s="140"/>
      <c r="W222" s="140"/>
      <c r="X222" s="140"/>
      <c r="Y222" s="140"/>
      <c r="Z222" s="142"/>
      <c r="AA222" s="142"/>
      <c r="AB222" s="142"/>
      <c r="AC222" s="142"/>
      <c r="AD222" s="142"/>
      <c r="AE222" s="142"/>
      <c r="AF222" s="142"/>
      <c r="AG222" s="142"/>
      <c r="AH222" s="142"/>
      <c r="AI222" s="146"/>
      <c r="AJ222" s="399"/>
      <c r="AK222" s="399"/>
      <c r="AL222" s="398"/>
      <c r="AM222" s="398"/>
    </row>
    <row r="223" spans="14:41" ht="20.100000000000001" customHeight="1" x14ac:dyDescent="0.4">
      <c r="O223" s="126"/>
      <c r="R223" s="140"/>
      <c r="S223" s="140"/>
      <c r="T223" s="150"/>
      <c r="U223" s="140"/>
      <c r="V223" s="140"/>
      <c r="W223" s="140"/>
      <c r="X223" s="140"/>
      <c r="Y223" s="140"/>
      <c r="Z223" s="142"/>
      <c r="AA223" s="142"/>
      <c r="AB223" s="142"/>
      <c r="AC223" s="142"/>
      <c r="AD223" s="142"/>
      <c r="AE223" s="142"/>
      <c r="AF223" s="142"/>
      <c r="AG223" s="142"/>
    </row>
    <row r="224" spans="14:41" ht="20.100000000000001" customHeight="1" x14ac:dyDescent="0.4">
      <c r="O224" s="126"/>
      <c r="Q224" s="143"/>
      <c r="R224" s="140"/>
      <c r="S224" s="140"/>
      <c r="T224" s="150"/>
      <c r="U224" s="140"/>
      <c r="V224" s="140"/>
      <c r="W224" s="140"/>
      <c r="X224" s="140"/>
      <c r="Y224" s="140"/>
      <c r="Z224" s="142"/>
      <c r="AA224" s="142"/>
      <c r="AB224" s="142"/>
      <c r="AC224" s="142"/>
      <c r="AD224" s="142"/>
      <c r="AE224" s="142"/>
      <c r="AF224" s="142"/>
      <c r="AG224" s="142"/>
    </row>
    <row r="225" spans="15:33" ht="20.100000000000001" customHeight="1" x14ac:dyDescent="0.4">
      <c r="O225" s="126"/>
      <c r="Q225" s="142"/>
      <c r="R225" s="140"/>
      <c r="S225" s="140"/>
      <c r="T225" s="150"/>
      <c r="U225" s="140"/>
      <c r="V225" s="140"/>
      <c r="W225" s="140"/>
      <c r="X225" s="140"/>
      <c r="Y225" s="140"/>
      <c r="Z225" s="142"/>
      <c r="AA225" s="142"/>
      <c r="AB225" s="142"/>
      <c r="AC225" s="142"/>
      <c r="AD225" s="142"/>
      <c r="AE225" s="142"/>
      <c r="AF225" s="142"/>
      <c r="AG225" s="142"/>
    </row>
    <row r="226" spans="15:33" ht="20.100000000000001" customHeight="1" x14ac:dyDescent="0.4">
      <c r="O226" s="126"/>
      <c r="Q226" s="142"/>
      <c r="R226" s="140"/>
      <c r="S226" s="140"/>
      <c r="T226" s="150"/>
      <c r="U226" s="140"/>
      <c r="V226" s="140"/>
      <c r="W226" s="140"/>
      <c r="X226" s="140"/>
      <c r="Y226" s="140"/>
      <c r="Z226" s="142"/>
      <c r="AA226" s="142"/>
      <c r="AB226" s="142"/>
      <c r="AC226" s="142"/>
      <c r="AD226" s="142"/>
      <c r="AE226" s="142"/>
      <c r="AF226" s="142"/>
      <c r="AG226" s="142"/>
    </row>
    <row r="227" spans="15:33" ht="20.100000000000001" customHeight="1" x14ac:dyDescent="0.4">
      <c r="O227" s="126"/>
      <c r="R227" s="140"/>
      <c r="S227" s="140"/>
      <c r="T227" s="150"/>
      <c r="U227" s="140"/>
      <c r="V227" s="140"/>
      <c r="W227" s="140"/>
      <c r="X227" s="140"/>
      <c r="Y227" s="140"/>
      <c r="Z227" s="142"/>
      <c r="AA227" s="142"/>
      <c r="AB227" s="142"/>
      <c r="AC227" s="142"/>
      <c r="AD227" s="142"/>
      <c r="AE227" s="142"/>
      <c r="AF227" s="142"/>
      <c r="AG227" s="142"/>
    </row>
    <row r="228" spans="15:33" ht="20.100000000000001" customHeight="1" x14ac:dyDescent="0.4">
      <c r="O228" s="126"/>
      <c r="S228" s="140"/>
      <c r="T228" s="140"/>
      <c r="U228" s="140"/>
      <c r="V228" s="140"/>
      <c r="W228" s="140"/>
      <c r="X228" s="140"/>
      <c r="Y228" s="142"/>
      <c r="Z228" s="142"/>
      <c r="AA228" s="142"/>
      <c r="AB228" s="142"/>
      <c r="AC228" s="142"/>
      <c r="AD228" s="142"/>
      <c r="AE228" s="142"/>
      <c r="AF228" s="142"/>
      <c r="AG228" s="142"/>
    </row>
    <row r="229" spans="15:33" ht="20.100000000000001" customHeight="1" x14ac:dyDescent="0.4">
      <c r="O229" s="126"/>
      <c r="R229" s="142"/>
      <c r="S229" s="140"/>
      <c r="T229" s="140"/>
      <c r="U229" s="140"/>
      <c r="V229" s="140"/>
      <c r="W229" s="140"/>
      <c r="X229" s="140"/>
      <c r="Y229" s="142"/>
      <c r="Z229" s="142"/>
      <c r="AA229" s="142"/>
      <c r="AB229" s="142"/>
      <c r="AC229" s="142"/>
      <c r="AD229" s="142"/>
      <c r="AE229" s="142"/>
      <c r="AF229" s="142"/>
      <c r="AG229" s="142"/>
    </row>
    <row r="230" spans="15:33" ht="20.100000000000001" customHeight="1" x14ac:dyDescent="0.4">
      <c r="O230" s="126"/>
      <c r="Q230" s="151"/>
      <c r="R230" s="143"/>
      <c r="S230" s="140"/>
      <c r="T230" s="140"/>
      <c r="U230" s="140"/>
      <c r="V230" s="140"/>
      <c r="W230" s="140"/>
      <c r="X230" s="140"/>
      <c r="Y230" s="142"/>
      <c r="Z230" s="142"/>
      <c r="AA230" s="142"/>
      <c r="AB230" s="142"/>
      <c r="AC230" s="142"/>
      <c r="AD230" s="142"/>
      <c r="AE230" s="142"/>
      <c r="AF230" s="142"/>
      <c r="AG230" s="142"/>
    </row>
    <row r="231" spans="15:33" ht="20.100000000000001" customHeight="1" x14ac:dyDescent="0.4">
      <c r="O231" s="126"/>
      <c r="R231" s="142"/>
      <c r="S231" s="140"/>
      <c r="T231" s="140"/>
      <c r="U231" s="140"/>
      <c r="V231" s="140"/>
      <c r="W231" s="140"/>
      <c r="X231" s="140"/>
      <c r="Y231" s="142"/>
      <c r="Z231" s="142"/>
      <c r="AA231" s="142"/>
      <c r="AB231" s="142"/>
      <c r="AC231" s="142"/>
      <c r="AD231" s="142"/>
      <c r="AE231" s="142"/>
      <c r="AF231" s="142"/>
      <c r="AG231" s="142"/>
    </row>
    <row r="232" spans="15:33" ht="20.100000000000001" customHeight="1" x14ac:dyDescent="0.4">
      <c r="O232" s="126"/>
      <c r="R232" s="142"/>
      <c r="S232" s="140"/>
      <c r="T232" s="140"/>
      <c r="U232" s="140"/>
      <c r="V232" s="140"/>
      <c r="W232" s="140"/>
      <c r="X232" s="140"/>
      <c r="Y232" s="142"/>
      <c r="Z232" s="142"/>
      <c r="AA232" s="142"/>
      <c r="AB232" s="142"/>
      <c r="AC232" s="142"/>
      <c r="AD232" s="142"/>
      <c r="AE232" s="142"/>
      <c r="AF232" s="142"/>
      <c r="AG232" s="142"/>
    </row>
    <row r="233" spans="15:33" ht="20.100000000000001" customHeight="1" x14ac:dyDescent="0.4">
      <c r="O233" s="126"/>
      <c r="R233" s="142"/>
      <c r="S233" s="140"/>
      <c r="T233" s="140"/>
      <c r="U233" s="140"/>
      <c r="V233" s="140"/>
    </row>
    <row r="234" spans="15:33" ht="20.100000000000001" customHeight="1" x14ac:dyDescent="0.4">
      <c r="O234" s="126"/>
      <c r="R234" s="142"/>
      <c r="S234" s="140"/>
      <c r="T234" s="140"/>
      <c r="U234" s="140"/>
      <c r="V234" s="140"/>
    </row>
    <row r="235" spans="15:33" ht="20.100000000000001" customHeight="1" x14ac:dyDescent="0.4">
      <c r="O235" s="126"/>
      <c r="R235" s="143"/>
      <c r="S235" s="140"/>
      <c r="T235" s="140"/>
      <c r="U235" s="140"/>
      <c r="V235" s="140"/>
    </row>
    <row r="236" spans="15:33" ht="20.100000000000001" customHeight="1" x14ac:dyDescent="0.4">
      <c r="R236" s="142"/>
      <c r="S236" s="140"/>
      <c r="T236" s="140"/>
      <c r="U236" s="140"/>
      <c r="V236" s="140"/>
    </row>
    <row r="237" spans="15:33" ht="20.100000000000001" customHeight="1" x14ac:dyDescent="0.4">
      <c r="R237" s="142"/>
      <c r="S237" s="140"/>
      <c r="T237" s="140"/>
      <c r="U237" s="140"/>
      <c r="V237" s="140"/>
    </row>
    <row r="238" spans="15:33" ht="20.100000000000001" customHeight="1" x14ac:dyDescent="0.4">
      <c r="S238" s="140"/>
      <c r="T238" s="140"/>
      <c r="U238" s="140"/>
      <c r="V238" s="140"/>
    </row>
    <row r="239" spans="15:33" ht="20.100000000000001" customHeight="1" x14ac:dyDescent="0.4">
      <c r="U239" s="140"/>
      <c r="V239" s="140"/>
    </row>
  </sheetData>
  <dataConsolidate/>
  <mergeCells count="1227">
    <mergeCell ref="J162:J163"/>
    <mergeCell ref="K162:K163"/>
    <mergeCell ref="L162:L163"/>
    <mergeCell ref="M162:M163"/>
    <mergeCell ref="A164:A165"/>
    <mergeCell ref="B164:B165"/>
    <mergeCell ref="C164:C165"/>
    <mergeCell ref="D164:D165"/>
    <mergeCell ref="E164:E165"/>
    <mergeCell ref="F164:F165"/>
    <mergeCell ref="G164:G165"/>
    <mergeCell ref="H164:H165"/>
    <mergeCell ref="I164:I165"/>
    <mergeCell ref="J164:J165"/>
    <mergeCell ref="K164:K165"/>
    <mergeCell ref="L164:L165"/>
    <mergeCell ref="M164:M165"/>
    <mergeCell ref="A162:A163"/>
    <mergeCell ref="B162:B163"/>
    <mergeCell ref="C162:C163"/>
    <mergeCell ref="D162:D163"/>
    <mergeCell ref="E162:E163"/>
    <mergeCell ref="F162:F163"/>
    <mergeCell ref="G162:G163"/>
    <mergeCell ref="H162:H163"/>
    <mergeCell ref="I162:I163"/>
    <mergeCell ref="J158:J159"/>
    <mergeCell ref="K158:K159"/>
    <mergeCell ref="L158:L159"/>
    <mergeCell ref="M158:M159"/>
    <mergeCell ref="A160:A161"/>
    <mergeCell ref="B160:B161"/>
    <mergeCell ref="C160:C161"/>
    <mergeCell ref="D160:D161"/>
    <mergeCell ref="E160:E161"/>
    <mergeCell ref="F160:F161"/>
    <mergeCell ref="G160:G161"/>
    <mergeCell ref="H160:H161"/>
    <mergeCell ref="I160:I161"/>
    <mergeCell ref="J160:J161"/>
    <mergeCell ref="K160:K161"/>
    <mergeCell ref="L160:L161"/>
    <mergeCell ref="M160:M161"/>
    <mergeCell ref="A158:A159"/>
    <mergeCell ref="B158:B159"/>
    <mergeCell ref="C158:C159"/>
    <mergeCell ref="D158:D159"/>
    <mergeCell ref="E158:E159"/>
    <mergeCell ref="F158:F159"/>
    <mergeCell ref="G158:G159"/>
    <mergeCell ref="H158:H159"/>
    <mergeCell ref="I158:I159"/>
    <mergeCell ref="J154:J155"/>
    <mergeCell ref="K154:K155"/>
    <mergeCell ref="L154:L155"/>
    <mergeCell ref="M154:M155"/>
    <mergeCell ref="A156:A157"/>
    <mergeCell ref="B156:B157"/>
    <mergeCell ref="C156:C157"/>
    <mergeCell ref="D156:D157"/>
    <mergeCell ref="E156:E157"/>
    <mergeCell ref="F156:F157"/>
    <mergeCell ref="G156:G157"/>
    <mergeCell ref="H156:H157"/>
    <mergeCell ref="I156:I157"/>
    <mergeCell ref="J156:J157"/>
    <mergeCell ref="K156:K157"/>
    <mergeCell ref="L156:L157"/>
    <mergeCell ref="M156:M157"/>
    <mergeCell ref="A154:A155"/>
    <mergeCell ref="B154:B155"/>
    <mergeCell ref="C154:C155"/>
    <mergeCell ref="D154:D155"/>
    <mergeCell ref="E154:E155"/>
    <mergeCell ref="F154:F155"/>
    <mergeCell ref="G154:G155"/>
    <mergeCell ref="H154:H155"/>
    <mergeCell ref="I154:I155"/>
    <mergeCell ref="J150:J151"/>
    <mergeCell ref="K150:K151"/>
    <mergeCell ref="L150:L151"/>
    <mergeCell ref="M150:M151"/>
    <mergeCell ref="A152:A153"/>
    <mergeCell ref="B152:B153"/>
    <mergeCell ref="C152:C153"/>
    <mergeCell ref="D152:D153"/>
    <mergeCell ref="E152:E153"/>
    <mergeCell ref="F152:F153"/>
    <mergeCell ref="G152:G153"/>
    <mergeCell ref="H152:H153"/>
    <mergeCell ref="I152:I153"/>
    <mergeCell ref="J152:J153"/>
    <mergeCell ref="K152:K153"/>
    <mergeCell ref="L152:L153"/>
    <mergeCell ref="M152:M153"/>
    <mergeCell ref="A150:A151"/>
    <mergeCell ref="B150:B151"/>
    <mergeCell ref="C150:C151"/>
    <mergeCell ref="D150:D151"/>
    <mergeCell ref="E150:E151"/>
    <mergeCell ref="F150:F151"/>
    <mergeCell ref="G150:G151"/>
    <mergeCell ref="H150:H151"/>
    <mergeCell ref="I150:I151"/>
    <mergeCell ref="J146:J147"/>
    <mergeCell ref="K146:K147"/>
    <mergeCell ref="L146:L147"/>
    <mergeCell ref="M146:M147"/>
    <mergeCell ref="A148:A149"/>
    <mergeCell ref="B148:B149"/>
    <mergeCell ref="C148:C149"/>
    <mergeCell ref="D148:D149"/>
    <mergeCell ref="E148:E149"/>
    <mergeCell ref="F148:F149"/>
    <mergeCell ref="G148:G149"/>
    <mergeCell ref="H148:H149"/>
    <mergeCell ref="I148:I149"/>
    <mergeCell ref="J148:J149"/>
    <mergeCell ref="K148:K149"/>
    <mergeCell ref="L148:L149"/>
    <mergeCell ref="M148:M149"/>
    <mergeCell ref="A146:A147"/>
    <mergeCell ref="B146:B147"/>
    <mergeCell ref="C146:C147"/>
    <mergeCell ref="D146:D147"/>
    <mergeCell ref="E146:E147"/>
    <mergeCell ref="F146:F147"/>
    <mergeCell ref="G146:G147"/>
    <mergeCell ref="H146:H147"/>
    <mergeCell ref="I146:I147"/>
    <mergeCell ref="J142:J143"/>
    <mergeCell ref="K142:K143"/>
    <mergeCell ref="L142:L143"/>
    <mergeCell ref="M142:M143"/>
    <mergeCell ref="A144:A145"/>
    <mergeCell ref="B144:B145"/>
    <mergeCell ref="C144:C145"/>
    <mergeCell ref="D144:D145"/>
    <mergeCell ref="E144:E145"/>
    <mergeCell ref="F144:F145"/>
    <mergeCell ref="G144:G145"/>
    <mergeCell ref="H144:H145"/>
    <mergeCell ref="I144:I145"/>
    <mergeCell ref="J144:J145"/>
    <mergeCell ref="K144:K145"/>
    <mergeCell ref="L144:L145"/>
    <mergeCell ref="M144:M145"/>
    <mergeCell ref="A142:A143"/>
    <mergeCell ref="B142:B143"/>
    <mergeCell ref="C142:C143"/>
    <mergeCell ref="D142:D143"/>
    <mergeCell ref="E142:E143"/>
    <mergeCell ref="F142:F143"/>
    <mergeCell ref="G142:G143"/>
    <mergeCell ref="H142:H143"/>
    <mergeCell ref="I142:I143"/>
    <mergeCell ref="J138:J139"/>
    <mergeCell ref="K138:K139"/>
    <mergeCell ref="L138:L139"/>
    <mergeCell ref="M138:M139"/>
    <mergeCell ref="A140:A141"/>
    <mergeCell ref="B140:B141"/>
    <mergeCell ref="C140:C141"/>
    <mergeCell ref="D140:D141"/>
    <mergeCell ref="E140:E141"/>
    <mergeCell ref="F140:F141"/>
    <mergeCell ref="G140:G141"/>
    <mergeCell ref="H140:H141"/>
    <mergeCell ref="I140:I141"/>
    <mergeCell ref="J140:J141"/>
    <mergeCell ref="K140:K141"/>
    <mergeCell ref="L140:L141"/>
    <mergeCell ref="M140:M141"/>
    <mergeCell ref="A138:A139"/>
    <mergeCell ref="B138:B139"/>
    <mergeCell ref="C138:C139"/>
    <mergeCell ref="D138:D139"/>
    <mergeCell ref="E138:E139"/>
    <mergeCell ref="F138:F139"/>
    <mergeCell ref="G138:G139"/>
    <mergeCell ref="H138:H139"/>
    <mergeCell ref="I138:I139"/>
    <mergeCell ref="J134:J135"/>
    <mergeCell ref="K134:K135"/>
    <mergeCell ref="L134:L135"/>
    <mergeCell ref="M134:M135"/>
    <mergeCell ref="A136:A137"/>
    <mergeCell ref="B136:B137"/>
    <mergeCell ref="C136:C137"/>
    <mergeCell ref="D136:D137"/>
    <mergeCell ref="E136:E137"/>
    <mergeCell ref="F136:F137"/>
    <mergeCell ref="G136:G137"/>
    <mergeCell ref="H136:H137"/>
    <mergeCell ref="I136:I137"/>
    <mergeCell ref="J136:J137"/>
    <mergeCell ref="K136:K137"/>
    <mergeCell ref="L136:L137"/>
    <mergeCell ref="M136:M137"/>
    <mergeCell ref="A134:A135"/>
    <mergeCell ref="B134:B135"/>
    <mergeCell ref="C134:C135"/>
    <mergeCell ref="D134:D135"/>
    <mergeCell ref="E134:E135"/>
    <mergeCell ref="F134:F135"/>
    <mergeCell ref="G134:G135"/>
    <mergeCell ref="H134:H135"/>
    <mergeCell ref="I134:I135"/>
    <mergeCell ref="J130:J131"/>
    <mergeCell ref="K130:K131"/>
    <mergeCell ref="L130:L131"/>
    <mergeCell ref="M130:M131"/>
    <mergeCell ref="A132:A133"/>
    <mergeCell ref="B132:B133"/>
    <mergeCell ref="C132:C133"/>
    <mergeCell ref="D132:D133"/>
    <mergeCell ref="E132:E133"/>
    <mergeCell ref="F132:F133"/>
    <mergeCell ref="G132:G133"/>
    <mergeCell ref="H132:H133"/>
    <mergeCell ref="I132:I133"/>
    <mergeCell ref="J132:J133"/>
    <mergeCell ref="K132:K133"/>
    <mergeCell ref="L132:L133"/>
    <mergeCell ref="M132:M133"/>
    <mergeCell ref="A130:A131"/>
    <mergeCell ref="B130:B131"/>
    <mergeCell ref="C130:C131"/>
    <mergeCell ref="D130:D131"/>
    <mergeCell ref="E130:E131"/>
    <mergeCell ref="F130:F131"/>
    <mergeCell ref="G130:G131"/>
    <mergeCell ref="H130:H131"/>
    <mergeCell ref="I130:I131"/>
    <mergeCell ref="J126:J127"/>
    <mergeCell ref="K126:K127"/>
    <mergeCell ref="L126:L127"/>
    <mergeCell ref="M126:M127"/>
    <mergeCell ref="A128:A129"/>
    <mergeCell ref="B128:B129"/>
    <mergeCell ref="C128:C129"/>
    <mergeCell ref="D128:D129"/>
    <mergeCell ref="E128:E129"/>
    <mergeCell ref="F128:F129"/>
    <mergeCell ref="G128:G129"/>
    <mergeCell ref="H128:H129"/>
    <mergeCell ref="I128:I129"/>
    <mergeCell ref="J128:J129"/>
    <mergeCell ref="K128:K129"/>
    <mergeCell ref="L128:L129"/>
    <mergeCell ref="M128:M129"/>
    <mergeCell ref="A126:A127"/>
    <mergeCell ref="B126:B127"/>
    <mergeCell ref="C126:C127"/>
    <mergeCell ref="D126:D127"/>
    <mergeCell ref="E126:E127"/>
    <mergeCell ref="F126:F127"/>
    <mergeCell ref="G126:G127"/>
    <mergeCell ref="H126:H127"/>
    <mergeCell ref="I126:I127"/>
    <mergeCell ref="J122:J123"/>
    <mergeCell ref="K122:K123"/>
    <mergeCell ref="L122:L123"/>
    <mergeCell ref="M122:M123"/>
    <mergeCell ref="A124:A125"/>
    <mergeCell ref="B124:B125"/>
    <mergeCell ref="C124:C125"/>
    <mergeCell ref="D124:D125"/>
    <mergeCell ref="E124:E125"/>
    <mergeCell ref="F124:F125"/>
    <mergeCell ref="G124:G125"/>
    <mergeCell ref="H124:H125"/>
    <mergeCell ref="I124:I125"/>
    <mergeCell ref="J124:J125"/>
    <mergeCell ref="K124:K125"/>
    <mergeCell ref="L124:L125"/>
    <mergeCell ref="M124:M125"/>
    <mergeCell ref="A122:A123"/>
    <mergeCell ref="B122:B123"/>
    <mergeCell ref="C122:C123"/>
    <mergeCell ref="D122:D123"/>
    <mergeCell ref="E122:E123"/>
    <mergeCell ref="F122:F123"/>
    <mergeCell ref="G122:G123"/>
    <mergeCell ref="H122:H123"/>
    <mergeCell ref="I122:I123"/>
    <mergeCell ref="J118:J119"/>
    <mergeCell ref="K118:K119"/>
    <mergeCell ref="L118:L119"/>
    <mergeCell ref="M118:M119"/>
    <mergeCell ref="A120:A121"/>
    <mergeCell ref="B120:B121"/>
    <mergeCell ref="C120:C121"/>
    <mergeCell ref="D120:D121"/>
    <mergeCell ref="E120:E121"/>
    <mergeCell ref="F120:F121"/>
    <mergeCell ref="G120:G121"/>
    <mergeCell ref="H120:H121"/>
    <mergeCell ref="I120:I121"/>
    <mergeCell ref="J120:J121"/>
    <mergeCell ref="K120:K121"/>
    <mergeCell ref="L120:L121"/>
    <mergeCell ref="M120:M121"/>
    <mergeCell ref="A118:A119"/>
    <mergeCell ref="B118:B119"/>
    <mergeCell ref="C118:C119"/>
    <mergeCell ref="D118:D119"/>
    <mergeCell ref="E118:E119"/>
    <mergeCell ref="F118:F119"/>
    <mergeCell ref="G118:G119"/>
    <mergeCell ref="H118:H119"/>
    <mergeCell ref="I118:I119"/>
    <mergeCell ref="J114:J115"/>
    <mergeCell ref="K114:K115"/>
    <mergeCell ref="L114:L115"/>
    <mergeCell ref="M114:M115"/>
    <mergeCell ref="A116:A117"/>
    <mergeCell ref="B116:B117"/>
    <mergeCell ref="C116:C117"/>
    <mergeCell ref="D116:D117"/>
    <mergeCell ref="E116:E117"/>
    <mergeCell ref="F116:F117"/>
    <mergeCell ref="G116:G117"/>
    <mergeCell ref="H116:H117"/>
    <mergeCell ref="I116:I117"/>
    <mergeCell ref="J116:J117"/>
    <mergeCell ref="K116:K117"/>
    <mergeCell ref="L116:L117"/>
    <mergeCell ref="M116:M117"/>
    <mergeCell ref="A114:A115"/>
    <mergeCell ref="B114:B115"/>
    <mergeCell ref="C114:C115"/>
    <mergeCell ref="D114:D115"/>
    <mergeCell ref="E114:E115"/>
    <mergeCell ref="F114:F115"/>
    <mergeCell ref="G114:G115"/>
    <mergeCell ref="H114:H115"/>
    <mergeCell ref="I114:I115"/>
    <mergeCell ref="J110:J111"/>
    <mergeCell ref="K110:K111"/>
    <mergeCell ref="L110:L111"/>
    <mergeCell ref="M110:M111"/>
    <mergeCell ref="A112:A113"/>
    <mergeCell ref="B112:B113"/>
    <mergeCell ref="C112:C113"/>
    <mergeCell ref="D112:D113"/>
    <mergeCell ref="E112:E113"/>
    <mergeCell ref="F112:F113"/>
    <mergeCell ref="G112:G113"/>
    <mergeCell ref="H112:H113"/>
    <mergeCell ref="I112:I113"/>
    <mergeCell ref="J112:J113"/>
    <mergeCell ref="K112:K113"/>
    <mergeCell ref="L112:L113"/>
    <mergeCell ref="M112:M113"/>
    <mergeCell ref="A110:A111"/>
    <mergeCell ref="B110:B111"/>
    <mergeCell ref="C110:C111"/>
    <mergeCell ref="D110:D111"/>
    <mergeCell ref="E110:E111"/>
    <mergeCell ref="F110:F111"/>
    <mergeCell ref="G110:G111"/>
    <mergeCell ref="H110:H111"/>
    <mergeCell ref="I110:I111"/>
    <mergeCell ref="J106:J107"/>
    <mergeCell ref="K106:K107"/>
    <mergeCell ref="L106:L107"/>
    <mergeCell ref="M106:M107"/>
    <mergeCell ref="A108:A109"/>
    <mergeCell ref="B108:B109"/>
    <mergeCell ref="C108:C109"/>
    <mergeCell ref="D108:D109"/>
    <mergeCell ref="E108:E109"/>
    <mergeCell ref="F108:F109"/>
    <mergeCell ref="G108:G109"/>
    <mergeCell ref="H108:H109"/>
    <mergeCell ref="I108:I109"/>
    <mergeCell ref="J108:J109"/>
    <mergeCell ref="K108:K109"/>
    <mergeCell ref="L108:L109"/>
    <mergeCell ref="M108:M109"/>
    <mergeCell ref="A106:A107"/>
    <mergeCell ref="B106:B107"/>
    <mergeCell ref="C106:C107"/>
    <mergeCell ref="D106:D107"/>
    <mergeCell ref="E106:E107"/>
    <mergeCell ref="F106:F107"/>
    <mergeCell ref="G106:G107"/>
    <mergeCell ref="H106:H107"/>
    <mergeCell ref="I106:I107"/>
    <mergeCell ref="J102:J103"/>
    <mergeCell ref="K102:K103"/>
    <mergeCell ref="L102:L103"/>
    <mergeCell ref="M102:M103"/>
    <mergeCell ref="A104:A105"/>
    <mergeCell ref="B104:B105"/>
    <mergeCell ref="C104:C105"/>
    <mergeCell ref="D104:D105"/>
    <mergeCell ref="E104:E105"/>
    <mergeCell ref="F104:F105"/>
    <mergeCell ref="G104:G105"/>
    <mergeCell ref="H104:H105"/>
    <mergeCell ref="I104:I105"/>
    <mergeCell ref="J104:J105"/>
    <mergeCell ref="K104:K105"/>
    <mergeCell ref="L104:L105"/>
    <mergeCell ref="M104:M105"/>
    <mergeCell ref="A102:A103"/>
    <mergeCell ref="B102:B103"/>
    <mergeCell ref="C102:C103"/>
    <mergeCell ref="D102:D103"/>
    <mergeCell ref="E102:E103"/>
    <mergeCell ref="F102:F103"/>
    <mergeCell ref="G102:G103"/>
    <mergeCell ref="H102:H103"/>
    <mergeCell ref="I102:I103"/>
    <mergeCell ref="J98:J99"/>
    <mergeCell ref="K98:K99"/>
    <mergeCell ref="L98:L99"/>
    <mergeCell ref="M98:M99"/>
    <mergeCell ref="A100:A101"/>
    <mergeCell ref="B100:B101"/>
    <mergeCell ref="C100:C101"/>
    <mergeCell ref="D100:D101"/>
    <mergeCell ref="E100:E101"/>
    <mergeCell ref="F100:F101"/>
    <mergeCell ref="G100:G101"/>
    <mergeCell ref="H100:H101"/>
    <mergeCell ref="I100:I101"/>
    <mergeCell ref="J100:J101"/>
    <mergeCell ref="K100:K101"/>
    <mergeCell ref="L100:L101"/>
    <mergeCell ref="M100:M101"/>
    <mergeCell ref="A98:A99"/>
    <mergeCell ref="B98:B99"/>
    <mergeCell ref="C98:C99"/>
    <mergeCell ref="D98:D99"/>
    <mergeCell ref="E98:E99"/>
    <mergeCell ref="F98:F99"/>
    <mergeCell ref="G98:G99"/>
    <mergeCell ref="H98:H99"/>
    <mergeCell ref="I98:I99"/>
    <mergeCell ref="J94:J95"/>
    <mergeCell ref="K94:K95"/>
    <mergeCell ref="L94:L95"/>
    <mergeCell ref="M94:M95"/>
    <mergeCell ref="A96:A97"/>
    <mergeCell ref="B96:B97"/>
    <mergeCell ref="C96:C97"/>
    <mergeCell ref="D96:D97"/>
    <mergeCell ref="E96:E97"/>
    <mergeCell ref="F96:F97"/>
    <mergeCell ref="G96:G97"/>
    <mergeCell ref="H96:H97"/>
    <mergeCell ref="I96:I97"/>
    <mergeCell ref="J96:J97"/>
    <mergeCell ref="K96:K97"/>
    <mergeCell ref="L96:L97"/>
    <mergeCell ref="M96:M97"/>
    <mergeCell ref="A94:A95"/>
    <mergeCell ref="B94:B95"/>
    <mergeCell ref="C94:C95"/>
    <mergeCell ref="D94:D95"/>
    <mergeCell ref="E94:E95"/>
    <mergeCell ref="F94:F95"/>
    <mergeCell ref="G94:G95"/>
    <mergeCell ref="H94:H95"/>
    <mergeCell ref="I94:I95"/>
    <mergeCell ref="J90:J91"/>
    <mergeCell ref="K90:K91"/>
    <mergeCell ref="L90:L91"/>
    <mergeCell ref="M90:M91"/>
    <mergeCell ref="A92:A93"/>
    <mergeCell ref="B92:B93"/>
    <mergeCell ref="C92:C93"/>
    <mergeCell ref="D92:D93"/>
    <mergeCell ref="E92:E93"/>
    <mergeCell ref="F92:F93"/>
    <mergeCell ref="G92:G93"/>
    <mergeCell ref="H92:H93"/>
    <mergeCell ref="I92:I93"/>
    <mergeCell ref="J92:J93"/>
    <mergeCell ref="K92:K93"/>
    <mergeCell ref="L92:L93"/>
    <mergeCell ref="M92:M93"/>
    <mergeCell ref="A90:A91"/>
    <mergeCell ref="B90:B91"/>
    <mergeCell ref="C90:C91"/>
    <mergeCell ref="D90:D91"/>
    <mergeCell ref="E90:E91"/>
    <mergeCell ref="F90:F91"/>
    <mergeCell ref="G90:G91"/>
    <mergeCell ref="H90:H91"/>
    <mergeCell ref="I90:I91"/>
    <mergeCell ref="J86:J87"/>
    <mergeCell ref="K86:K87"/>
    <mergeCell ref="L86:L87"/>
    <mergeCell ref="M86:M87"/>
    <mergeCell ref="A88:A89"/>
    <mergeCell ref="B88:B89"/>
    <mergeCell ref="C88:C89"/>
    <mergeCell ref="D88:D89"/>
    <mergeCell ref="E88:E89"/>
    <mergeCell ref="F88:F89"/>
    <mergeCell ref="G88:G89"/>
    <mergeCell ref="H88:H89"/>
    <mergeCell ref="I88:I89"/>
    <mergeCell ref="J88:J89"/>
    <mergeCell ref="K88:K89"/>
    <mergeCell ref="L88:L89"/>
    <mergeCell ref="M88:M89"/>
    <mergeCell ref="A86:A87"/>
    <mergeCell ref="B86:B87"/>
    <mergeCell ref="C86:C87"/>
    <mergeCell ref="D86:D87"/>
    <mergeCell ref="E86:E87"/>
    <mergeCell ref="F86:F87"/>
    <mergeCell ref="G86:G87"/>
    <mergeCell ref="J82:J83"/>
    <mergeCell ref="K82:K83"/>
    <mergeCell ref="L82:L83"/>
    <mergeCell ref="M82:M83"/>
    <mergeCell ref="A84:A85"/>
    <mergeCell ref="B84:B85"/>
    <mergeCell ref="C84:C85"/>
    <mergeCell ref="D84:D85"/>
    <mergeCell ref="E84:E85"/>
    <mergeCell ref="F84:F85"/>
    <mergeCell ref="G84:G85"/>
    <mergeCell ref="H84:H85"/>
    <mergeCell ref="I84:I85"/>
    <mergeCell ref="J84:J85"/>
    <mergeCell ref="K84:K85"/>
    <mergeCell ref="L84:L85"/>
    <mergeCell ref="M84:M85"/>
    <mergeCell ref="A82:A83"/>
    <mergeCell ref="B82:B83"/>
    <mergeCell ref="C82:C83"/>
    <mergeCell ref="D82:D83"/>
    <mergeCell ref="E82:E83"/>
    <mergeCell ref="F82:F83"/>
    <mergeCell ref="G82:G83"/>
    <mergeCell ref="H82:H83"/>
    <mergeCell ref="I82:I83"/>
    <mergeCell ref="J78:J79"/>
    <mergeCell ref="K78:K79"/>
    <mergeCell ref="L78:L79"/>
    <mergeCell ref="M78:M79"/>
    <mergeCell ref="A80:A81"/>
    <mergeCell ref="B80:B81"/>
    <mergeCell ref="C80:C81"/>
    <mergeCell ref="D80:D81"/>
    <mergeCell ref="E80:E81"/>
    <mergeCell ref="F80:F81"/>
    <mergeCell ref="G80:G81"/>
    <mergeCell ref="H80:H81"/>
    <mergeCell ref="I80:I81"/>
    <mergeCell ref="J80:J81"/>
    <mergeCell ref="K80:K81"/>
    <mergeCell ref="L80:L81"/>
    <mergeCell ref="M80:M81"/>
    <mergeCell ref="A78:A79"/>
    <mergeCell ref="B78:B79"/>
    <mergeCell ref="C78:C79"/>
    <mergeCell ref="D78:D79"/>
    <mergeCell ref="E78:E79"/>
    <mergeCell ref="F78:F79"/>
    <mergeCell ref="G78:G79"/>
    <mergeCell ref="H78:H79"/>
    <mergeCell ref="I78:I79"/>
    <mergeCell ref="J74:J75"/>
    <mergeCell ref="K74:K75"/>
    <mergeCell ref="L74:L75"/>
    <mergeCell ref="M74:M75"/>
    <mergeCell ref="A76:A77"/>
    <mergeCell ref="B76:B77"/>
    <mergeCell ref="C76:C77"/>
    <mergeCell ref="D76:D77"/>
    <mergeCell ref="E76:E77"/>
    <mergeCell ref="F76:F77"/>
    <mergeCell ref="G76:G77"/>
    <mergeCell ref="H76:H77"/>
    <mergeCell ref="I76:I77"/>
    <mergeCell ref="J76:J77"/>
    <mergeCell ref="K76:K77"/>
    <mergeCell ref="L76:L77"/>
    <mergeCell ref="M76:M77"/>
    <mergeCell ref="A74:A75"/>
    <mergeCell ref="B74:B75"/>
    <mergeCell ref="C74:C75"/>
    <mergeCell ref="D74:D75"/>
    <mergeCell ref="E74:E75"/>
    <mergeCell ref="F74:F75"/>
    <mergeCell ref="G74:G75"/>
    <mergeCell ref="H74:H75"/>
    <mergeCell ref="I74:I75"/>
    <mergeCell ref="M70:M71"/>
    <mergeCell ref="A72:A73"/>
    <mergeCell ref="B72:B73"/>
    <mergeCell ref="C72:C73"/>
    <mergeCell ref="D72:D73"/>
    <mergeCell ref="E72:E73"/>
    <mergeCell ref="F72:F73"/>
    <mergeCell ref="G72:G73"/>
    <mergeCell ref="H72:H73"/>
    <mergeCell ref="I72:I73"/>
    <mergeCell ref="J72:J73"/>
    <mergeCell ref="K72:K73"/>
    <mergeCell ref="L72:L73"/>
    <mergeCell ref="M72:M73"/>
    <mergeCell ref="A70:A71"/>
    <mergeCell ref="B70:B71"/>
    <mergeCell ref="C70:C71"/>
    <mergeCell ref="D70:D71"/>
    <mergeCell ref="E70:E71"/>
    <mergeCell ref="F70:F71"/>
    <mergeCell ref="G70:G71"/>
    <mergeCell ref="M66:M67"/>
    <mergeCell ref="A68:A69"/>
    <mergeCell ref="B68:B69"/>
    <mergeCell ref="C68:C69"/>
    <mergeCell ref="D68:D69"/>
    <mergeCell ref="E68:E69"/>
    <mergeCell ref="F68:F69"/>
    <mergeCell ref="G68:G69"/>
    <mergeCell ref="H68:H69"/>
    <mergeCell ref="I68:I69"/>
    <mergeCell ref="J68:J69"/>
    <mergeCell ref="K68:K69"/>
    <mergeCell ref="L68:L69"/>
    <mergeCell ref="M68:M69"/>
    <mergeCell ref="A66:A67"/>
    <mergeCell ref="B66:B67"/>
    <mergeCell ref="C66:C67"/>
    <mergeCell ref="D66:D67"/>
    <mergeCell ref="E66:E67"/>
    <mergeCell ref="M62:M63"/>
    <mergeCell ref="A64:A65"/>
    <mergeCell ref="B64:B65"/>
    <mergeCell ref="C64:C65"/>
    <mergeCell ref="D64:D65"/>
    <mergeCell ref="E64:E65"/>
    <mergeCell ref="F64:F65"/>
    <mergeCell ref="G64:G65"/>
    <mergeCell ref="H64:H65"/>
    <mergeCell ref="I64:I65"/>
    <mergeCell ref="J64:J65"/>
    <mergeCell ref="K64:K65"/>
    <mergeCell ref="L64:L65"/>
    <mergeCell ref="M64:M65"/>
    <mergeCell ref="A62:A63"/>
    <mergeCell ref="B62:B63"/>
    <mergeCell ref="C62:C63"/>
    <mergeCell ref="E60:E61"/>
    <mergeCell ref="F60:F61"/>
    <mergeCell ref="G60:G61"/>
    <mergeCell ref="H60:H61"/>
    <mergeCell ref="I60:I61"/>
    <mergeCell ref="F66:F67"/>
    <mergeCell ref="G66:G67"/>
    <mergeCell ref="H66:H67"/>
    <mergeCell ref="I66:I67"/>
    <mergeCell ref="K206:M206"/>
    <mergeCell ref="K207:M207"/>
    <mergeCell ref="M20:M21"/>
    <mergeCell ref="A50:A51"/>
    <mergeCell ref="B50:B51"/>
    <mergeCell ref="C50:C51"/>
    <mergeCell ref="D50:D51"/>
    <mergeCell ref="E50:E51"/>
    <mergeCell ref="F50:F51"/>
    <mergeCell ref="G50:G51"/>
    <mergeCell ref="H50:H51"/>
    <mergeCell ref="I50:I51"/>
    <mergeCell ref="J50:J51"/>
    <mergeCell ref="K50:K51"/>
    <mergeCell ref="L50:L51"/>
    <mergeCell ref="M50:M51"/>
    <mergeCell ref="A52:A53"/>
    <mergeCell ref="B52:B53"/>
    <mergeCell ref="C52:C53"/>
    <mergeCell ref="J54:J55"/>
    <mergeCell ref="K54:K55"/>
    <mergeCell ref="L54:L55"/>
    <mergeCell ref="M54:M55"/>
    <mergeCell ref="A56:A57"/>
    <mergeCell ref="I201:I202"/>
    <mergeCell ref="F195:F196"/>
    <mergeCell ref="F180:F181"/>
    <mergeCell ref="B174:B175"/>
    <mergeCell ref="C174:C175"/>
    <mergeCell ref="D174:D175"/>
    <mergeCell ref="E174:E175"/>
    <mergeCell ref="F174:F175"/>
    <mergeCell ref="G174:G175"/>
    <mergeCell ref="A184:G185"/>
    <mergeCell ref="H184:H185"/>
    <mergeCell ref="I184:I185"/>
    <mergeCell ref="H174:H175"/>
    <mergeCell ref="I174:I175"/>
    <mergeCell ref="M52:M53"/>
    <mergeCell ref="G195:G196"/>
    <mergeCell ref="M182:M183"/>
    <mergeCell ref="G180:G181"/>
    <mergeCell ref="H180:H181"/>
    <mergeCell ref="I180:I181"/>
    <mergeCell ref="J180:J181"/>
    <mergeCell ref="M180:M181"/>
    <mergeCell ref="M191:M192"/>
    <mergeCell ref="H195:H196"/>
    <mergeCell ref="I195:I196"/>
    <mergeCell ref="J195:J196"/>
    <mergeCell ref="M195:M196"/>
    <mergeCell ref="G56:G57"/>
    <mergeCell ref="H56:H57"/>
    <mergeCell ref="I56:I57"/>
    <mergeCell ref="J60:J61"/>
    <mergeCell ref="K60:K61"/>
    <mergeCell ref="L60:L61"/>
    <mergeCell ref="M60:M61"/>
    <mergeCell ref="G58:G59"/>
    <mergeCell ref="H58:H59"/>
    <mergeCell ref="I58:I59"/>
    <mergeCell ref="G62:G63"/>
    <mergeCell ref="G199:G200"/>
    <mergeCell ref="H199:H200"/>
    <mergeCell ref="I199:I200"/>
    <mergeCell ref="J199:J200"/>
    <mergeCell ref="H52:H53"/>
    <mergeCell ref="I52:I53"/>
    <mergeCell ref="J52:J53"/>
    <mergeCell ref="K52:K53"/>
    <mergeCell ref="L52:L53"/>
    <mergeCell ref="H62:H63"/>
    <mergeCell ref="I62:I63"/>
    <mergeCell ref="J62:J63"/>
    <mergeCell ref="K62:K63"/>
    <mergeCell ref="L62:L63"/>
    <mergeCell ref="H70:H71"/>
    <mergeCell ref="I70:I71"/>
    <mergeCell ref="J66:J67"/>
    <mergeCell ref="K66:K67"/>
    <mergeCell ref="L66:L67"/>
    <mergeCell ref="J70:J71"/>
    <mergeCell ref="K70:K71"/>
    <mergeCell ref="L70:L71"/>
    <mergeCell ref="H86:H87"/>
    <mergeCell ref="I86:I87"/>
    <mergeCell ref="J58:J59"/>
    <mergeCell ref="K58:K59"/>
    <mergeCell ref="L58:L59"/>
    <mergeCell ref="M58:M59"/>
    <mergeCell ref="A60:A61"/>
    <mergeCell ref="A195:A196"/>
    <mergeCell ref="B195:B196"/>
    <mergeCell ref="C195:C196"/>
    <mergeCell ref="D195:D196"/>
    <mergeCell ref="E195:E196"/>
    <mergeCell ref="B170:B171"/>
    <mergeCell ref="C170:C171"/>
    <mergeCell ref="A58:A59"/>
    <mergeCell ref="B58:B59"/>
    <mergeCell ref="C58:C59"/>
    <mergeCell ref="D58:D59"/>
    <mergeCell ref="E58:E59"/>
    <mergeCell ref="F58:F59"/>
    <mergeCell ref="B60:B61"/>
    <mergeCell ref="C60:C61"/>
    <mergeCell ref="D60:D61"/>
    <mergeCell ref="D62:D63"/>
    <mergeCell ref="E62:E63"/>
    <mergeCell ref="F62:F63"/>
    <mergeCell ref="G178:G179"/>
    <mergeCell ref="H178:H179"/>
    <mergeCell ref="I178:I179"/>
    <mergeCell ref="J178:J179"/>
    <mergeCell ref="J174:J175"/>
    <mergeCell ref="A182:A183"/>
    <mergeCell ref="B182:B183"/>
    <mergeCell ref="C182:C183"/>
    <mergeCell ref="D182:D183"/>
    <mergeCell ref="J56:J57"/>
    <mergeCell ref="K56:K57"/>
    <mergeCell ref="L56:L57"/>
    <mergeCell ref="M56:M57"/>
    <mergeCell ref="A54:A55"/>
    <mergeCell ref="B54:B55"/>
    <mergeCell ref="C54:C55"/>
    <mergeCell ref="D54:D55"/>
    <mergeCell ref="H54:H55"/>
    <mergeCell ref="I54:I55"/>
    <mergeCell ref="B56:B57"/>
    <mergeCell ref="C56:C57"/>
    <mergeCell ref="D56:D57"/>
    <mergeCell ref="E56:E57"/>
    <mergeCell ref="F56:F57"/>
    <mergeCell ref="D52:D53"/>
    <mergeCell ref="AJ220:AK220"/>
    <mergeCell ref="A193:A194"/>
    <mergeCell ref="B193:B194"/>
    <mergeCell ref="C193:C194"/>
    <mergeCell ref="A191:A192"/>
    <mergeCell ref="B191:B192"/>
    <mergeCell ref="C191:C192"/>
    <mergeCell ref="F191:F192"/>
    <mergeCell ref="A178:A179"/>
    <mergeCell ref="B178:B179"/>
    <mergeCell ref="C178:C179"/>
    <mergeCell ref="D178:D179"/>
    <mergeCell ref="E178:E179"/>
    <mergeCell ref="M178:M179"/>
    <mergeCell ref="G176:G177"/>
    <mergeCell ref="F178:F179"/>
    <mergeCell ref="AL220:AM220"/>
    <mergeCell ref="AJ222:AK222"/>
    <mergeCell ref="AL222:AM222"/>
    <mergeCell ref="AB209:AD209"/>
    <mergeCell ref="AB210:AD210"/>
    <mergeCell ref="AB211:AD211"/>
    <mergeCell ref="AL215:AM215"/>
    <mergeCell ref="N191:Z191"/>
    <mergeCell ref="I191:I192"/>
    <mergeCell ref="J191:J192"/>
    <mergeCell ref="K191:K192"/>
    <mergeCell ref="L191:L192"/>
    <mergeCell ref="I193:I194"/>
    <mergeCell ref="J193:J194"/>
    <mergeCell ref="M193:M194"/>
    <mergeCell ref="D180:D181"/>
    <mergeCell ref="E180:E181"/>
    <mergeCell ref="F182:F183"/>
    <mergeCell ref="G182:G183"/>
    <mergeCell ref="H182:H183"/>
    <mergeCell ref="I182:I183"/>
    <mergeCell ref="J182:J183"/>
    <mergeCell ref="D193:D194"/>
    <mergeCell ref="E193:E194"/>
    <mergeCell ref="F193:F194"/>
    <mergeCell ref="G193:G194"/>
    <mergeCell ref="H193:H194"/>
    <mergeCell ref="G191:G192"/>
    <mergeCell ref="H191:H192"/>
    <mergeCell ref="J184:J185"/>
    <mergeCell ref="D191:D192"/>
    <mergeCell ref="E191:E192"/>
    <mergeCell ref="AN215:AO215"/>
    <mergeCell ref="AL216:AM216"/>
    <mergeCell ref="AN216:AO216"/>
    <mergeCell ref="A201:A202"/>
    <mergeCell ref="B201:B202"/>
    <mergeCell ref="C201:C202"/>
    <mergeCell ref="D201:D202"/>
    <mergeCell ref="E201:E202"/>
    <mergeCell ref="A199:A200"/>
    <mergeCell ref="B199:B200"/>
    <mergeCell ref="C199:C200"/>
    <mergeCell ref="D199:D200"/>
    <mergeCell ref="E199:E200"/>
    <mergeCell ref="F201:F202"/>
    <mergeCell ref="G201:G202"/>
    <mergeCell ref="H201:H202"/>
    <mergeCell ref="M199:M200"/>
    <mergeCell ref="F199:F200"/>
    <mergeCell ref="A203:G204"/>
    <mergeCell ref="H203:H204"/>
    <mergeCell ref="I203:I204"/>
    <mergeCell ref="J203:J204"/>
    <mergeCell ref="J201:J202"/>
    <mergeCell ref="M201:M202"/>
    <mergeCell ref="E182:E183"/>
    <mergeCell ref="A180:A181"/>
    <mergeCell ref="B180:B181"/>
    <mergeCell ref="C180:C181"/>
    <mergeCell ref="A166:G167"/>
    <mergeCell ref="H166:H167"/>
    <mergeCell ref="I166:I167"/>
    <mergeCell ref="J166:J167"/>
    <mergeCell ref="M170:M171"/>
    <mergeCell ref="M174:M175"/>
    <mergeCell ref="A176:A177"/>
    <mergeCell ref="B176:B177"/>
    <mergeCell ref="C176:C177"/>
    <mergeCell ref="D176:D177"/>
    <mergeCell ref="E176:E177"/>
    <mergeCell ref="F176:F177"/>
    <mergeCell ref="M176:M177"/>
    <mergeCell ref="M172:M173"/>
    <mergeCell ref="A174:A175"/>
    <mergeCell ref="D170:D171"/>
    <mergeCell ref="E170:E171"/>
    <mergeCell ref="F170:F171"/>
    <mergeCell ref="I172:I173"/>
    <mergeCell ref="J172:J173"/>
    <mergeCell ref="H176:H177"/>
    <mergeCell ref="I176:I177"/>
    <mergeCell ref="J176:J177"/>
    <mergeCell ref="N170:Z170"/>
    <mergeCell ref="A172:A173"/>
    <mergeCell ref="B172:B173"/>
    <mergeCell ref="C172:C173"/>
    <mergeCell ref="D172:D173"/>
    <mergeCell ref="E172:E173"/>
    <mergeCell ref="F172:F173"/>
    <mergeCell ref="G172:G173"/>
    <mergeCell ref="H172:H173"/>
    <mergeCell ref="G170:G171"/>
    <mergeCell ref="H170:H171"/>
    <mergeCell ref="I170:I171"/>
    <mergeCell ref="J170:J171"/>
    <mergeCell ref="K170:K171"/>
    <mergeCell ref="L170:L171"/>
    <mergeCell ref="A170:A171"/>
    <mergeCell ref="M46:M47"/>
    <mergeCell ref="A48:A49"/>
    <mergeCell ref="B48:B49"/>
    <mergeCell ref="C48:C49"/>
    <mergeCell ref="D48:D49"/>
    <mergeCell ref="E48:E49"/>
    <mergeCell ref="L48:L49"/>
    <mergeCell ref="M48:M49"/>
    <mergeCell ref="I48:I49"/>
    <mergeCell ref="J48:J49"/>
    <mergeCell ref="K48:K49"/>
    <mergeCell ref="A46:A47"/>
    <mergeCell ref="B46:B47"/>
    <mergeCell ref="C46:C47"/>
    <mergeCell ref="D46:D47"/>
    <mergeCell ref="E46:E47"/>
    <mergeCell ref="F46:F47"/>
    <mergeCell ref="G46:G47"/>
    <mergeCell ref="H46:H47"/>
    <mergeCell ref="F48:F49"/>
    <mergeCell ref="G48:G49"/>
    <mergeCell ref="H48:H49"/>
    <mergeCell ref="I46:I47"/>
    <mergeCell ref="J46:J47"/>
    <mergeCell ref="K46:K47"/>
    <mergeCell ref="L46:L47"/>
    <mergeCell ref="F44:F45"/>
    <mergeCell ref="G44:G45"/>
    <mergeCell ref="H44:H45"/>
    <mergeCell ref="M42:M43"/>
    <mergeCell ref="A44:A45"/>
    <mergeCell ref="B44:B45"/>
    <mergeCell ref="C44:C45"/>
    <mergeCell ref="D44:D45"/>
    <mergeCell ref="E44:E45"/>
    <mergeCell ref="L44:L45"/>
    <mergeCell ref="M44:M45"/>
    <mergeCell ref="I44:I45"/>
    <mergeCell ref="J44:J45"/>
    <mergeCell ref="K44:K45"/>
    <mergeCell ref="A42:A43"/>
    <mergeCell ref="B42:B43"/>
    <mergeCell ref="C42:C43"/>
    <mergeCell ref="D42:D43"/>
    <mergeCell ref="E42:E43"/>
    <mergeCell ref="F42:F43"/>
    <mergeCell ref="G42:G43"/>
    <mergeCell ref="H42:H43"/>
    <mergeCell ref="I42:I43"/>
    <mergeCell ref="J42:J43"/>
    <mergeCell ref="K42:K43"/>
    <mergeCell ref="L42:L43"/>
    <mergeCell ref="A40:A41"/>
    <mergeCell ref="B40:B41"/>
    <mergeCell ref="C40:C41"/>
    <mergeCell ref="D40:D41"/>
    <mergeCell ref="E40:E41"/>
    <mergeCell ref="L40:L41"/>
    <mergeCell ref="M40:M41"/>
    <mergeCell ref="I40:I41"/>
    <mergeCell ref="J40:J41"/>
    <mergeCell ref="K40:K41"/>
    <mergeCell ref="F40:F41"/>
    <mergeCell ref="G40:G41"/>
    <mergeCell ref="H40:H41"/>
    <mergeCell ref="I30:I31"/>
    <mergeCell ref="J30:J31"/>
    <mergeCell ref="K30:K31"/>
    <mergeCell ref="L30:L31"/>
    <mergeCell ref="A38:A39"/>
    <mergeCell ref="B38:B39"/>
    <mergeCell ref="C38:C39"/>
    <mergeCell ref="D38:D39"/>
    <mergeCell ref="E38:E39"/>
    <mergeCell ref="F38:F39"/>
    <mergeCell ref="G38:G39"/>
    <mergeCell ref="H38:H39"/>
    <mergeCell ref="G34:G35"/>
    <mergeCell ref="H34:H35"/>
    <mergeCell ref="M34:M35"/>
    <mergeCell ref="M38:M39"/>
    <mergeCell ref="A36:A37"/>
    <mergeCell ref="B36:B37"/>
    <mergeCell ref="C36:C37"/>
    <mergeCell ref="D36:D37"/>
    <mergeCell ref="E36:E37"/>
    <mergeCell ref="L36:L37"/>
    <mergeCell ref="M36:M37"/>
    <mergeCell ref="I36:I37"/>
    <mergeCell ref="J36:J37"/>
    <mergeCell ref="K36:K37"/>
    <mergeCell ref="A34:A35"/>
    <mergeCell ref="B34:B35"/>
    <mergeCell ref="C34:C35"/>
    <mergeCell ref="D34:D35"/>
    <mergeCell ref="E34:E35"/>
    <mergeCell ref="L26:L27"/>
    <mergeCell ref="F34:F35"/>
    <mergeCell ref="I38:I39"/>
    <mergeCell ref="J38:J39"/>
    <mergeCell ref="K38:K39"/>
    <mergeCell ref="L38:L39"/>
    <mergeCell ref="F36:F37"/>
    <mergeCell ref="G36:G37"/>
    <mergeCell ref="H36:H37"/>
    <mergeCell ref="I34:I35"/>
    <mergeCell ref="J34:J35"/>
    <mergeCell ref="K34:K35"/>
    <mergeCell ref="L34:L35"/>
    <mergeCell ref="M30:M31"/>
    <mergeCell ref="A32:A33"/>
    <mergeCell ref="B32:B33"/>
    <mergeCell ref="C32:C33"/>
    <mergeCell ref="D32:D33"/>
    <mergeCell ref="E32:E33"/>
    <mergeCell ref="L32:L33"/>
    <mergeCell ref="M32:M33"/>
    <mergeCell ref="I32:I33"/>
    <mergeCell ref="J32:J33"/>
    <mergeCell ref="K32:K33"/>
    <mergeCell ref="A30:A31"/>
    <mergeCell ref="B30:B31"/>
    <mergeCell ref="C30:C31"/>
    <mergeCell ref="D30:D31"/>
    <mergeCell ref="E30:E31"/>
    <mergeCell ref="F30:F31"/>
    <mergeCell ref="G30:G31"/>
    <mergeCell ref="H30:H31"/>
    <mergeCell ref="E24:E25"/>
    <mergeCell ref="A20:A21"/>
    <mergeCell ref="B20:B21"/>
    <mergeCell ref="C20:C21"/>
    <mergeCell ref="D20:D21"/>
    <mergeCell ref="E20:E21"/>
    <mergeCell ref="M26:M27"/>
    <mergeCell ref="A28:A29"/>
    <mergeCell ref="B28:B29"/>
    <mergeCell ref="C28:C29"/>
    <mergeCell ref="D28:D29"/>
    <mergeCell ref="E28:E29"/>
    <mergeCell ref="L28:L29"/>
    <mergeCell ref="M28:M29"/>
    <mergeCell ref="I28:I29"/>
    <mergeCell ref="J28:J29"/>
    <mergeCell ref="K28:K29"/>
    <mergeCell ref="A26:A27"/>
    <mergeCell ref="B26:B27"/>
    <mergeCell ref="C26:C27"/>
    <mergeCell ref="D26:D27"/>
    <mergeCell ref="E26:E27"/>
    <mergeCell ref="F26:F27"/>
    <mergeCell ref="L24:L25"/>
    <mergeCell ref="G26:G27"/>
    <mergeCell ref="H26:H27"/>
    <mergeCell ref="F28:F29"/>
    <mergeCell ref="G28:G29"/>
    <mergeCell ref="H28:H29"/>
    <mergeCell ref="I26:I27"/>
    <mergeCell ref="J26:J27"/>
    <mergeCell ref="K26:K27"/>
    <mergeCell ref="L8:L9"/>
    <mergeCell ref="M8:M9"/>
    <mergeCell ref="I8:I9"/>
    <mergeCell ref="J8:J9"/>
    <mergeCell ref="L12:L13"/>
    <mergeCell ref="L20:L21"/>
    <mergeCell ref="I20:I21"/>
    <mergeCell ref="J20:J21"/>
    <mergeCell ref="K20:K21"/>
    <mergeCell ref="A18:A19"/>
    <mergeCell ref="B18:B19"/>
    <mergeCell ref="C18:C19"/>
    <mergeCell ref="D18:D19"/>
    <mergeCell ref="E18:E19"/>
    <mergeCell ref="F18:F19"/>
    <mergeCell ref="G18:G19"/>
    <mergeCell ref="A14:A15"/>
    <mergeCell ref="B14:B15"/>
    <mergeCell ref="C14:C15"/>
    <mergeCell ref="E14:E15"/>
    <mergeCell ref="F14:F15"/>
    <mergeCell ref="A8:A9"/>
    <mergeCell ref="B8:B9"/>
    <mergeCell ref="C8:C9"/>
    <mergeCell ref="D8:D9"/>
    <mergeCell ref="E8:E9"/>
    <mergeCell ref="L16:L17"/>
    <mergeCell ref="L14:L15"/>
    <mergeCell ref="H8:H9"/>
    <mergeCell ref="G8:G9"/>
    <mergeCell ref="F8:F9"/>
    <mergeCell ref="K8:K9"/>
    <mergeCell ref="A197:A198"/>
    <mergeCell ref="B197:B198"/>
    <mergeCell ref="C197:C198"/>
    <mergeCell ref="D197:D198"/>
    <mergeCell ref="E197:E198"/>
    <mergeCell ref="F197:F198"/>
    <mergeCell ref="G197:G198"/>
    <mergeCell ref="H197:H198"/>
    <mergeCell ref="I197:I198"/>
    <mergeCell ref="E54:E55"/>
    <mergeCell ref="F54:F55"/>
    <mergeCell ref="G54:G55"/>
    <mergeCell ref="J16:J17"/>
    <mergeCell ref="K16:K17"/>
    <mergeCell ref="K14:K15"/>
    <mergeCell ref="I12:I13"/>
    <mergeCell ref="J12:J13"/>
    <mergeCell ref="K12:K13"/>
    <mergeCell ref="I18:I19"/>
    <mergeCell ref="I16:I17"/>
    <mergeCell ref="I24:I25"/>
    <mergeCell ref="E16:E17"/>
    <mergeCell ref="I14:I15"/>
    <mergeCell ref="B22:B23"/>
    <mergeCell ref="C22:C23"/>
    <mergeCell ref="D22:D23"/>
    <mergeCell ref="E22:E23"/>
    <mergeCell ref="F22:F23"/>
    <mergeCell ref="A24:A25"/>
    <mergeCell ref="B24:B25"/>
    <mergeCell ref="C24:C25"/>
    <mergeCell ref="D24:D25"/>
    <mergeCell ref="A10:A11"/>
    <mergeCell ref="B10:B11"/>
    <mergeCell ref="C10:C11"/>
    <mergeCell ref="D10:D11"/>
    <mergeCell ref="E10:E11"/>
    <mergeCell ref="F10:F11"/>
    <mergeCell ref="G10:G11"/>
    <mergeCell ref="H10:H11"/>
    <mergeCell ref="D12:D13"/>
    <mergeCell ref="G12:G13"/>
    <mergeCell ref="A22:A23"/>
    <mergeCell ref="E52:E53"/>
    <mergeCell ref="F52:F53"/>
    <mergeCell ref="G52:G53"/>
    <mergeCell ref="H14:H15"/>
    <mergeCell ref="H18:H19"/>
    <mergeCell ref="F16:F17"/>
    <mergeCell ref="G16:G17"/>
    <mergeCell ref="H16:H17"/>
    <mergeCell ref="F20:F21"/>
    <mergeCell ref="G20:G21"/>
    <mergeCell ref="H20:H21"/>
    <mergeCell ref="A12:A13"/>
    <mergeCell ref="B12:B13"/>
    <mergeCell ref="C12:C13"/>
    <mergeCell ref="E12:E13"/>
    <mergeCell ref="D14:D15"/>
    <mergeCell ref="G14:G15"/>
    <mergeCell ref="A16:A17"/>
    <mergeCell ref="B16:B17"/>
    <mergeCell ref="C16:C17"/>
    <mergeCell ref="D16:D17"/>
    <mergeCell ref="M197:M198"/>
    <mergeCell ref="F12:F13"/>
    <mergeCell ref="H12:H13"/>
    <mergeCell ref="I10:I11"/>
    <mergeCell ref="J10:J11"/>
    <mergeCell ref="K10:K11"/>
    <mergeCell ref="L10:L11"/>
    <mergeCell ref="M10:M11"/>
    <mergeCell ref="J197:J198"/>
    <mergeCell ref="M24:M25"/>
    <mergeCell ref="J24:J25"/>
    <mergeCell ref="K24:K25"/>
    <mergeCell ref="I22:I23"/>
    <mergeCell ref="L18:L19"/>
    <mergeCell ref="M18:M19"/>
    <mergeCell ref="K22:K23"/>
    <mergeCell ref="L22:L23"/>
    <mergeCell ref="M22:M23"/>
    <mergeCell ref="M14:M15"/>
    <mergeCell ref="J18:J19"/>
    <mergeCell ref="K18:K19"/>
    <mergeCell ref="J22:J23"/>
    <mergeCell ref="J14:J15"/>
    <mergeCell ref="M12:M13"/>
    <mergeCell ref="G22:G23"/>
    <mergeCell ref="H22:H23"/>
    <mergeCell ref="F24:F25"/>
    <mergeCell ref="G24:G25"/>
    <mergeCell ref="H24:H25"/>
    <mergeCell ref="F32:F33"/>
    <mergeCell ref="G32:G33"/>
    <mergeCell ref="H32:H33"/>
    <mergeCell ref="M4:M5"/>
    <mergeCell ref="I6:I7"/>
    <mergeCell ref="N4:Z4"/>
    <mergeCell ref="A6:A7"/>
    <mergeCell ref="B6:B7"/>
    <mergeCell ref="C6:C7"/>
    <mergeCell ref="D6:D7"/>
    <mergeCell ref="E6:E7"/>
    <mergeCell ref="F6:F7"/>
    <mergeCell ref="G6:G7"/>
    <mergeCell ref="H6:H7"/>
    <mergeCell ref="G4:G5"/>
    <mergeCell ref="H4:H5"/>
    <mergeCell ref="I4:I5"/>
    <mergeCell ref="J4:J5"/>
    <mergeCell ref="K4:K5"/>
    <mergeCell ref="L4:L5"/>
    <mergeCell ref="A4:A5"/>
    <mergeCell ref="B4:B5"/>
    <mergeCell ref="C4:C5"/>
    <mergeCell ref="D4:D5"/>
    <mergeCell ref="E4:E5"/>
    <mergeCell ref="F4:F5"/>
    <mergeCell ref="K6:K7"/>
    <mergeCell ref="L6:L7"/>
    <mergeCell ref="M6:M7"/>
    <mergeCell ref="J6:J7"/>
  </mergeCells>
  <phoneticPr fontId="2"/>
  <dataValidations count="2">
    <dataValidation type="list" allowBlank="1" showInputMessage="1" showErrorMessage="1" sqref="B172:B183 B193:B202 B6:B165" xr:uid="{00000000-0002-0000-0100-000000000000}">
      <formula1>Status</formula1>
    </dataValidation>
    <dataValidation type="list" allowBlank="1" showInputMessage="1" showErrorMessage="1" sqref="C172:C183 C193:C202 C6:C165" xr:uid="{00000000-0002-0000-0100-000001000000}">
      <formula1>Division</formula1>
    </dataValidation>
  </dataValidations>
  <hyperlinks>
    <hyperlink ref="G201:G202" location="休暇!A1" display="休暇" xr:uid="{00000000-0004-0000-0100-000000000000}"/>
  </hyperlink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EH284"/>
  <sheetViews>
    <sheetView showGridLines="0" zoomScale="85" zoomScaleNormal="85" workbookViewId="0">
      <pane xSplit="13" ySplit="6" topLeftCell="N7" activePane="bottomRight" state="frozen"/>
      <selection activeCell="E174" sqref="E174:E175"/>
      <selection pane="topRight" activeCell="E174" sqref="E174:E175"/>
      <selection pane="bottomLeft" activeCell="E174" sqref="E174:E175"/>
      <selection pane="bottomRight" activeCell="A3" sqref="A3"/>
    </sheetView>
  </sheetViews>
  <sheetFormatPr defaultColWidth="9" defaultRowHeight="20.100000000000001" customHeight="1" outlineLevelRow="1" outlineLevelCol="1" x14ac:dyDescent="0.4"/>
  <cols>
    <col min="1" max="1" width="4.625" style="1" customWidth="1"/>
    <col min="2" max="3" width="8.5" style="1" customWidth="1" outlineLevel="1"/>
    <col min="4" max="4" width="10.625" style="1" customWidth="1" outlineLevel="1"/>
    <col min="5" max="5" width="7.625" style="1" customWidth="1"/>
    <col min="6" max="6" width="11.625" style="1" customWidth="1" outlineLevel="1"/>
    <col min="7" max="7" width="33.875" style="9" customWidth="1" outlineLevel="1"/>
    <col min="8" max="9" width="6.75" style="1" customWidth="1"/>
    <col min="10" max="10" width="8.125" style="1" hidden="1" customWidth="1" outlineLevel="1"/>
    <col min="11" max="11" width="9.625" style="1" hidden="1" customWidth="1" outlineLevel="1"/>
    <col min="12" max="12" width="8.125" style="1" hidden="1" customWidth="1" outlineLevel="1"/>
    <col min="13" max="13" width="18.75" style="1" hidden="1" customWidth="1" collapsed="1"/>
    <col min="14" max="14" width="5.875" style="1" customWidth="1"/>
    <col min="15" max="21" width="7" style="1" hidden="1" customWidth="1" outlineLevel="1"/>
    <col min="22" max="23" width="7" style="201" hidden="1" customWidth="1" outlineLevel="1"/>
    <col min="24" max="24" width="7" style="1" hidden="1" customWidth="1" outlineLevel="1"/>
    <col min="25" max="25" width="7" style="1" hidden="1" customWidth="1" outlineLevel="1" collapsed="1"/>
    <col min="26" max="30" width="7" style="1" hidden="1" customWidth="1" outlineLevel="1"/>
    <col min="31" max="34" width="7" style="201" hidden="1" customWidth="1" outlineLevel="1"/>
    <col min="35" max="35" width="7" style="1" hidden="1" customWidth="1" outlineLevel="1" collapsed="1"/>
    <col min="36" max="39" width="7" style="1" hidden="1" customWidth="1" outlineLevel="1"/>
    <col min="40" max="41" width="7" style="201" hidden="1" customWidth="1" outlineLevel="1"/>
    <col min="42" max="42" width="7" style="1" hidden="1" customWidth="1" outlineLevel="1"/>
    <col min="43" max="43" width="7" style="201" hidden="1" customWidth="1" outlineLevel="1"/>
    <col min="44" max="44" width="7" style="1" hidden="1" customWidth="1" outlineLevel="1"/>
    <col min="45" max="45" width="7" style="1" hidden="1" customWidth="1" outlineLevel="1" collapsed="1"/>
    <col min="46" max="49" width="7" style="1" hidden="1" customWidth="1" outlineLevel="1"/>
    <col min="50" max="54" width="7" style="201" hidden="1" customWidth="1" outlineLevel="1"/>
    <col min="55" max="55" width="7" style="1" hidden="1" customWidth="1" outlineLevel="1" collapsed="1"/>
    <col min="56" max="57" width="7" style="1" hidden="1" customWidth="1" outlineLevel="1"/>
    <col min="58" max="59" width="7" style="201" hidden="1" customWidth="1" outlineLevel="1"/>
    <col min="60" max="61" width="7" style="1" hidden="1" customWidth="1" outlineLevel="1"/>
    <col min="62" max="64" width="7" style="201" hidden="1" customWidth="1" outlineLevel="1"/>
    <col min="65" max="65" width="7" style="1" hidden="1" customWidth="1" outlineLevel="1" collapsed="1"/>
    <col min="66" max="69" width="7" style="1" hidden="1" customWidth="1" outlineLevel="1"/>
    <col min="70" max="73" width="7" style="201" hidden="1" customWidth="1" outlineLevel="1"/>
    <col min="74" max="74" width="7" style="1" hidden="1" customWidth="1" outlineLevel="1"/>
    <col min="75" max="75" width="7" style="1" hidden="1" customWidth="1" outlineLevel="1" collapsed="1"/>
    <col min="76" max="79" width="7" style="1" hidden="1" customWidth="1" outlineLevel="1"/>
    <col min="80" max="84" width="7" style="201" hidden="1" customWidth="1" outlineLevel="1"/>
    <col min="85" max="85" width="7" style="1" hidden="1" customWidth="1" outlineLevel="1" collapsed="1"/>
    <col min="86" max="89" width="7" style="1" hidden="1" customWidth="1" outlineLevel="1"/>
    <col min="90" max="91" width="7.125" style="201" hidden="1" customWidth="1" outlineLevel="1"/>
    <col min="92" max="94" width="7" style="201" hidden="1" customWidth="1" outlineLevel="1"/>
    <col min="95" max="95" width="7" style="1" hidden="1" customWidth="1" outlineLevel="1" collapsed="1"/>
    <col min="96" max="99" width="7" style="1" hidden="1" customWidth="1" outlineLevel="1"/>
    <col min="100" max="101" width="7" style="201" hidden="1" customWidth="1" outlineLevel="1"/>
    <col min="102" max="102" width="7" style="1" hidden="1" customWidth="1" outlineLevel="1" collapsed="1"/>
    <col min="103" max="106" width="7" style="1" hidden="1" customWidth="1" outlineLevel="1"/>
    <col min="107" max="108" width="7" style="201" hidden="1" customWidth="1" outlineLevel="1"/>
    <col min="109" max="109" width="7" style="1" customWidth="1" collapsed="1"/>
    <col min="110" max="113" width="7" style="1" customWidth="1"/>
    <col min="114" max="115" width="7" style="201" customWidth="1"/>
    <col min="116" max="120" width="7" style="1" hidden="1" customWidth="1" outlineLevel="1"/>
    <col min="121" max="123" width="7" style="201" hidden="1" customWidth="1" outlineLevel="1"/>
    <col min="124" max="124" width="9" style="1" customWidth="1" collapsed="1"/>
    <col min="125" max="125" width="10.625" style="1" customWidth="1"/>
    <col min="126" max="16384" width="9" style="1"/>
  </cols>
  <sheetData>
    <row r="1" spans="1:127" ht="30" hidden="1" customHeight="1" x14ac:dyDescent="0.4">
      <c r="A1" s="26" t="s">
        <v>36</v>
      </c>
      <c r="B1" s="26"/>
      <c r="C1" s="26"/>
      <c r="D1" s="26"/>
      <c r="E1" s="26"/>
      <c r="F1" s="26"/>
      <c r="G1" s="26"/>
      <c r="H1" s="26"/>
      <c r="I1" s="26"/>
      <c r="J1" s="26"/>
      <c r="K1" s="26"/>
      <c r="L1" s="26"/>
      <c r="M1" s="26"/>
      <c r="N1" s="26"/>
      <c r="P1" s="231" t="s">
        <v>415</v>
      </c>
      <c r="Q1" s="220"/>
      <c r="R1" s="220"/>
      <c r="S1" s="232" t="s">
        <v>350</v>
      </c>
      <c r="U1" s="221"/>
      <c r="V1" s="222"/>
      <c r="W1" s="222"/>
      <c r="X1" s="222"/>
      <c r="Y1" s="26"/>
      <c r="Z1" s="231" t="s">
        <v>415</v>
      </c>
      <c r="AA1" s="220"/>
      <c r="AB1" s="220"/>
      <c r="AC1" s="232" t="s">
        <v>350</v>
      </c>
      <c r="AD1" s="201"/>
      <c r="AE1" s="221"/>
      <c r="AF1" s="222"/>
      <c r="AG1" s="222"/>
      <c r="AH1" s="26"/>
      <c r="AI1" s="26"/>
      <c r="AJ1" s="231" t="s">
        <v>415</v>
      </c>
      <c r="AK1" s="220"/>
      <c r="AL1" s="220"/>
      <c r="AM1" s="232" t="s">
        <v>350</v>
      </c>
      <c r="AO1" s="273"/>
      <c r="AP1" s="203"/>
      <c r="AQ1" s="222"/>
      <c r="AR1" s="26"/>
      <c r="AS1" s="26"/>
      <c r="AT1" s="231" t="s">
        <v>330</v>
      </c>
      <c r="AU1" s="220"/>
      <c r="AV1" s="220"/>
      <c r="AW1" s="232" t="s">
        <v>345</v>
      </c>
      <c r="AY1" s="221"/>
      <c r="AZ1" s="221"/>
      <c r="BA1" s="221"/>
      <c r="BB1" s="26"/>
      <c r="BC1" s="26"/>
      <c r="BD1" s="231" t="s">
        <v>330</v>
      </c>
      <c r="BE1" s="220"/>
      <c r="BF1" s="231" t="s">
        <v>330</v>
      </c>
      <c r="BG1" s="220"/>
      <c r="BH1" s="220"/>
      <c r="BI1" s="232" t="s">
        <v>345</v>
      </c>
      <c r="BK1" s="221"/>
      <c r="BL1" s="26"/>
      <c r="BM1" s="26"/>
      <c r="BN1" s="231" t="s">
        <v>330</v>
      </c>
      <c r="BO1" s="220"/>
      <c r="BP1" s="220"/>
      <c r="BQ1" s="232" t="s">
        <v>345</v>
      </c>
      <c r="BS1" s="221"/>
      <c r="BT1" s="222"/>
      <c r="BU1" s="222"/>
      <c r="BV1" s="26"/>
      <c r="BW1" s="26"/>
      <c r="BX1" s="231" t="s">
        <v>330</v>
      </c>
      <c r="BY1" s="220"/>
      <c r="BZ1" s="220"/>
      <c r="CA1" s="232" t="s">
        <v>345</v>
      </c>
      <c r="CC1" s="221"/>
      <c r="CD1" s="221"/>
      <c r="CE1" s="221"/>
      <c r="CF1" s="26"/>
      <c r="CG1" s="26"/>
      <c r="CH1" s="231" t="s">
        <v>330</v>
      </c>
      <c r="CI1" s="220"/>
      <c r="CJ1" s="220"/>
      <c r="CK1" s="232" t="s">
        <v>345</v>
      </c>
      <c r="CM1" s="221"/>
      <c r="CO1" s="221"/>
      <c r="CP1" s="26"/>
      <c r="CQ1" s="26"/>
      <c r="CR1" s="231" t="s">
        <v>330</v>
      </c>
      <c r="CS1" s="220"/>
      <c r="CT1" s="220"/>
      <c r="CU1" s="232" t="s">
        <v>345</v>
      </c>
      <c r="CW1" s="221"/>
      <c r="CX1" s="26"/>
      <c r="CY1" s="231" t="s">
        <v>330</v>
      </c>
      <c r="CZ1" s="220"/>
      <c r="DA1" s="220"/>
      <c r="DB1" s="232" t="s">
        <v>345</v>
      </c>
      <c r="DD1" s="26"/>
      <c r="DE1" s="26"/>
      <c r="DF1" s="231" t="s">
        <v>330</v>
      </c>
      <c r="DG1" s="220"/>
      <c r="DH1" s="220"/>
      <c r="DI1" s="232" t="s">
        <v>345</v>
      </c>
      <c r="DK1" s="221"/>
      <c r="DL1" s="26"/>
      <c r="DM1" s="231" t="s">
        <v>330</v>
      </c>
      <c r="DN1" s="220"/>
      <c r="DO1" s="220"/>
      <c r="DP1" s="232" t="s">
        <v>345</v>
      </c>
      <c r="DR1" s="221"/>
      <c r="DS1" s="26"/>
    </row>
    <row r="2" spans="1:127" ht="14.25" hidden="1" customHeight="1" x14ac:dyDescent="0.4">
      <c r="P2" s="233" t="s">
        <v>416</v>
      </c>
      <c r="Q2" s="223"/>
      <c r="R2" s="223"/>
      <c r="S2" s="223"/>
      <c r="T2" s="223"/>
      <c r="U2" s="224"/>
      <c r="X2" s="201"/>
      <c r="Y2" s="201"/>
      <c r="Z2" s="233" t="s">
        <v>416</v>
      </c>
      <c r="AA2" s="223"/>
      <c r="AB2" s="223"/>
      <c r="AC2" s="223"/>
      <c r="AD2" s="223"/>
      <c r="AE2" s="224"/>
      <c r="AF2" s="269"/>
      <c r="AI2" s="201"/>
      <c r="AJ2" s="233" t="s">
        <v>416</v>
      </c>
      <c r="AK2" s="223"/>
      <c r="AL2" s="223"/>
      <c r="AM2" s="223"/>
      <c r="AN2" s="223"/>
      <c r="AO2" s="274"/>
      <c r="AP2" s="269"/>
      <c r="AQ2" s="269"/>
      <c r="AR2" s="201"/>
      <c r="AS2" s="201"/>
      <c r="AT2" s="233" t="s">
        <v>344</v>
      </c>
      <c r="AU2" s="223"/>
      <c r="AV2" s="223"/>
      <c r="AW2" s="223"/>
      <c r="AX2" s="223"/>
      <c r="AY2" s="224"/>
      <c r="AZ2" s="224"/>
      <c r="BA2" s="224"/>
      <c r="BC2" s="201"/>
      <c r="BD2" s="233" t="s">
        <v>344</v>
      </c>
      <c r="BE2" s="223"/>
      <c r="BF2" s="233" t="s">
        <v>344</v>
      </c>
      <c r="BG2" s="223"/>
      <c r="BH2" s="223"/>
      <c r="BI2" s="223"/>
      <c r="BJ2" s="223"/>
      <c r="BK2" s="224"/>
      <c r="BM2" s="201"/>
      <c r="BN2" s="233" t="s">
        <v>344</v>
      </c>
      <c r="BO2" s="223"/>
      <c r="BP2" s="223"/>
      <c r="BQ2" s="223"/>
      <c r="BR2" s="223"/>
      <c r="BS2" s="224"/>
      <c r="BT2" s="269"/>
      <c r="BU2" s="269"/>
      <c r="BV2" s="201"/>
      <c r="BW2" s="201"/>
      <c r="BX2" s="233" t="s">
        <v>344</v>
      </c>
      <c r="BY2" s="223"/>
      <c r="BZ2" s="223"/>
      <c r="CA2" s="223"/>
      <c r="CB2" s="223"/>
      <c r="CC2" s="224"/>
      <c r="CD2" s="224"/>
      <c r="CE2" s="224"/>
      <c r="CG2" s="201"/>
      <c r="CH2" s="233" t="s">
        <v>344</v>
      </c>
      <c r="CI2" s="223"/>
      <c r="CJ2" s="223"/>
      <c r="CK2" s="223"/>
      <c r="CL2" s="223"/>
      <c r="CM2" s="224"/>
      <c r="CN2" s="223"/>
      <c r="CO2" s="224"/>
      <c r="CQ2" s="201"/>
      <c r="CR2" s="233" t="s">
        <v>344</v>
      </c>
      <c r="CS2" s="223"/>
      <c r="CT2" s="223"/>
      <c r="CU2" s="223"/>
      <c r="CV2" s="223"/>
      <c r="CW2" s="224"/>
      <c r="CX2" s="201"/>
      <c r="CY2" s="233" t="s">
        <v>344</v>
      </c>
      <c r="CZ2" s="223"/>
      <c r="DA2" s="223"/>
      <c r="DB2" s="223"/>
      <c r="DC2" s="223"/>
      <c r="DE2" s="201"/>
      <c r="DF2" s="233" t="s">
        <v>344</v>
      </c>
      <c r="DG2" s="223"/>
      <c r="DH2" s="223"/>
      <c r="DI2" s="223"/>
      <c r="DJ2" s="223"/>
      <c r="DK2" s="224"/>
      <c r="DL2" s="201"/>
      <c r="DM2" s="233" t="s">
        <v>344</v>
      </c>
      <c r="DN2" s="223"/>
      <c r="DO2" s="223"/>
      <c r="DP2" s="223"/>
      <c r="DQ2" s="223"/>
      <c r="DR2" s="224"/>
    </row>
    <row r="3" spans="1:127" ht="20.100000000000001" customHeight="1" x14ac:dyDescent="0.4">
      <c r="A3" s="7" t="s">
        <v>17</v>
      </c>
      <c r="X3" s="201"/>
      <c r="AP3" s="201"/>
      <c r="AS3" s="197"/>
      <c r="AT3" s="197"/>
      <c r="AV3" s="197"/>
    </row>
    <row r="4" spans="1:127" s="2" customFormat="1" ht="20.100000000000001" customHeight="1" x14ac:dyDescent="0.4">
      <c r="A4" s="473" t="s">
        <v>0</v>
      </c>
      <c r="B4" s="487" t="s">
        <v>87</v>
      </c>
      <c r="C4" s="487" t="s">
        <v>6</v>
      </c>
      <c r="D4" s="487" t="s">
        <v>158</v>
      </c>
      <c r="E4" s="487" t="s">
        <v>2</v>
      </c>
      <c r="F4" s="487" t="s">
        <v>159</v>
      </c>
      <c r="G4" s="488" t="s">
        <v>1</v>
      </c>
      <c r="H4" s="478" t="s">
        <v>166</v>
      </c>
      <c r="I4" s="478" t="s">
        <v>167</v>
      </c>
      <c r="J4" s="478" t="s">
        <v>9</v>
      </c>
      <c r="K4" s="473" t="s">
        <v>7</v>
      </c>
      <c r="L4" s="473" t="s">
        <v>8</v>
      </c>
      <c r="M4" s="473" t="s">
        <v>4</v>
      </c>
      <c r="N4" s="476" t="s">
        <v>5</v>
      </c>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5"/>
      <c r="AV4" s="455"/>
      <c r="AW4" s="455"/>
      <c r="AX4" s="455"/>
      <c r="AY4" s="455"/>
      <c r="AZ4" s="455"/>
      <c r="BA4" s="455"/>
      <c r="BB4" s="455"/>
      <c r="BC4" s="455"/>
      <c r="BD4" s="455"/>
      <c r="BE4" s="455"/>
      <c r="BF4" s="455"/>
      <c r="BG4" s="455"/>
      <c r="BH4" s="455"/>
      <c r="BI4" s="455"/>
      <c r="BJ4" s="455"/>
      <c r="BK4" s="455"/>
      <c r="BL4" s="455"/>
      <c r="BM4" s="455"/>
      <c r="BN4" s="455"/>
      <c r="BO4" s="455"/>
      <c r="BP4" s="455"/>
      <c r="BQ4" s="455"/>
      <c r="BR4" s="455"/>
      <c r="BS4" s="455"/>
      <c r="BT4" s="455"/>
      <c r="BU4" s="455"/>
      <c r="BV4" s="455"/>
      <c r="BW4" s="455"/>
      <c r="BX4" s="455"/>
      <c r="BY4" s="455"/>
      <c r="BZ4" s="455"/>
      <c r="CA4" s="455"/>
      <c r="CB4" s="455"/>
      <c r="CC4" s="455"/>
      <c r="CD4" s="455"/>
      <c r="CE4" s="455"/>
      <c r="CF4" s="455"/>
      <c r="CG4" s="455"/>
      <c r="CH4" s="455"/>
      <c r="CI4" s="455"/>
      <c r="CJ4" s="455"/>
      <c r="CK4" s="455"/>
      <c r="CL4" s="455"/>
      <c r="CM4" s="455"/>
      <c r="CN4" s="455"/>
      <c r="CO4" s="455"/>
      <c r="CP4" s="455"/>
      <c r="CQ4" s="455"/>
      <c r="CR4" s="455"/>
      <c r="CS4" s="455"/>
      <c r="CT4" s="455"/>
      <c r="CU4" s="455"/>
      <c r="CV4" s="455"/>
      <c r="CW4" s="455"/>
      <c r="CX4" s="455"/>
      <c r="CY4" s="455"/>
      <c r="CZ4" s="455"/>
      <c r="DA4" s="455"/>
      <c r="DB4" s="455"/>
      <c r="DC4" s="455"/>
      <c r="DD4" s="455"/>
      <c r="DE4" s="455"/>
      <c r="DF4" s="455"/>
      <c r="DG4" s="455"/>
      <c r="DH4" s="455"/>
      <c r="DI4" s="455"/>
      <c r="DJ4" s="455"/>
      <c r="DK4" s="455"/>
      <c r="DL4" s="455"/>
      <c r="DM4" s="455"/>
      <c r="DN4" s="455"/>
      <c r="DO4" s="455"/>
      <c r="DP4" s="455"/>
      <c r="DQ4" s="455"/>
      <c r="DR4" s="455"/>
      <c r="DS4" s="456"/>
    </row>
    <row r="5" spans="1:127" s="2" customFormat="1" ht="20.100000000000001" customHeight="1" x14ac:dyDescent="0.4">
      <c r="A5" s="474"/>
      <c r="B5" s="487"/>
      <c r="C5" s="487"/>
      <c r="D5" s="487"/>
      <c r="E5" s="487"/>
      <c r="F5" s="487"/>
      <c r="G5" s="489"/>
      <c r="H5" s="479"/>
      <c r="I5" s="479"/>
      <c r="J5" s="479"/>
      <c r="K5" s="474"/>
      <c r="L5" s="474"/>
      <c r="M5" s="474"/>
      <c r="N5" s="276"/>
      <c r="O5" s="476" t="s">
        <v>135</v>
      </c>
      <c r="P5" s="455"/>
      <c r="Q5" s="455"/>
      <c r="R5" s="455"/>
      <c r="S5" s="455"/>
      <c r="T5" s="455"/>
      <c r="U5" s="455"/>
      <c r="V5" s="455"/>
      <c r="W5" s="455"/>
      <c r="X5" s="477"/>
      <c r="Y5" s="454" t="s">
        <v>136</v>
      </c>
      <c r="Z5" s="455"/>
      <c r="AA5" s="455"/>
      <c r="AB5" s="455"/>
      <c r="AC5" s="455"/>
      <c r="AD5" s="455"/>
      <c r="AE5" s="455"/>
      <c r="AF5" s="455"/>
      <c r="AG5" s="455"/>
      <c r="AH5" s="455"/>
      <c r="AI5" s="454" t="s">
        <v>138</v>
      </c>
      <c r="AJ5" s="455"/>
      <c r="AK5" s="455"/>
      <c r="AL5" s="455"/>
      <c r="AM5" s="455"/>
      <c r="AN5" s="455"/>
      <c r="AO5" s="455"/>
      <c r="AP5" s="455"/>
      <c r="AQ5" s="455"/>
      <c r="AR5" s="455"/>
      <c r="AS5" s="454" t="s">
        <v>139</v>
      </c>
      <c r="AT5" s="455"/>
      <c r="AU5" s="455"/>
      <c r="AV5" s="455"/>
      <c r="AW5" s="455"/>
      <c r="AX5" s="455"/>
      <c r="AY5" s="455"/>
      <c r="AZ5" s="455"/>
      <c r="BA5" s="455"/>
      <c r="BB5" s="455"/>
      <c r="BC5" s="454" t="s">
        <v>140</v>
      </c>
      <c r="BD5" s="455"/>
      <c r="BE5" s="455"/>
      <c r="BF5" s="455"/>
      <c r="BG5" s="455"/>
      <c r="BH5" s="455"/>
      <c r="BI5" s="455"/>
      <c r="BJ5" s="455"/>
      <c r="BK5" s="455"/>
      <c r="BL5" s="455"/>
      <c r="BM5" s="454" t="s">
        <v>141</v>
      </c>
      <c r="BN5" s="455"/>
      <c r="BO5" s="455"/>
      <c r="BP5" s="455"/>
      <c r="BQ5" s="455"/>
      <c r="BR5" s="455"/>
      <c r="BS5" s="455"/>
      <c r="BT5" s="455"/>
      <c r="BU5" s="455"/>
      <c r="BV5" s="455"/>
      <c r="BW5" s="454" t="s">
        <v>142</v>
      </c>
      <c r="BX5" s="455"/>
      <c r="BY5" s="455"/>
      <c r="BZ5" s="455"/>
      <c r="CA5" s="455"/>
      <c r="CB5" s="455"/>
      <c r="CC5" s="455"/>
      <c r="CD5" s="455"/>
      <c r="CE5" s="455"/>
      <c r="CF5" s="455"/>
      <c r="CG5" s="454" t="s">
        <v>143</v>
      </c>
      <c r="CH5" s="455"/>
      <c r="CI5" s="455"/>
      <c r="CJ5" s="455"/>
      <c r="CK5" s="455"/>
      <c r="CL5" s="455"/>
      <c r="CM5" s="455"/>
      <c r="CN5" s="455"/>
      <c r="CO5" s="455"/>
      <c r="CP5" s="455"/>
      <c r="CQ5" s="454" t="s">
        <v>144</v>
      </c>
      <c r="CR5" s="455"/>
      <c r="CS5" s="455"/>
      <c r="CT5" s="455"/>
      <c r="CU5" s="455"/>
      <c r="CV5" s="455"/>
      <c r="CW5" s="455"/>
      <c r="CX5" s="454" t="s">
        <v>145</v>
      </c>
      <c r="CY5" s="455"/>
      <c r="CZ5" s="455"/>
      <c r="DA5" s="455"/>
      <c r="DB5" s="455"/>
      <c r="DC5" s="455"/>
      <c r="DD5" s="455"/>
      <c r="DE5" s="454" t="s">
        <v>30</v>
      </c>
      <c r="DF5" s="455"/>
      <c r="DG5" s="455"/>
      <c r="DH5" s="455"/>
      <c r="DI5" s="455"/>
      <c r="DJ5" s="455"/>
      <c r="DK5" s="455"/>
      <c r="DL5" s="454" t="s">
        <v>146</v>
      </c>
      <c r="DM5" s="455"/>
      <c r="DN5" s="455"/>
      <c r="DO5" s="455"/>
      <c r="DP5" s="455"/>
      <c r="DQ5" s="455"/>
      <c r="DR5" s="455"/>
      <c r="DS5" s="456"/>
    </row>
    <row r="6" spans="1:127" s="2" customFormat="1" ht="20.100000000000001" customHeight="1" x14ac:dyDescent="0.4">
      <c r="A6" s="475"/>
      <c r="B6" s="487"/>
      <c r="C6" s="487"/>
      <c r="D6" s="487"/>
      <c r="E6" s="487"/>
      <c r="F6" s="487"/>
      <c r="G6" s="490"/>
      <c r="H6" s="480"/>
      <c r="I6" s="480"/>
      <c r="J6" s="480"/>
      <c r="K6" s="475"/>
      <c r="L6" s="475"/>
      <c r="M6" s="475"/>
      <c r="N6" s="76"/>
      <c r="O6" s="75" t="s">
        <v>163</v>
      </c>
      <c r="P6" s="76" t="s">
        <v>368</v>
      </c>
      <c r="Q6" s="75" t="s">
        <v>164</v>
      </c>
      <c r="R6" s="76" t="s">
        <v>369</v>
      </c>
      <c r="S6" s="75" t="s">
        <v>331</v>
      </c>
      <c r="T6" s="76" t="s">
        <v>372</v>
      </c>
      <c r="U6" s="75" t="s">
        <v>349</v>
      </c>
      <c r="V6" s="76" t="s">
        <v>370</v>
      </c>
      <c r="W6" s="75" t="s">
        <v>371</v>
      </c>
      <c r="X6" s="76" t="s">
        <v>373</v>
      </c>
      <c r="Y6" s="75" t="s">
        <v>163</v>
      </c>
      <c r="Z6" s="76" t="s">
        <v>368</v>
      </c>
      <c r="AA6" s="75" t="s">
        <v>164</v>
      </c>
      <c r="AB6" s="76" t="s">
        <v>369</v>
      </c>
      <c r="AC6" s="75" t="s">
        <v>331</v>
      </c>
      <c r="AD6" s="76" t="s">
        <v>372</v>
      </c>
      <c r="AE6" s="75" t="s">
        <v>349</v>
      </c>
      <c r="AF6" s="76" t="s">
        <v>370</v>
      </c>
      <c r="AG6" s="75" t="s">
        <v>371</v>
      </c>
      <c r="AH6" s="76" t="s">
        <v>373</v>
      </c>
      <c r="AI6" s="75" t="s">
        <v>163</v>
      </c>
      <c r="AJ6" s="76" t="s">
        <v>368</v>
      </c>
      <c r="AK6" s="75" t="s">
        <v>164</v>
      </c>
      <c r="AL6" s="76" t="s">
        <v>369</v>
      </c>
      <c r="AM6" s="75" t="s">
        <v>331</v>
      </c>
      <c r="AN6" s="76" t="s">
        <v>372</v>
      </c>
      <c r="AO6" s="75" t="s">
        <v>349</v>
      </c>
      <c r="AP6" s="76" t="s">
        <v>370</v>
      </c>
      <c r="AQ6" s="75" t="s">
        <v>371</v>
      </c>
      <c r="AR6" s="76" t="s">
        <v>373</v>
      </c>
      <c r="AS6" s="75" t="s">
        <v>163</v>
      </c>
      <c r="AT6" s="5" t="s">
        <v>368</v>
      </c>
      <c r="AU6" s="5" t="s">
        <v>164</v>
      </c>
      <c r="AV6" s="20" t="s">
        <v>369</v>
      </c>
      <c r="AW6" s="20" t="s">
        <v>331</v>
      </c>
      <c r="AX6" s="20" t="s">
        <v>372</v>
      </c>
      <c r="AY6" s="20" t="s">
        <v>349</v>
      </c>
      <c r="AZ6" s="20" t="s">
        <v>370</v>
      </c>
      <c r="BA6" s="20" t="s">
        <v>371</v>
      </c>
      <c r="BB6" s="76" t="s">
        <v>373</v>
      </c>
      <c r="BC6" s="75" t="s">
        <v>163</v>
      </c>
      <c r="BD6" s="5" t="s">
        <v>368</v>
      </c>
      <c r="BE6" s="5" t="s">
        <v>164</v>
      </c>
      <c r="BF6" s="20" t="s">
        <v>369</v>
      </c>
      <c r="BG6" s="20" t="s">
        <v>331</v>
      </c>
      <c r="BH6" s="20" t="s">
        <v>372</v>
      </c>
      <c r="BI6" s="20" t="s">
        <v>349</v>
      </c>
      <c r="BJ6" s="20" t="s">
        <v>370</v>
      </c>
      <c r="BK6" s="20" t="s">
        <v>371</v>
      </c>
      <c r="BL6" s="76" t="s">
        <v>373</v>
      </c>
      <c r="BM6" s="75" t="s">
        <v>163</v>
      </c>
      <c r="BN6" s="5" t="s">
        <v>368</v>
      </c>
      <c r="BO6" s="5" t="s">
        <v>164</v>
      </c>
      <c r="BP6" s="20" t="s">
        <v>369</v>
      </c>
      <c r="BQ6" s="20" t="s">
        <v>331</v>
      </c>
      <c r="BR6" s="20" t="s">
        <v>372</v>
      </c>
      <c r="BS6" s="20" t="s">
        <v>349</v>
      </c>
      <c r="BT6" s="20" t="s">
        <v>370</v>
      </c>
      <c r="BU6" s="20" t="s">
        <v>371</v>
      </c>
      <c r="BV6" s="76" t="s">
        <v>373</v>
      </c>
      <c r="BW6" s="75" t="s">
        <v>163</v>
      </c>
      <c r="BX6" s="5" t="s">
        <v>368</v>
      </c>
      <c r="BY6" s="5" t="s">
        <v>164</v>
      </c>
      <c r="BZ6" s="20" t="s">
        <v>369</v>
      </c>
      <c r="CA6" s="20" t="s">
        <v>331</v>
      </c>
      <c r="CB6" s="20" t="s">
        <v>372</v>
      </c>
      <c r="CC6" s="20" t="s">
        <v>349</v>
      </c>
      <c r="CD6" s="20" t="s">
        <v>370</v>
      </c>
      <c r="CE6" s="20" t="s">
        <v>371</v>
      </c>
      <c r="CF6" s="76" t="s">
        <v>373</v>
      </c>
      <c r="CG6" s="75" t="s">
        <v>163</v>
      </c>
      <c r="CH6" s="5" t="s">
        <v>368</v>
      </c>
      <c r="CI6" s="5" t="s">
        <v>164</v>
      </c>
      <c r="CJ6" s="20" t="s">
        <v>369</v>
      </c>
      <c r="CK6" s="20" t="s">
        <v>331</v>
      </c>
      <c r="CL6" s="20" t="s">
        <v>372</v>
      </c>
      <c r="CM6" s="20" t="s">
        <v>349</v>
      </c>
      <c r="CN6" s="20" t="s">
        <v>370</v>
      </c>
      <c r="CO6" s="20" t="s">
        <v>371</v>
      </c>
      <c r="CP6" s="76" t="s">
        <v>373</v>
      </c>
      <c r="CQ6" s="75" t="s">
        <v>163</v>
      </c>
      <c r="CR6" s="5" t="s">
        <v>368</v>
      </c>
      <c r="CS6" s="5" t="s">
        <v>164</v>
      </c>
      <c r="CT6" s="20" t="s">
        <v>369</v>
      </c>
      <c r="CU6" s="20" t="s">
        <v>372</v>
      </c>
      <c r="CV6" s="20" t="s">
        <v>370</v>
      </c>
      <c r="CW6" s="306" t="s">
        <v>371</v>
      </c>
      <c r="CX6" s="75" t="s">
        <v>163</v>
      </c>
      <c r="CY6" s="5" t="s">
        <v>368</v>
      </c>
      <c r="CZ6" s="5" t="s">
        <v>164</v>
      </c>
      <c r="DA6" s="20" t="s">
        <v>369</v>
      </c>
      <c r="DB6" s="20" t="s">
        <v>372</v>
      </c>
      <c r="DC6" s="20" t="s">
        <v>370</v>
      </c>
      <c r="DD6" s="76" t="s">
        <v>371</v>
      </c>
      <c r="DE6" s="75" t="s">
        <v>163</v>
      </c>
      <c r="DF6" s="5" t="s">
        <v>368</v>
      </c>
      <c r="DG6" s="5" t="s">
        <v>164</v>
      </c>
      <c r="DH6" s="20" t="s">
        <v>369</v>
      </c>
      <c r="DI6" s="20" t="s">
        <v>372</v>
      </c>
      <c r="DJ6" s="20" t="s">
        <v>370</v>
      </c>
      <c r="DK6" s="306" t="s">
        <v>371</v>
      </c>
      <c r="DL6" s="75" t="s">
        <v>174</v>
      </c>
      <c r="DM6" s="5" t="s">
        <v>169</v>
      </c>
      <c r="DN6" s="5" t="s">
        <v>170</v>
      </c>
      <c r="DO6" s="20" t="s">
        <v>171</v>
      </c>
      <c r="DP6" s="20" t="s">
        <v>172</v>
      </c>
      <c r="DQ6" s="20" t="s">
        <v>165</v>
      </c>
      <c r="DR6" s="20" t="s">
        <v>331</v>
      </c>
      <c r="DS6" s="5" t="s">
        <v>349</v>
      </c>
    </row>
    <row r="7" spans="1:127" ht="26.25" customHeight="1" x14ac:dyDescent="0.4">
      <c r="A7" s="347">
        <v>1</v>
      </c>
      <c r="B7" s="347" t="s">
        <v>46</v>
      </c>
      <c r="C7" s="347" t="s">
        <v>14</v>
      </c>
      <c r="D7" s="349" t="s">
        <v>684</v>
      </c>
      <c r="E7" s="349" t="s">
        <v>379</v>
      </c>
      <c r="F7" s="349" t="s">
        <v>380</v>
      </c>
      <c r="G7" s="563" t="s">
        <v>381</v>
      </c>
      <c r="H7" s="449">
        <f>SUM(DE7:DK7)</f>
        <v>0.47058823529411764</v>
      </c>
      <c r="I7" s="449">
        <f>SUM(DE8:DK8)</f>
        <v>0.24313725490196078</v>
      </c>
      <c r="J7" s="16"/>
      <c r="K7" s="17"/>
      <c r="L7" s="17"/>
      <c r="M7" s="483"/>
      <c r="N7" s="21" t="s">
        <v>89</v>
      </c>
      <c r="O7" s="190">
        <f t="shared" ref="O7:X18" si="0">(0)/120</f>
        <v>0</v>
      </c>
      <c r="P7" s="190">
        <f t="shared" si="0"/>
        <v>0</v>
      </c>
      <c r="Q7" s="190">
        <f t="shared" si="0"/>
        <v>0</v>
      </c>
      <c r="R7" s="190">
        <f>(21)/120</f>
        <v>0.17499999999999999</v>
      </c>
      <c r="S7" s="190">
        <f>(21)/120</f>
        <v>0.17499999999999999</v>
      </c>
      <c r="T7" s="190">
        <f t="shared" si="0"/>
        <v>0</v>
      </c>
      <c r="U7" s="190">
        <f t="shared" si="0"/>
        <v>0</v>
      </c>
      <c r="V7" s="190">
        <f>(21)/120</f>
        <v>0.17499999999999999</v>
      </c>
      <c r="W7" s="190">
        <f>(21)/120</f>
        <v>0.17499999999999999</v>
      </c>
      <c r="X7" s="86">
        <f t="shared" si="0"/>
        <v>0</v>
      </c>
      <c r="Y7" s="190">
        <f t="shared" ref="Y7:AN21" si="1">(0)/157.5</f>
        <v>0</v>
      </c>
      <c r="Z7" s="190">
        <f t="shared" si="1"/>
        <v>0</v>
      </c>
      <c r="AA7" s="190">
        <f>(10)/157.5</f>
        <v>6.3492063492063489E-2</v>
      </c>
      <c r="AB7" s="190">
        <f>(10)/157.5</f>
        <v>6.3492063492063489E-2</v>
      </c>
      <c r="AC7" s="190">
        <f>(10)/157.5</f>
        <v>6.3492063492063489E-2</v>
      </c>
      <c r="AD7" s="190">
        <f t="shared" si="1"/>
        <v>0</v>
      </c>
      <c r="AE7" s="190">
        <f>(10)/157.5</f>
        <v>6.3492063492063489E-2</v>
      </c>
      <c r="AF7" s="190">
        <f>(10)/157.5</f>
        <v>6.3492063492063489E-2</v>
      </c>
      <c r="AG7" s="190">
        <f>(20)/157.5</f>
        <v>0.12698412698412698</v>
      </c>
      <c r="AH7" s="190">
        <f t="shared" si="1"/>
        <v>0</v>
      </c>
      <c r="AI7" s="77">
        <f t="shared" si="1"/>
        <v>0</v>
      </c>
      <c r="AJ7" s="190">
        <f t="shared" si="1"/>
        <v>0</v>
      </c>
      <c r="AK7" s="190">
        <f t="shared" si="1"/>
        <v>0</v>
      </c>
      <c r="AL7" s="190">
        <f>(12.4)/157.5</f>
        <v>7.8730158730158734E-2</v>
      </c>
      <c r="AM7" s="190">
        <f>(12.4)/157.5</f>
        <v>7.8730158730158734E-2</v>
      </c>
      <c r="AN7" s="190">
        <f t="shared" si="1"/>
        <v>0</v>
      </c>
      <c r="AO7" s="190">
        <f>(12.4)/157.5</f>
        <v>7.8730158730158734E-2</v>
      </c>
      <c r="AP7" s="190">
        <f>(12.4)/157.5</f>
        <v>7.8730158730158734E-2</v>
      </c>
      <c r="AQ7" s="190">
        <f>(12.4)/157.5</f>
        <v>7.8730158730158734E-2</v>
      </c>
      <c r="AR7" s="225">
        <f t="shared" ref="AI7:AR8" si="2">(0)/157.5</f>
        <v>0</v>
      </c>
      <c r="AS7" s="23">
        <f>(0)/165</f>
        <v>0</v>
      </c>
      <c r="AT7" s="190">
        <f>(0)/165</f>
        <v>0</v>
      </c>
      <c r="AU7" s="190">
        <f>(12)/165</f>
        <v>7.2727272727272724E-2</v>
      </c>
      <c r="AV7" s="190">
        <f>(12)/165</f>
        <v>7.2727272727272724E-2</v>
      </c>
      <c r="AW7" s="190">
        <f>(10)/165</f>
        <v>6.0606060606060608E-2</v>
      </c>
      <c r="AX7" s="190">
        <f t="shared" ref="AX7:AX8" si="3">(0)/165</f>
        <v>0</v>
      </c>
      <c r="AY7" s="190">
        <f>(12)/165</f>
        <v>7.2727272727272724E-2</v>
      </c>
      <c r="AZ7" s="190">
        <f>(12)/165</f>
        <v>7.2727272727272724E-2</v>
      </c>
      <c r="BA7" s="190">
        <f>(12)/165</f>
        <v>7.2727272727272724E-2</v>
      </c>
      <c r="BB7" s="225">
        <f>(0)/165</f>
        <v>0</v>
      </c>
      <c r="BC7" s="77">
        <f>(0)/157.5</f>
        <v>0</v>
      </c>
      <c r="BD7" s="190">
        <f>(0)/157.5</f>
        <v>0</v>
      </c>
      <c r="BE7" s="190">
        <f>(19)/157.5</f>
        <v>0.12063492063492064</v>
      </c>
      <c r="BF7" s="190">
        <f>(10)/157.5</f>
        <v>6.3492063492063489E-2</v>
      </c>
      <c r="BG7" s="190">
        <f>(19)/157.5</f>
        <v>0.12063492063492064</v>
      </c>
      <c r="BH7" s="190">
        <f t="shared" ref="BH7:BL8" si="4">(0)/157.5</f>
        <v>0</v>
      </c>
      <c r="BI7" s="190">
        <f>(19)/157.5</f>
        <v>0.12063492063492064</v>
      </c>
      <c r="BJ7" s="190">
        <f>(19)/157.5</f>
        <v>0.12063492063492064</v>
      </c>
      <c r="BK7" s="190">
        <f>(19)/157.5</f>
        <v>0.12063492063492064</v>
      </c>
      <c r="BL7" s="190">
        <f t="shared" si="4"/>
        <v>0</v>
      </c>
      <c r="BM7" s="77">
        <f t="shared" ref="BM7:BN7" si="5">(0)/165</f>
        <v>0</v>
      </c>
      <c r="BN7" s="190">
        <f t="shared" si="5"/>
        <v>0</v>
      </c>
      <c r="BO7" s="190">
        <f>(10)/165</f>
        <v>6.0606060606060608E-2</v>
      </c>
      <c r="BP7" s="190">
        <f t="shared" ref="BP7:BR7" si="6">(15)/165</f>
        <v>9.0909090909090912E-2</v>
      </c>
      <c r="BQ7" s="190">
        <f>(0)/165</f>
        <v>0</v>
      </c>
      <c r="BR7" s="190">
        <f t="shared" si="6"/>
        <v>9.0909090909090912E-2</v>
      </c>
      <c r="BS7" s="190">
        <f>(10)/165</f>
        <v>6.0606060606060608E-2</v>
      </c>
      <c r="BT7" s="190">
        <f>(10)/165</f>
        <v>6.0606060606060608E-2</v>
      </c>
      <c r="BU7" s="190">
        <f>(10)/165</f>
        <v>6.0606060606060608E-2</v>
      </c>
      <c r="BV7" s="190">
        <f>(0)/165</f>
        <v>0</v>
      </c>
      <c r="BW7" s="23">
        <f>(0)/150</f>
        <v>0</v>
      </c>
      <c r="BX7" s="190">
        <f>(0)/150</f>
        <v>0</v>
      </c>
      <c r="BY7" s="190">
        <f>(6)/150</f>
        <v>0.04</v>
      </c>
      <c r="BZ7" s="190">
        <f>(6)/150</f>
        <v>0.04</v>
      </c>
      <c r="CA7" s="190">
        <f>(6)/150</f>
        <v>0.04</v>
      </c>
      <c r="CB7" s="190">
        <f>(6)/150</f>
        <v>0.04</v>
      </c>
      <c r="CC7" s="190">
        <f>(12)/150</f>
        <v>0.08</v>
      </c>
      <c r="CD7" s="190">
        <f>(0)/150</f>
        <v>0</v>
      </c>
      <c r="CE7" s="190">
        <f>(12)/150</f>
        <v>0.08</v>
      </c>
      <c r="CF7" s="190">
        <f>(12)/150</f>
        <v>0.08</v>
      </c>
      <c r="CG7" s="23">
        <f t="shared" ref="CG7:CP8" si="7">(0)/135</f>
        <v>0</v>
      </c>
      <c r="CH7" s="190">
        <f t="shared" si="7"/>
        <v>0</v>
      </c>
      <c r="CI7" s="190">
        <f>(10)/135</f>
        <v>7.407407407407407E-2</v>
      </c>
      <c r="CJ7" s="190">
        <f t="shared" si="7"/>
        <v>0</v>
      </c>
      <c r="CK7" s="190">
        <f t="shared" si="7"/>
        <v>0</v>
      </c>
      <c r="CL7" s="190">
        <f>(10)/135</f>
        <v>7.407407407407407E-2</v>
      </c>
      <c r="CM7" s="190">
        <f t="shared" si="7"/>
        <v>0</v>
      </c>
      <c r="CN7" s="190">
        <f>(10)/135</f>
        <v>7.407407407407407E-2</v>
      </c>
      <c r="CO7" s="190">
        <f>(10)/135</f>
        <v>7.407407407407407E-2</v>
      </c>
      <c r="CP7" s="190">
        <f t="shared" si="7"/>
        <v>0</v>
      </c>
      <c r="CQ7" s="23">
        <f t="shared" ref="CQ7:CS8" si="8">(0)/150</f>
        <v>0</v>
      </c>
      <c r="CR7" s="190">
        <f t="shared" si="8"/>
        <v>0</v>
      </c>
      <c r="CS7" s="190">
        <f t="shared" si="8"/>
        <v>0</v>
      </c>
      <c r="CT7" s="190">
        <f>(10)/150</f>
        <v>6.6666666666666666E-2</v>
      </c>
      <c r="CU7" s="190">
        <f>(10)/150</f>
        <v>6.6666666666666666E-2</v>
      </c>
      <c r="CV7" s="190">
        <f>(10)/150</f>
        <v>6.6666666666666666E-2</v>
      </c>
      <c r="CW7" s="190">
        <f>(5)/150</f>
        <v>3.3333333333333333E-2</v>
      </c>
      <c r="CX7" s="77">
        <f>(0)/157.5</f>
        <v>0</v>
      </c>
      <c r="CY7" s="190">
        <f t="shared" ref="CY7" si="9">(15)/157.5</f>
        <v>9.5238095238095233E-2</v>
      </c>
      <c r="CZ7" s="190">
        <f t="shared" ref="CZ7" si="10">(0)/157.5</f>
        <v>0</v>
      </c>
      <c r="DA7" s="190">
        <f>(10)/157.5</f>
        <v>6.3492063492063489E-2</v>
      </c>
      <c r="DB7" s="190">
        <f>(10)/157.5</f>
        <v>6.3492063492063489E-2</v>
      </c>
      <c r="DC7" s="190">
        <f>(10)/157.5</f>
        <v>6.3492063492063489E-2</v>
      </c>
      <c r="DD7" s="190">
        <f t="shared" ref="DD7" si="11">(0)/157.5</f>
        <v>0</v>
      </c>
      <c r="DE7" s="23">
        <f>(0)/127.5</f>
        <v>0</v>
      </c>
      <c r="DF7" s="190">
        <f t="shared" ref="DF7:DK7" si="12">(10)/127.5</f>
        <v>7.8431372549019607E-2</v>
      </c>
      <c r="DG7" s="190">
        <f t="shared" si="12"/>
        <v>7.8431372549019607E-2</v>
      </c>
      <c r="DH7" s="190">
        <f t="shared" si="12"/>
        <v>7.8431372549019607E-2</v>
      </c>
      <c r="DI7" s="190">
        <f t="shared" si="12"/>
        <v>7.8431372549019607E-2</v>
      </c>
      <c r="DJ7" s="190">
        <f t="shared" si="12"/>
        <v>7.8431372549019607E-2</v>
      </c>
      <c r="DK7" s="190">
        <f t="shared" si="12"/>
        <v>7.8431372549019607E-2</v>
      </c>
      <c r="DL7" s="23">
        <f t="shared" ref="DL7:DP16" si="13">0/142.5</f>
        <v>0</v>
      </c>
      <c r="DM7" s="190">
        <f t="shared" si="13"/>
        <v>0</v>
      </c>
      <c r="DN7" s="190">
        <f t="shared" si="13"/>
        <v>0</v>
      </c>
      <c r="DO7" s="190">
        <f t="shared" si="13"/>
        <v>0</v>
      </c>
      <c r="DP7" s="190">
        <f t="shared" si="13"/>
        <v>0</v>
      </c>
      <c r="DQ7" s="190">
        <f t="shared" ref="DQ7:DS22" si="14">0/172.5</f>
        <v>0</v>
      </c>
      <c r="DR7" s="190">
        <f t="shared" si="14"/>
        <v>0</v>
      </c>
      <c r="DS7" s="190">
        <f>0/172.5</f>
        <v>0</v>
      </c>
      <c r="DT7" s="201"/>
    </row>
    <row r="8" spans="1:127" ht="26.25" customHeight="1" x14ac:dyDescent="0.4">
      <c r="A8" s="348"/>
      <c r="B8" s="348"/>
      <c r="C8" s="348"/>
      <c r="D8" s="350"/>
      <c r="E8" s="350"/>
      <c r="F8" s="350"/>
      <c r="G8" s="565"/>
      <c r="H8" s="450"/>
      <c r="I8" s="450"/>
      <c r="J8" s="18"/>
      <c r="K8" s="19"/>
      <c r="L8" s="19"/>
      <c r="M8" s="484"/>
      <c r="N8" s="11" t="s">
        <v>90</v>
      </c>
      <c r="O8" s="209">
        <f t="shared" si="0"/>
        <v>0</v>
      </c>
      <c r="P8" s="209">
        <f t="shared" si="0"/>
        <v>0</v>
      </c>
      <c r="Q8" s="209">
        <f t="shared" si="0"/>
        <v>0</v>
      </c>
      <c r="R8" s="209">
        <f>(0+6+4+6)/120</f>
        <v>0.13333333333333333</v>
      </c>
      <c r="S8" s="209">
        <f>(5+7+2+4)/120</f>
        <v>0.15</v>
      </c>
      <c r="T8" s="209">
        <f t="shared" si="0"/>
        <v>0</v>
      </c>
      <c r="U8" s="209">
        <f t="shared" si="0"/>
        <v>0</v>
      </c>
      <c r="V8" s="209">
        <f>(5+5+5.5+2)/120</f>
        <v>0.14583333333333334</v>
      </c>
      <c r="W8" s="209">
        <f>(0+9+5+12)/120</f>
        <v>0.21666666666666667</v>
      </c>
      <c r="X8" s="53">
        <f t="shared" si="0"/>
        <v>0</v>
      </c>
      <c r="Y8" s="209">
        <f t="shared" si="1"/>
        <v>0</v>
      </c>
      <c r="Z8" s="209">
        <f t="shared" si="1"/>
        <v>0</v>
      </c>
      <c r="AA8" s="209">
        <f>(0+5)/157.5</f>
        <v>3.1746031746031744E-2</v>
      </c>
      <c r="AB8" s="209">
        <f>(2)/157.5</f>
        <v>1.2698412698412698E-2</v>
      </c>
      <c r="AC8" s="209">
        <f>(6+3)/157.5</f>
        <v>5.7142857142857141E-2</v>
      </c>
      <c r="AD8" s="209">
        <f t="shared" si="1"/>
        <v>0</v>
      </c>
      <c r="AE8" s="209">
        <f>(4+6+4)/157.5</f>
        <v>8.8888888888888892E-2</v>
      </c>
      <c r="AF8" s="209">
        <f>(2+6+4.5)/157.5</f>
        <v>7.9365079365079361E-2</v>
      </c>
      <c r="AG8" s="209">
        <f>(3+5+7+4+2)/157.5</f>
        <v>0.13333333333333333</v>
      </c>
      <c r="AH8" s="209">
        <f t="shared" si="1"/>
        <v>0</v>
      </c>
      <c r="AI8" s="58">
        <f t="shared" si="2"/>
        <v>0</v>
      </c>
      <c r="AJ8" s="209">
        <f t="shared" si="2"/>
        <v>0</v>
      </c>
      <c r="AK8" s="209">
        <f t="shared" si="2"/>
        <v>0</v>
      </c>
      <c r="AL8" s="209">
        <f>(0+6+4)/157.5</f>
        <v>6.3492063492063489E-2</v>
      </c>
      <c r="AM8" s="209">
        <f>(6+3.5+5+5)/157.5</f>
        <v>0.12380952380952381</v>
      </c>
      <c r="AN8" s="209">
        <f t="shared" si="2"/>
        <v>0</v>
      </c>
      <c r="AO8" s="209">
        <f>(0+6+4)/157.5</f>
        <v>6.3492063492063489E-2</v>
      </c>
      <c r="AP8" s="209">
        <f>(0+4+4)/157.5</f>
        <v>5.0793650793650794E-2</v>
      </c>
      <c r="AQ8" s="209">
        <f>(0+6+4+2)/157.5</f>
        <v>7.6190476190476197E-2</v>
      </c>
      <c r="AR8" s="53">
        <f t="shared" si="2"/>
        <v>0</v>
      </c>
      <c r="AS8" s="65">
        <f>(0)/165</f>
        <v>0</v>
      </c>
      <c r="AT8" s="210">
        <f>(0)/165</f>
        <v>0</v>
      </c>
      <c r="AU8" s="210">
        <f>(2+3+3+1)/165</f>
        <v>5.4545454545454543E-2</v>
      </c>
      <c r="AV8" s="210">
        <f>(4+4+4+4)/165</f>
        <v>9.696969696969697E-2</v>
      </c>
      <c r="AW8" s="280">
        <f>(0+4+2)/165</f>
        <v>3.6363636363636362E-2</v>
      </c>
      <c r="AX8" s="210">
        <f t="shared" si="3"/>
        <v>0</v>
      </c>
      <c r="AY8" s="210">
        <f>(0+4+6+2)/165</f>
        <v>7.2727272727272724E-2</v>
      </c>
      <c r="AZ8" s="210">
        <f>(0+4+3)/165</f>
        <v>4.2424242424242427E-2</v>
      </c>
      <c r="BA8" s="210">
        <f>(3+2+5+4)/165</f>
        <v>8.4848484848484854E-2</v>
      </c>
      <c r="BB8" s="53">
        <f>(0)/165</f>
        <v>0</v>
      </c>
      <c r="BC8" s="58">
        <f>(0)/157.5</f>
        <v>0</v>
      </c>
      <c r="BD8" s="209">
        <f>(0)/157.5</f>
        <v>0</v>
      </c>
      <c r="BE8" s="209">
        <f>(1+13+8)/157.5</f>
        <v>0.13968253968253969</v>
      </c>
      <c r="BF8" s="209">
        <f>(2+5)/157.5</f>
        <v>4.4444444444444446E-2</v>
      </c>
      <c r="BG8" s="209">
        <f>(5+11+4)/157.5</f>
        <v>0.12698412698412698</v>
      </c>
      <c r="BH8" s="209">
        <f t="shared" si="4"/>
        <v>0</v>
      </c>
      <c r="BI8" s="209">
        <f>(9+6)/157.5</f>
        <v>9.5238095238095233E-2</v>
      </c>
      <c r="BJ8" s="209">
        <f>(8+5+9+6)/157.5</f>
        <v>0.17777777777777778</v>
      </c>
      <c r="BK8" s="209">
        <f>(6+6)/157.5</f>
        <v>7.6190476190476197E-2</v>
      </c>
      <c r="BL8" s="209">
        <f t="shared" si="4"/>
        <v>0</v>
      </c>
      <c r="BM8" s="58">
        <f>(0)/165</f>
        <v>0</v>
      </c>
      <c r="BN8" s="209">
        <f>(0)/165</f>
        <v>0</v>
      </c>
      <c r="BO8" s="209">
        <f>(0+3.5)/165</f>
        <v>2.1212121212121213E-2</v>
      </c>
      <c r="BP8" s="209">
        <f>(8.5+5.5)/165</f>
        <v>8.4848484848484854E-2</v>
      </c>
      <c r="BQ8" s="209">
        <f>(0)/165</f>
        <v>0</v>
      </c>
      <c r="BR8" s="209">
        <f>(6+6+3)/165</f>
        <v>9.0909090909090912E-2</v>
      </c>
      <c r="BS8" s="209">
        <f>(6+4)/165</f>
        <v>6.0606060606060608E-2</v>
      </c>
      <c r="BT8" s="209">
        <f>(6+4+2)/165</f>
        <v>7.2727272727272724E-2</v>
      </c>
      <c r="BU8" s="209">
        <f>(0+6)/165</f>
        <v>3.6363636363636362E-2</v>
      </c>
      <c r="BV8" s="209">
        <f>(0)/165</f>
        <v>0</v>
      </c>
      <c r="BW8" s="65">
        <f>(0)/150</f>
        <v>0</v>
      </c>
      <c r="BX8" s="209">
        <f>(0)/150</f>
        <v>0</v>
      </c>
      <c r="BY8" s="209">
        <f>(3.5+4)/150</f>
        <v>0.05</v>
      </c>
      <c r="BZ8" s="209">
        <f>(0+6+4)/150</f>
        <v>6.6666666666666666E-2</v>
      </c>
      <c r="CA8" s="209">
        <f>(0+3+3)/150</f>
        <v>0.04</v>
      </c>
      <c r="CB8" s="209">
        <f>(0+3)/150</f>
        <v>0.02</v>
      </c>
      <c r="CC8" s="209">
        <f>(0+6+4)/150</f>
        <v>6.6666666666666666E-2</v>
      </c>
      <c r="CD8" s="209">
        <f>(0)/150</f>
        <v>0</v>
      </c>
      <c r="CE8" s="209">
        <f>(3+6+1)/150</f>
        <v>6.6666666666666666E-2</v>
      </c>
      <c r="CF8" s="209">
        <f>(0+8+5)/150</f>
        <v>8.666666666666667E-2</v>
      </c>
      <c r="CG8" s="65">
        <f t="shared" si="7"/>
        <v>0</v>
      </c>
      <c r="CH8" s="209">
        <f t="shared" si="7"/>
        <v>0</v>
      </c>
      <c r="CI8" s="209">
        <f>(0+4+3.5)/135</f>
        <v>5.5555555555555552E-2</v>
      </c>
      <c r="CJ8" s="209">
        <f t="shared" si="7"/>
        <v>0</v>
      </c>
      <c r="CK8" s="209">
        <f t="shared" si="7"/>
        <v>0</v>
      </c>
      <c r="CL8" s="209">
        <f>(6)/135</f>
        <v>4.4444444444444446E-2</v>
      </c>
      <c r="CM8" s="209">
        <f t="shared" si="7"/>
        <v>0</v>
      </c>
      <c r="CN8" s="209">
        <f>(6)/135</f>
        <v>4.4444444444444446E-2</v>
      </c>
      <c r="CO8" s="209">
        <f>(0+5+5)/135</f>
        <v>7.407407407407407E-2</v>
      </c>
      <c r="CP8" s="209">
        <f t="shared" si="7"/>
        <v>0</v>
      </c>
      <c r="CQ8" s="65">
        <f t="shared" si="8"/>
        <v>0</v>
      </c>
      <c r="CR8" s="209">
        <f t="shared" si="8"/>
        <v>0</v>
      </c>
      <c r="CS8" s="209">
        <f t="shared" si="8"/>
        <v>0</v>
      </c>
      <c r="CT8" s="209">
        <f>(6+2)/150</f>
        <v>5.3333333333333337E-2</v>
      </c>
      <c r="CU8" s="209">
        <f>(0+2+6)/150</f>
        <v>5.3333333333333337E-2</v>
      </c>
      <c r="CV8" s="209">
        <f>(6+4)/150</f>
        <v>6.6666666666666666E-2</v>
      </c>
      <c r="CW8" s="209">
        <f>(0+6)/150</f>
        <v>0.04</v>
      </c>
      <c r="CX8" s="65">
        <f>(0)/157.5</f>
        <v>0</v>
      </c>
      <c r="CY8" s="210">
        <f>(10.5+5)/157.5</f>
        <v>9.841269841269841E-2</v>
      </c>
      <c r="CZ8" s="210">
        <f t="shared" ref="CZ8:DD8" si="15">(0)/157.5</f>
        <v>0</v>
      </c>
      <c r="DA8" s="210">
        <f>(0+6+4)/157.5</f>
        <v>6.3492063492063489E-2</v>
      </c>
      <c r="DB8" s="210">
        <f>(6)/157.5</f>
        <v>3.8095238095238099E-2</v>
      </c>
      <c r="DC8" s="210">
        <f>(0+6+4)/157.5</f>
        <v>6.3492063492063489E-2</v>
      </c>
      <c r="DD8" s="209">
        <f t="shared" si="15"/>
        <v>0</v>
      </c>
      <c r="DE8" s="65">
        <f>(0)/127.5</f>
        <v>0</v>
      </c>
      <c r="DF8" s="210">
        <f>(0+2.5+5.5)/127.5</f>
        <v>6.2745098039215685E-2</v>
      </c>
      <c r="DG8" s="210">
        <f>(0+2+4)/127.5</f>
        <v>4.7058823529411764E-2</v>
      </c>
      <c r="DH8" s="210">
        <f t="shared" ref="DH8:DJ8" si="16">(0)/127.5</f>
        <v>0</v>
      </c>
      <c r="DI8" s="210">
        <f>(6+4)/127.5</f>
        <v>7.8431372549019607E-2</v>
      </c>
      <c r="DJ8" s="210">
        <f t="shared" si="16"/>
        <v>0</v>
      </c>
      <c r="DK8" s="210">
        <f>(4+3)/127.5</f>
        <v>5.4901960784313725E-2</v>
      </c>
      <c r="DL8" s="65">
        <f t="shared" si="13"/>
        <v>0</v>
      </c>
      <c r="DM8" s="210">
        <f t="shared" si="13"/>
        <v>0</v>
      </c>
      <c r="DN8" s="210">
        <f t="shared" si="13"/>
        <v>0</v>
      </c>
      <c r="DO8" s="210">
        <f t="shared" si="13"/>
        <v>0</v>
      </c>
      <c r="DP8" s="210">
        <f t="shared" si="13"/>
        <v>0</v>
      </c>
      <c r="DQ8" s="210">
        <f>0/172.5</f>
        <v>0</v>
      </c>
      <c r="DR8" s="210">
        <f>0/172.5</f>
        <v>0</v>
      </c>
      <c r="DS8" s="210">
        <f>0/172.5</f>
        <v>0</v>
      </c>
      <c r="DT8" s="201"/>
    </row>
    <row r="9" spans="1:127" ht="26.25" hidden="1" customHeight="1" outlineLevel="1" x14ac:dyDescent="0.4">
      <c r="A9" s="347">
        <v>2</v>
      </c>
      <c r="B9" s="347" t="s">
        <v>47</v>
      </c>
      <c r="C9" s="347" t="s">
        <v>14</v>
      </c>
      <c r="D9" s="349" t="s">
        <v>419</v>
      </c>
      <c r="E9" s="349" t="s">
        <v>418</v>
      </c>
      <c r="F9" s="349" t="s">
        <v>417</v>
      </c>
      <c r="G9" s="563" t="s">
        <v>387</v>
      </c>
      <c r="H9" s="449">
        <f t="shared" ref="H9" si="17">SUM(Y9:AH9)</f>
        <v>0</v>
      </c>
      <c r="I9" s="449">
        <f t="shared" ref="I9" si="18">SUM(Y10:AH10)</f>
        <v>0</v>
      </c>
      <c r="J9" s="16"/>
      <c r="K9" s="17"/>
      <c r="L9" s="17"/>
      <c r="M9" s="481"/>
      <c r="N9" s="10" t="s">
        <v>89</v>
      </c>
      <c r="O9" s="190">
        <f t="shared" si="0"/>
        <v>0</v>
      </c>
      <c r="P9" s="190">
        <f t="shared" si="0"/>
        <v>0</v>
      </c>
      <c r="Q9" s="190">
        <f t="shared" si="0"/>
        <v>0</v>
      </c>
      <c r="R9" s="190">
        <f t="shared" si="0"/>
        <v>0</v>
      </c>
      <c r="S9" s="190">
        <f t="shared" si="0"/>
        <v>0</v>
      </c>
      <c r="T9" s="190">
        <f t="shared" si="0"/>
        <v>0</v>
      </c>
      <c r="U9" s="190">
        <f t="shared" si="0"/>
        <v>0</v>
      </c>
      <c r="V9" s="190">
        <f t="shared" si="0"/>
        <v>0</v>
      </c>
      <c r="W9" s="190">
        <f t="shared" si="0"/>
        <v>0</v>
      </c>
      <c r="X9" s="86">
        <f t="shared" si="0"/>
        <v>0</v>
      </c>
      <c r="Y9" s="190">
        <f t="shared" si="1"/>
        <v>0</v>
      </c>
      <c r="Z9" s="190">
        <f t="shared" si="1"/>
        <v>0</v>
      </c>
      <c r="AA9" s="190">
        <f t="shared" si="1"/>
        <v>0</v>
      </c>
      <c r="AB9" s="190">
        <f t="shared" si="1"/>
        <v>0</v>
      </c>
      <c r="AC9" s="190">
        <f t="shared" si="1"/>
        <v>0</v>
      </c>
      <c r="AD9" s="190">
        <f t="shared" si="1"/>
        <v>0</v>
      </c>
      <c r="AE9" s="190">
        <f t="shared" si="1"/>
        <v>0</v>
      </c>
      <c r="AF9" s="190">
        <f t="shared" si="1"/>
        <v>0</v>
      </c>
      <c r="AG9" s="190">
        <f t="shared" si="1"/>
        <v>0</v>
      </c>
      <c r="AH9" s="190">
        <f t="shared" si="1"/>
        <v>0</v>
      </c>
      <c r="AI9" s="77">
        <f t="shared" ref="AI9:AI10" si="19">0/165</f>
        <v>0</v>
      </c>
      <c r="AJ9" s="190">
        <f t="shared" ref="AJ9:AR10" si="20">0/165</f>
        <v>0</v>
      </c>
      <c r="AK9" s="190">
        <f t="shared" si="20"/>
        <v>0</v>
      </c>
      <c r="AL9" s="190">
        <f t="shared" si="20"/>
        <v>0</v>
      </c>
      <c r="AM9" s="190">
        <f t="shared" si="20"/>
        <v>0</v>
      </c>
      <c r="AN9" s="190">
        <f t="shared" si="20"/>
        <v>0</v>
      </c>
      <c r="AO9" s="190">
        <f t="shared" si="20"/>
        <v>0</v>
      </c>
      <c r="AP9" s="190">
        <f t="shared" si="20"/>
        <v>0</v>
      </c>
      <c r="AQ9" s="190">
        <f t="shared" si="20"/>
        <v>0</v>
      </c>
      <c r="AR9" s="225">
        <f t="shared" si="20"/>
        <v>0</v>
      </c>
      <c r="AS9" s="23">
        <f t="shared" ref="AS9:AT10" si="21">0/157.5</f>
        <v>0</v>
      </c>
      <c r="AT9" s="190">
        <f t="shared" si="21"/>
        <v>0</v>
      </c>
      <c r="AU9" s="190">
        <f t="shared" ref="AU9:AW10" si="22">0/157.5</f>
        <v>0</v>
      </c>
      <c r="AV9" s="190">
        <f t="shared" si="22"/>
        <v>0</v>
      </c>
      <c r="AW9" s="190">
        <f t="shared" si="22"/>
        <v>0</v>
      </c>
      <c r="AX9" s="190">
        <f t="shared" ref="AX9:BB10" si="23">0/165</f>
        <v>0</v>
      </c>
      <c r="AY9" s="190">
        <f t="shared" si="23"/>
        <v>0</v>
      </c>
      <c r="AZ9" s="190">
        <f t="shared" si="23"/>
        <v>0</v>
      </c>
      <c r="BA9" s="190">
        <f t="shared" si="23"/>
        <v>0</v>
      </c>
      <c r="BB9" s="225">
        <f t="shared" si="23"/>
        <v>0</v>
      </c>
      <c r="BC9" s="77">
        <f t="shared" ref="BC9:BC10" si="24">0/157.5</f>
        <v>0</v>
      </c>
      <c r="BD9" s="190">
        <f t="shared" ref="BD9:BI10" si="25">0/157.5</f>
        <v>0</v>
      </c>
      <c r="BE9" s="190">
        <f t="shared" si="25"/>
        <v>0</v>
      </c>
      <c r="BF9" s="190">
        <f t="shared" si="25"/>
        <v>0</v>
      </c>
      <c r="BG9" s="190">
        <f t="shared" si="25"/>
        <v>0</v>
      </c>
      <c r="BH9" s="190">
        <f t="shared" si="25"/>
        <v>0</v>
      </c>
      <c r="BI9" s="190">
        <f t="shared" si="25"/>
        <v>0</v>
      </c>
      <c r="BJ9" s="190">
        <f t="shared" ref="BJ9:BL10" si="26">0/165</f>
        <v>0</v>
      </c>
      <c r="BK9" s="190">
        <f t="shared" si="26"/>
        <v>0</v>
      </c>
      <c r="BL9" s="225">
        <f t="shared" si="26"/>
        <v>0</v>
      </c>
      <c r="BM9" s="226">
        <f t="shared" ref="BM9:BN10" si="27">0/172.5</f>
        <v>0</v>
      </c>
      <c r="BN9" s="190">
        <f t="shared" si="27"/>
        <v>0</v>
      </c>
      <c r="BO9" s="190">
        <f t="shared" ref="BO9:BV10" si="28">0/172.5</f>
        <v>0</v>
      </c>
      <c r="BP9" s="190">
        <f t="shared" si="28"/>
        <v>0</v>
      </c>
      <c r="BQ9" s="190">
        <f t="shared" si="28"/>
        <v>0</v>
      </c>
      <c r="BR9" s="190">
        <f t="shared" si="28"/>
        <v>0</v>
      </c>
      <c r="BS9" s="190">
        <f t="shared" si="28"/>
        <v>0</v>
      </c>
      <c r="BT9" s="21"/>
      <c r="BU9" s="21"/>
      <c r="BV9" s="21">
        <f t="shared" si="28"/>
        <v>0</v>
      </c>
      <c r="BW9" s="23">
        <f t="shared" ref="BW9:BW10" si="29">0/142.5</f>
        <v>0</v>
      </c>
      <c r="BX9" s="190">
        <f t="shared" ref="BX9:CF10" si="30">(0)/165</f>
        <v>0</v>
      </c>
      <c r="BY9" s="190">
        <f t="shared" si="30"/>
        <v>0</v>
      </c>
      <c r="BZ9" s="190">
        <f t="shared" si="30"/>
        <v>0</v>
      </c>
      <c r="CA9" s="190">
        <f t="shared" si="30"/>
        <v>0</v>
      </c>
      <c r="CB9" s="190">
        <f t="shared" si="30"/>
        <v>0</v>
      </c>
      <c r="CC9" s="190">
        <f t="shared" si="30"/>
        <v>0</v>
      </c>
      <c r="CD9" s="190">
        <f t="shared" si="30"/>
        <v>0</v>
      </c>
      <c r="CE9" s="190">
        <f t="shared" si="30"/>
        <v>0</v>
      </c>
      <c r="CF9" s="190">
        <f t="shared" si="30"/>
        <v>0</v>
      </c>
      <c r="CG9" s="23">
        <f t="shared" ref="CG9:CK10" si="31">0/142.5</f>
        <v>0</v>
      </c>
      <c r="CH9" s="190">
        <f t="shared" si="31"/>
        <v>0</v>
      </c>
      <c r="CI9" s="190">
        <f t="shared" si="31"/>
        <v>0</v>
      </c>
      <c r="CJ9" s="190">
        <f t="shared" si="31"/>
        <v>0</v>
      </c>
      <c r="CK9" s="190">
        <f t="shared" si="31"/>
        <v>0</v>
      </c>
      <c r="CL9" s="190">
        <f t="shared" ref="CL9:CP10" si="32">0/172.5</f>
        <v>0</v>
      </c>
      <c r="CM9" s="190">
        <f t="shared" si="32"/>
        <v>0</v>
      </c>
      <c r="CN9" s="190">
        <f t="shared" si="32"/>
        <v>0</v>
      </c>
      <c r="CO9" s="190">
        <f t="shared" si="32"/>
        <v>0</v>
      </c>
      <c r="CP9" s="21">
        <f t="shared" si="32"/>
        <v>0</v>
      </c>
      <c r="CQ9" s="23">
        <f t="shared" ref="CQ9:CU18" si="33">0/157.5</f>
        <v>0</v>
      </c>
      <c r="CR9" s="190">
        <f t="shared" si="33"/>
        <v>0</v>
      </c>
      <c r="CS9" s="190">
        <f t="shared" si="33"/>
        <v>0</v>
      </c>
      <c r="CT9" s="190">
        <f t="shared" si="33"/>
        <v>0</v>
      </c>
      <c r="CU9" s="190">
        <f t="shared" si="33"/>
        <v>0</v>
      </c>
      <c r="CV9" s="190">
        <f t="shared" ref="CV9:CW22" si="34">0/172.5</f>
        <v>0</v>
      </c>
      <c r="CW9" s="190">
        <f t="shared" si="34"/>
        <v>0</v>
      </c>
      <c r="CX9" s="77">
        <f t="shared" ref="CX9:DB40" si="35">0/157.5</f>
        <v>0</v>
      </c>
      <c r="CY9" s="190">
        <f t="shared" ref="CY9:DB22" si="36">0/157.5</f>
        <v>0</v>
      </c>
      <c r="CZ9" s="190">
        <f t="shared" si="36"/>
        <v>0</v>
      </c>
      <c r="DA9" s="190">
        <f t="shared" si="36"/>
        <v>0</v>
      </c>
      <c r="DB9" s="190">
        <f t="shared" si="36"/>
        <v>0</v>
      </c>
      <c r="DC9" s="190">
        <f t="shared" ref="DC9:DD22" si="37">0/172.5</f>
        <v>0</v>
      </c>
      <c r="DD9" s="190">
        <f t="shared" si="37"/>
        <v>0</v>
      </c>
      <c r="DE9" s="59">
        <f t="shared" ref="DE9:DI18" si="38">0/127.5</f>
        <v>0</v>
      </c>
      <c r="DF9" s="190">
        <f t="shared" si="38"/>
        <v>0</v>
      </c>
      <c r="DG9" s="190">
        <f t="shared" si="38"/>
        <v>0</v>
      </c>
      <c r="DH9" s="190">
        <f t="shared" si="38"/>
        <v>0</v>
      </c>
      <c r="DI9" s="190">
        <f t="shared" si="38"/>
        <v>0</v>
      </c>
      <c r="DJ9" s="190">
        <f t="shared" ref="DJ9:DK22" si="39">0/172.5</f>
        <v>0</v>
      </c>
      <c r="DK9" s="190">
        <f t="shared" si="39"/>
        <v>0</v>
      </c>
      <c r="DL9" s="23">
        <f t="shared" si="13"/>
        <v>0</v>
      </c>
      <c r="DM9" s="190">
        <f t="shared" si="13"/>
        <v>0</v>
      </c>
      <c r="DN9" s="190">
        <f t="shared" si="13"/>
        <v>0</v>
      </c>
      <c r="DO9" s="190">
        <f t="shared" si="13"/>
        <v>0</v>
      </c>
      <c r="DP9" s="190">
        <f t="shared" si="13"/>
        <v>0</v>
      </c>
      <c r="DQ9" s="190">
        <f t="shared" si="14"/>
        <v>0</v>
      </c>
      <c r="DR9" s="190">
        <f t="shared" si="14"/>
        <v>0</v>
      </c>
      <c r="DS9" s="190">
        <f t="shared" si="14"/>
        <v>0</v>
      </c>
      <c r="DT9" s="201"/>
    </row>
    <row r="10" spans="1:127" ht="26.25" hidden="1" customHeight="1" outlineLevel="1" x14ac:dyDescent="0.4">
      <c r="A10" s="348"/>
      <c r="B10" s="348"/>
      <c r="C10" s="348"/>
      <c r="D10" s="350"/>
      <c r="E10" s="350"/>
      <c r="F10" s="350"/>
      <c r="G10" s="565"/>
      <c r="H10" s="450"/>
      <c r="I10" s="450"/>
      <c r="J10" s="18"/>
      <c r="K10" s="19"/>
      <c r="L10" s="19"/>
      <c r="M10" s="482"/>
      <c r="N10" s="11" t="s">
        <v>90</v>
      </c>
      <c r="O10" s="209">
        <f t="shared" si="0"/>
        <v>0</v>
      </c>
      <c r="P10" s="209">
        <f t="shared" si="0"/>
        <v>0</v>
      </c>
      <c r="Q10" s="209">
        <f t="shared" si="0"/>
        <v>0</v>
      </c>
      <c r="R10" s="209">
        <f t="shared" si="0"/>
        <v>0</v>
      </c>
      <c r="S10" s="209">
        <f t="shared" si="0"/>
        <v>0</v>
      </c>
      <c r="T10" s="209">
        <f t="shared" si="0"/>
        <v>0</v>
      </c>
      <c r="U10" s="209">
        <f t="shared" si="0"/>
        <v>0</v>
      </c>
      <c r="V10" s="209">
        <f t="shared" si="0"/>
        <v>0</v>
      </c>
      <c r="W10" s="209">
        <f t="shared" si="0"/>
        <v>0</v>
      </c>
      <c r="X10" s="53">
        <f t="shared" si="0"/>
        <v>0</v>
      </c>
      <c r="Y10" s="209">
        <f t="shared" si="1"/>
        <v>0</v>
      </c>
      <c r="Z10" s="209">
        <f t="shared" si="1"/>
        <v>0</v>
      </c>
      <c r="AA10" s="209">
        <f t="shared" si="1"/>
        <v>0</v>
      </c>
      <c r="AB10" s="209">
        <f t="shared" si="1"/>
        <v>0</v>
      </c>
      <c r="AC10" s="209">
        <f t="shared" si="1"/>
        <v>0</v>
      </c>
      <c r="AD10" s="209">
        <f t="shared" si="1"/>
        <v>0</v>
      </c>
      <c r="AE10" s="209">
        <f t="shared" si="1"/>
        <v>0</v>
      </c>
      <c r="AF10" s="209">
        <f t="shared" si="1"/>
        <v>0</v>
      </c>
      <c r="AG10" s="209">
        <f t="shared" si="1"/>
        <v>0</v>
      </c>
      <c r="AH10" s="209">
        <f t="shared" si="1"/>
        <v>0</v>
      </c>
      <c r="AI10" s="58">
        <f t="shared" si="19"/>
        <v>0</v>
      </c>
      <c r="AJ10" s="209">
        <f t="shared" ref="AJ10" si="40">0/165</f>
        <v>0</v>
      </c>
      <c r="AK10" s="209">
        <f t="shared" si="20"/>
        <v>0</v>
      </c>
      <c r="AL10" s="209">
        <f t="shared" si="20"/>
        <v>0</v>
      </c>
      <c r="AM10" s="209">
        <f t="shared" si="20"/>
        <v>0</v>
      </c>
      <c r="AN10" s="209">
        <f t="shared" si="20"/>
        <v>0</v>
      </c>
      <c r="AO10" s="209">
        <f t="shared" si="20"/>
        <v>0</v>
      </c>
      <c r="AP10" s="209">
        <f t="shared" si="20"/>
        <v>0</v>
      </c>
      <c r="AQ10" s="209">
        <f t="shared" si="20"/>
        <v>0</v>
      </c>
      <c r="AR10" s="53">
        <f t="shared" si="20"/>
        <v>0</v>
      </c>
      <c r="AS10" s="65">
        <f t="shared" si="21"/>
        <v>0</v>
      </c>
      <c r="AT10" s="210">
        <f t="shared" si="21"/>
        <v>0</v>
      </c>
      <c r="AU10" s="210">
        <f t="shared" si="22"/>
        <v>0</v>
      </c>
      <c r="AV10" s="210">
        <f t="shared" si="22"/>
        <v>0</v>
      </c>
      <c r="AW10" s="210">
        <f t="shared" si="22"/>
        <v>0</v>
      </c>
      <c r="AX10" s="209">
        <f t="shared" si="23"/>
        <v>0</v>
      </c>
      <c r="AY10" s="209">
        <f t="shared" si="23"/>
        <v>0</v>
      </c>
      <c r="AZ10" s="209">
        <f t="shared" si="23"/>
        <v>0</v>
      </c>
      <c r="BA10" s="209">
        <f t="shared" si="23"/>
        <v>0</v>
      </c>
      <c r="BB10" s="53">
        <f t="shared" si="23"/>
        <v>0</v>
      </c>
      <c r="BC10" s="58">
        <f t="shared" si="24"/>
        <v>0</v>
      </c>
      <c r="BD10" s="209">
        <f t="shared" si="25"/>
        <v>0</v>
      </c>
      <c r="BE10" s="209">
        <f t="shared" si="25"/>
        <v>0</v>
      </c>
      <c r="BF10" s="209">
        <f t="shared" si="25"/>
        <v>0</v>
      </c>
      <c r="BG10" s="209">
        <f t="shared" si="25"/>
        <v>0</v>
      </c>
      <c r="BH10" s="209">
        <f>0/157.5</f>
        <v>0</v>
      </c>
      <c r="BI10" s="209">
        <f>0/157.5</f>
        <v>0</v>
      </c>
      <c r="BJ10" s="209">
        <f t="shared" si="26"/>
        <v>0</v>
      </c>
      <c r="BK10" s="209">
        <f t="shared" si="26"/>
        <v>0</v>
      </c>
      <c r="BL10" s="53">
        <f t="shared" si="26"/>
        <v>0</v>
      </c>
      <c r="BM10" s="65">
        <f t="shared" si="27"/>
        <v>0</v>
      </c>
      <c r="BN10" s="210">
        <f t="shared" si="27"/>
        <v>0</v>
      </c>
      <c r="BO10" s="210">
        <f t="shared" si="28"/>
        <v>0</v>
      </c>
      <c r="BP10" s="210">
        <f t="shared" si="28"/>
        <v>0</v>
      </c>
      <c r="BQ10" s="210">
        <f t="shared" si="28"/>
        <v>0</v>
      </c>
      <c r="BR10" s="210">
        <f t="shared" si="28"/>
        <v>0</v>
      </c>
      <c r="BS10" s="210">
        <f t="shared" si="28"/>
        <v>0</v>
      </c>
      <c r="BT10" s="66"/>
      <c r="BU10" s="66"/>
      <c r="BV10" s="66">
        <f t="shared" si="28"/>
        <v>0</v>
      </c>
      <c r="BW10" s="65">
        <f t="shared" si="29"/>
        <v>0</v>
      </c>
      <c r="BX10" s="209">
        <f t="shared" si="30"/>
        <v>0</v>
      </c>
      <c r="BY10" s="209">
        <f t="shared" si="30"/>
        <v>0</v>
      </c>
      <c r="BZ10" s="209">
        <f t="shared" si="30"/>
        <v>0</v>
      </c>
      <c r="CA10" s="209">
        <f t="shared" si="30"/>
        <v>0</v>
      </c>
      <c r="CB10" s="209">
        <f t="shared" si="30"/>
        <v>0</v>
      </c>
      <c r="CC10" s="209">
        <f t="shared" si="30"/>
        <v>0</v>
      </c>
      <c r="CD10" s="209">
        <f t="shared" si="30"/>
        <v>0</v>
      </c>
      <c r="CE10" s="209">
        <f t="shared" si="30"/>
        <v>0</v>
      </c>
      <c r="CF10" s="209">
        <f t="shared" si="30"/>
        <v>0</v>
      </c>
      <c r="CG10" s="65">
        <f t="shared" si="31"/>
        <v>0</v>
      </c>
      <c r="CH10" s="210">
        <f t="shared" si="31"/>
        <v>0</v>
      </c>
      <c r="CI10" s="210">
        <f t="shared" si="31"/>
        <v>0</v>
      </c>
      <c r="CJ10" s="210">
        <f t="shared" si="31"/>
        <v>0</v>
      </c>
      <c r="CK10" s="210">
        <f t="shared" si="31"/>
        <v>0</v>
      </c>
      <c r="CL10" s="210">
        <f t="shared" si="32"/>
        <v>0</v>
      </c>
      <c r="CM10" s="210">
        <f t="shared" si="32"/>
        <v>0</v>
      </c>
      <c r="CN10" s="210">
        <f t="shared" si="32"/>
        <v>0</v>
      </c>
      <c r="CO10" s="210">
        <f t="shared" si="32"/>
        <v>0</v>
      </c>
      <c r="CP10" s="66">
        <f t="shared" si="32"/>
        <v>0</v>
      </c>
      <c r="CQ10" s="65">
        <f t="shared" si="33"/>
        <v>0</v>
      </c>
      <c r="CR10" s="210">
        <f t="shared" si="33"/>
        <v>0</v>
      </c>
      <c r="CS10" s="210">
        <f t="shared" si="33"/>
        <v>0</v>
      </c>
      <c r="CT10" s="210">
        <f t="shared" si="33"/>
        <v>0</v>
      </c>
      <c r="CU10" s="210">
        <f t="shared" si="33"/>
        <v>0</v>
      </c>
      <c r="CV10" s="210">
        <f t="shared" si="34"/>
        <v>0</v>
      </c>
      <c r="CW10" s="210">
        <f t="shared" si="34"/>
        <v>0</v>
      </c>
      <c r="CX10" s="65">
        <f t="shared" si="35"/>
        <v>0</v>
      </c>
      <c r="CY10" s="210">
        <f t="shared" si="36"/>
        <v>0</v>
      </c>
      <c r="CZ10" s="210">
        <f t="shared" si="36"/>
        <v>0</v>
      </c>
      <c r="DA10" s="210">
        <f t="shared" si="36"/>
        <v>0</v>
      </c>
      <c r="DB10" s="210">
        <f t="shared" si="36"/>
        <v>0</v>
      </c>
      <c r="DC10" s="210">
        <f t="shared" si="37"/>
        <v>0</v>
      </c>
      <c r="DD10" s="210">
        <f t="shared" si="37"/>
        <v>0</v>
      </c>
      <c r="DE10" s="61">
        <f t="shared" si="38"/>
        <v>0</v>
      </c>
      <c r="DF10" s="210">
        <f t="shared" si="38"/>
        <v>0</v>
      </c>
      <c r="DG10" s="210">
        <f t="shared" si="38"/>
        <v>0</v>
      </c>
      <c r="DH10" s="210">
        <f t="shared" si="38"/>
        <v>0</v>
      </c>
      <c r="DI10" s="210">
        <f t="shared" si="38"/>
        <v>0</v>
      </c>
      <c r="DJ10" s="210">
        <f t="shared" si="39"/>
        <v>0</v>
      </c>
      <c r="DK10" s="210">
        <f t="shared" si="39"/>
        <v>0</v>
      </c>
      <c r="DL10" s="65">
        <f t="shared" si="13"/>
        <v>0</v>
      </c>
      <c r="DM10" s="210">
        <f t="shared" si="13"/>
        <v>0</v>
      </c>
      <c r="DN10" s="210">
        <f t="shared" si="13"/>
        <v>0</v>
      </c>
      <c r="DO10" s="210">
        <f t="shared" si="13"/>
        <v>0</v>
      </c>
      <c r="DP10" s="210">
        <f t="shared" si="13"/>
        <v>0</v>
      </c>
      <c r="DQ10" s="210">
        <f t="shared" si="14"/>
        <v>0</v>
      </c>
      <c r="DR10" s="210">
        <f t="shared" si="14"/>
        <v>0</v>
      </c>
      <c r="DS10" s="210">
        <f t="shared" si="14"/>
        <v>0</v>
      </c>
      <c r="DT10" s="201"/>
      <c r="DW10" s="54"/>
    </row>
    <row r="11" spans="1:127" ht="26.25" hidden="1" customHeight="1" outlineLevel="1" collapsed="1" x14ac:dyDescent="0.4">
      <c r="A11" s="347">
        <v>3</v>
      </c>
      <c r="B11" s="347" t="s">
        <v>47</v>
      </c>
      <c r="C11" s="347" t="s">
        <v>14</v>
      </c>
      <c r="D11" s="349" t="s">
        <v>421</v>
      </c>
      <c r="E11" s="349" t="s">
        <v>420</v>
      </c>
      <c r="F11" s="349"/>
      <c r="G11" s="563" t="s">
        <v>394</v>
      </c>
      <c r="H11" s="449">
        <f t="shared" ref="H11" si="41">SUM(CG11:CP11)</f>
        <v>0</v>
      </c>
      <c r="I11" s="449">
        <f t="shared" ref="I11" si="42">SUM(CG12:CP12)</f>
        <v>0</v>
      </c>
      <c r="J11" s="16"/>
      <c r="K11" s="17"/>
      <c r="L11" s="17"/>
      <c r="M11" s="366"/>
      <c r="N11" s="52" t="s">
        <v>24</v>
      </c>
      <c r="O11" s="190">
        <f t="shared" si="0"/>
        <v>0</v>
      </c>
      <c r="P11" s="190">
        <f t="shared" si="0"/>
        <v>0</v>
      </c>
      <c r="Q11" s="190">
        <f>(39.25)/120</f>
        <v>0.32708333333333334</v>
      </c>
      <c r="R11" s="190">
        <f>(39.25)/120</f>
        <v>0.32708333333333334</v>
      </c>
      <c r="S11" s="190">
        <f t="shared" si="0"/>
        <v>0</v>
      </c>
      <c r="T11" s="190">
        <f t="shared" si="0"/>
        <v>0</v>
      </c>
      <c r="U11" s="190">
        <f>(39.25)/120</f>
        <v>0.32708333333333334</v>
      </c>
      <c r="V11" s="190">
        <f t="shared" si="0"/>
        <v>0</v>
      </c>
      <c r="W11" s="190">
        <f>(39.25)/120</f>
        <v>0.32708333333333334</v>
      </c>
      <c r="X11" s="86">
        <f t="shared" si="0"/>
        <v>0</v>
      </c>
      <c r="Y11" s="190">
        <f>(30)/157.5</f>
        <v>0.19047619047619047</v>
      </c>
      <c r="Z11" s="190">
        <f>(30)/157.5</f>
        <v>0.19047619047619047</v>
      </c>
      <c r="AA11" s="190">
        <f>(30)/157.5</f>
        <v>0.19047619047619047</v>
      </c>
      <c r="AB11" s="190">
        <f t="shared" si="1"/>
        <v>0</v>
      </c>
      <c r="AC11" s="190">
        <f>(30)/157.5</f>
        <v>0.19047619047619047</v>
      </c>
      <c r="AD11" s="190">
        <f>(30)/157.5</f>
        <v>0.19047619047619047</v>
      </c>
      <c r="AE11" s="190">
        <f>(60)/157.5</f>
        <v>0.38095238095238093</v>
      </c>
      <c r="AF11" s="190">
        <f>(30)/157.5</f>
        <v>0.19047619047619047</v>
      </c>
      <c r="AG11" s="190">
        <f>(70)/157.5</f>
        <v>0.44444444444444442</v>
      </c>
      <c r="AH11" s="190">
        <f t="shared" si="1"/>
        <v>0</v>
      </c>
      <c r="AI11" s="77">
        <f t="shared" si="1"/>
        <v>0</v>
      </c>
      <c r="AJ11" s="190">
        <f t="shared" si="1"/>
        <v>0</v>
      </c>
      <c r="AK11" s="190">
        <f t="shared" si="1"/>
        <v>0</v>
      </c>
      <c r="AL11" s="190">
        <f t="shared" si="1"/>
        <v>0</v>
      </c>
      <c r="AM11" s="190">
        <f t="shared" si="1"/>
        <v>0</v>
      </c>
      <c r="AN11" s="190">
        <f t="shared" si="1"/>
        <v>0</v>
      </c>
      <c r="AO11" s="190">
        <f t="shared" ref="AK11:AR12" si="43">(0)/157.5</f>
        <v>0</v>
      </c>
      <c r="AP11" s="190">
        <f t="shared" si="43"/>
        <v>0</v>
      </c>
      <c r="AQ11" s="190">
        <f>(3)/157.5</f>
        <v>1.9047619047619049E-2</v>
      </c>
      <c r="AR11" s="225">
        <f t="shared" si="43"/>
        <v>0</v>
      </c>
      <c r="AS11" s="23">
        <f t="shared" ref="AS11:BB36" si="44">(0)/165</f>
        <v>0</v>
      </c>
      <c r="AT11" s="190">
        <f t="shared" si="44"/>
        <v>0</v>
      </c>
      <c r="AU11" s="190">
        <f>(37.5)/165</f>
        <v>0.22727272727272727</v>
      </c>
      <c r="AV11" s="190">
        <f t="shared" si="44"/>
        <v>0</v>
      </c>
      <c r="AW11" s="190">
        <f t="shared" si="44"/>
        <v>0</v>
      </c>
      <c r="AX11" s="190">
        <f t="shared" si="44"/>
        <v>0</v>
      </c>
      <c r="AY11" s="190">
        <f t="shared" si="44"/>
        <v>0</v>
      </c>
      <c r="AZ11" s="190">
        <f t="shared" si="44"/>
        <v>0</v>
      </c>
      <c r="BA11" s="190">
        <f>(37.5)/165</f>
        <v>0.22727272727272727</v>
      </c>
      <c r="BB11" s="225">
        <f t="shared" si="44"/>
        <v>0</v>
      </c>
      <c r="BC11" s="77">
        <f t="shared" ref="BC11:BL36" si="45">(0)/157.5</f>
        <v>0</v>
      </c>
      <c r="BD11" s="190">
        <f t="shared" si="45"/>
        <v>0</v>
      </c>
      <c r="BE11" s="190">
        <f>(22.5)/157.5</f>
        <v>0.14285714285714285</v>
      </c>
      <c r="BF11" s="190">
        <f t="shared" si="45"/>
        <v>0</v>
      </c>
      <c r="BG11" s="190">
        <f t="shared" si="45"/>
        <v>0</v>
      </c>
      <c r="BH11" s="190">
        <f t="shared" si="45"/>
        <v>0</v>
      </c>
      <c r="BI11" s="190">
        <f t="shared" si="45"/>
        <v>0</v>
      </c>
      <c r="BJ11" s="190">
        <f t="shared" si="45"/>
        <v>0</v>
      </c>
      <c r="BK11" s="190">
        <f>(22.5)/157.5</f>
        <v>0.14285714285714285</v>
      </c>
      <c r="BL11" s="190">
        <f t="shared" si="45"/>
        <v>0</v>
      </c>
      <c r="BM11" s="77">
        <f t="shared" ref="BM11" si="46">(0)/165</f>
        <v>0</v>
      </c>
      <c r="BN11" s="190">
        <f t="shared" ref="BN11:BV12" si="47">(0)/165</f>
        <v>0</v>
      </c>
      <c r="BO11" s="190">
        <f t="shared" ref="BO11" si="48">(50)/165</f>
        <v>0.30303030303030304</v>
      </c>
      <c r="BP11" s="190">
        <f t="shared" si="47"/>
        <v>0</v>
      </c>
      <c r="BQ11" s="190">
        <f t="shared" si="47"/>
        <v>0</v>
      </c>
      <c r="BR11" s="190">
        <f t="shared" si="47"/>
        <v>0</v>
      </c>
      <c r="BS11" s="190">
        <f t="shared" si="47"/>
        <v>0</v>
      </c>
      <c r="BT11" s="190">
        <f t="shared" si="47"/>
        <v>0</v>
      </c>
      <c r="BU11" s="190">
        <f t="shared" ref="BU11" si="49">(50)/165</f>
        <v>0.30303030303030304</v>
      </c>
      <c r="BV11" s="190">
        <f t="shared" si="47"/>
        <v>0</v>
      </c>
      <c r="BW11" s="23">
        <f t="shared" ref="BW11:BX30" si="50">(0)/150</f>
        <v>0</v>
      </c>
      <c r="BX11" s="190">
        <f t="shared" si="50"/>
        <v>0</v>
      </c>
      <c r="BY11" s="190">
        <f>(12)/150</f>
        <v>0.08</v>
      </c>
      <c r="BZ11" s="190">
        <f>(12)/150</f>
        <v>0.08</v>
      </c>
      <c r="CA11" s="190">
        <f t="shared" ref="BZ11:CD20" si="51">(0)/150</f>
        <v>0</v>
      </c>
      <c r="CB11" s="190">
        <f t="shared" si="51"/>
        <v>0</v>
      </c>
      <c r="CC11" s="190">
        <f t="shared" si="51"/>
        <v>0</v>
      </c>
      <c r="CD11" s="190">
        <f t="shared" si="51"/>
        <v>0</v>
      </c>
      <c r="CE11" s="190">
        <f>(21)/150</f>
        <v>0.14000000000000001</v>
      </c>
      <c r="CF11" s="190">
        <f t="shared" ref="CF11:CF58" si="52">(0)/150</f>
        <v>0</v>
      </c>
      <c r="CG11" s="23">
        <f t="shared" ref="CG11:CP20" si="53">(0)/135</f>
        <v>0</v>
      </c>
      <c r="CH11" s="190">
        <f t="shared" si="53"/>
        <v>0</v>
      </c>
      <c r="CI11" s="190">
        <f t="shared" si="53"/>
        <v>0</v>
      </c>
      <c r="CJ11" s="190">
        <f t="shared" si="53"/>
        <v>0</v>
      </c>
      <c r="CK11" s="190">
        <f t="shared" si="53"/>
        <v>0</v>
      </c>
      <c r="CL11" s="190">
        <f t="shared" si="53"/>
        <v>0</v>
      </c>
      <c r="CM11" s="190">
        <f t="shared" si="53"/>
        <v>0</v>
      </c>
      <c r="CN11" s="190">
        <f t="shared" si="53"/>
        <v>0</v>
      </c>
      <c r="CO11" s="190">
        <f t="shared" si="53"/>
        <v>0</v>
      </c>
      <c r="CP11" s="190">
        <f t="shared" si="53"/>
        <v>0</v>
      </c>
      <c r="CQ11" s="23">
        <f t="shared" si="33"/>
        <v>0</v>
      </c>
      <c r="CR11" s="190">
        <f t="shared" si="33"/>
        <v>0</v>
      </c>
      <c r="CS11" s="190">
        <f t="shared" si="33"/>
        <v>0</v>
      </c>
      <c r="CT11" s="190">
        <f t="shared" si="33"/>
        <v>0</v>
      </c>
      <c r="CU11" s="190">
        <f t="shared" si="33"/>
        <v>0</v>
      </c>
      <c r="CV11" s="190">
        <f t="shared" si="34"/>
        <v>0</v>
      </c>
      <c r="CW11" s="190">
        <f t="shared" si="34"/>
        <v>0</v>
      </c>
      <c r="CX11" s="77">
        <f t="shared" si="35"/>
        <v>0</v>
      </c>
      <c r="CY11" s="190">
        <f t="shared" si="36"/>
        <v>0</v>
      </c>
      <c r="CZ11" s="190">
        <f t="shared" si="36"/>
        <v>0</v>
      </c>
      <c r="DA11" s="190">
        <f t="shared" si="36"/>
        <v>0</v>
      </c>
      <c r="DB11" s="190">
        <f t="shared" si="36"/>
        <v>0</v>
      </c>
      <c r="DC11" s="190">
        <f t="shared" si="37"/>
        <v>0</v>
      </c>
      <c r="DD11" s="190">
        <f t="shared" si="37"/>
        <v>0</v>
      </c>
      <c r="DE11" s="59">
        <f t="shared" si="38"/>
        <v>0</v>
      </c>
      <c r="DF11" s="190">
        <f t="shared" si="38"/>
        <v>0</v>
      </c>
      <c r="DG11" s="190">
        <f t="shared" si="38"/>
        <v>0</v>
      </c>
      <c r="DH11" s="190">
        <f t="shared" si="38"/>
        <v>0</v>
      </c>
      <c r="DI11" s="190">
        <f t="shared" si="38"/>
        <v>0</v>
      </c>
      <c r="DJ11" s="190">
        <f t="shared" si="39"/>
        <v>0</v>
      </c>
      <c r="DK11" s="190">
        <f t="shared" si="39"/>
        <v>0</v>
      </c>
      <c r="DL11" s="23">
        <f t="shared" si="13"/>
        <v>0</v>
      </c>
      <c r="DM11" s="190">
        <f t="shared" si="13"/>
        <v>0</v>
      </c>
      <c r="DN11" s="190">
        <f t="shared" si="13"/>
        <v>0</v>
      </c>
      <c r="DO11" s="190">
        <f t="shared" si="13"/>
        <v>0</v>
      </c>
      <c r="DP11" s="190">
        <f t="shared" si="13"/>
        <v>0</v>
      </c>
      <c r="DQ11" s="190">
        <f t="shared" si="14"/>
        <v>0</v>
      </c>
      <c r="DR11" s="190">
        <f t="shared" si="14"/>
        <v>0</v>
      </c>
      <c r="DS11" s="190">
        <f t="shared" si="14"/>
        <v>0</v>
      </c>
      <c r="DT11" s="201"/>
    </row>
    <row r="12" spans="1:127" ht="26.25" hidden="1" customHeight="1" outlineLevel="1" x14ac:dyDescent="0.4">
      <c r="A12" s="348"/>
      <c r="B12" s="348"/>
      <c r="C12" s="348"/>
      <c r="D12" s="350"/>
      <c r="E12" s="350"/>
      <c r="F12" s="350"/>
      <c r="G12" s="565"/>
      <c r="H12" s="450"/>
      <c r="I12" s="450"/>
      <c r="J12" s="18"/>
      <c r="K12" s="19"/>
      <c r="L12" s="19"/>
      <c r="M12" s="359"/>
      <c r="N12" s="43" t="s">
        <v>25</v>
      </c>
      <c r="O12" s="209">
        <f t="shared" si="0"/>
        <v>0</v>
      </c>
      <c r="P12" s="209">
        <f t="shared" si="0"/>
        <v>0</v>
      </c>
      <c r="Q12" s="209">
        <f>(0+7+13.5+7+28)/120</f>
        <v>0.46250000000000002</v>
      </c>
      <c r="R12" s="209">
        <f>(0+5)/120</f>
        <v>4.1666666666666664E-2</v>
      </c>
      <c r="S12" s="209">
        <f t="shared" si="0"/>
        <v>0</v>
      </c>
      <c r="T12" s="209">
        <f t="shared" si="0"/>
        <v>0</v>
      </c>
      <c r="U12" s="209">
        <f>(0+12+14+14+33)/120</f>
        <v>0.60833333333333328</v>
      </c>
      <c r="V12" s="209">
        <f t="shared" si="0"/>
        <v>0</v>
      </c>
      <c r="W12" s="209">
        <f>(19)/120</f>
        <v>0.15833333333333333</v>
      </c>
      <c r="X12" s="53">
        <f t="shared" si="0"/>
        <v>0</v>
      </c>
      <c r="Y12" s="209">
        <f>(0+1.5+2.5+11.5)/157.5</f>
        <v>9.841269841269841E-2</v>
      </c>
      <c r="Z12" s="209">
        <f>(0+12+3.5)/157.5</f>
        <v>9.841269841269841E-2</v>
      </c>
      <c r="AA12" s="209">
        <f>(17+15+24.5+34.5)/157.5</f>
        <v>0.57777777777777772</v>
      </c>
      <c r="AB12" s="209">
        <f t="shared" si="1"/>
        <v>0</v>
      </c>
      <c r="AC12" s="209">
        <f>(0+15+5.5)/157.5</f>
        <v>0.13015873015873017</v>
      </c>
      <c r="AD12" s="209">
        <f>(0+5+4.5)/157.5</f>
        <v>6.0317460317460318E-2</v>
      </c>
      <c r="AE12" s="209">
        <f>(17.5+8+21.5+18.5)/157.5</f>
        <v>0.41587301587301589</v>
      </c>
      <c r="AF12" s="209">
        <f>(0+15)/157.5</f>
        <v>9.5238095238095233E-2</v>
      </c>
      <c r="AG12" s="209">
        <f>(18+21+14+19.5+2)/157.5</f>
        <v>0.473015873015873</v>
      </c>
      <c r="AH12" s="209">
        <f t="shared" si="1"/>
        <v>0</v>
      </c>
      <c r="AI12" s="58">
        <f t="shared" si="1"/>
        <v>0</v>
      </c>
      <c r="AJ12" s="209">
        <f t="shared" si="1"/>
        <v>0</v>
      </c>
      <c r="AK12" s="209">
        <f t="shared" si="43"/>
        <v>0</v>
      </c>
      <c r="AL12" s="209">
        <f t="shared" si="43"/>
        <v>0</v>
      </c>
      <c r="AM12" s="209">
        <f t="shared" si="43"/>
        <v>0</v>
      </c>
      <c r="AN12" s="209">
        <f t="shared" si="43"/>
        <v>0</v>
      </c>
      <c r="AO12" s="209">
        <f t="shared" si="43"/>
        <v>0</v>
      </c>
      <c r="AP12" s="209">
        <f t="shared" si="43"/>
        <v>0</v>
      </c>
      <c r="AQ12" s="209">
        <f>(0+2.5)/157.5</f>
        <v>1.5873015873015872E-2</v>
      </c>
      <c r="AR12" s="53">
        <f t="shared" si="43"/>
        <v>0</v>
      </c>
      <c r="AS12" s="65">
        <f t="shared" si="44"/>
        <v>0</v>
      </c>
      <c r="AT12" s="210">
        <f t="shared" si="44"/>
        <v>0</v>
      </c>
      <c r="AU12" s="210">
        <f>(6+6+7+14.5+2)/165</f>
        <v>0.21515151515151515</v>
      </c>
      <c r="AV12" s="210">
        <f t="shared" si="44"/>
        <v>0</v>
      </c>
      <c r="AW12" s="210">
        <f t="shared" si="44"/>
        <v>0</v>
      </c>
      <c r="AX12" s="210">
        <f t="shared" si="44"/>
        <v>0</v>
      </c>
      <c r="AY12" s="210">
        <f t="shared" si="44"/>
        <v>0</v>
      </c>
      <c r="AZ12" s="210">
        <f t="shared" si="44"/>
        <v>0</v>
      </c>
      <c r="BA12" s="210">
        <f>(3+8.5+8+8+6+3)/165</f>
        <v>0.22121212121212122</v>
      </c>
      <c r="BB12" s="53">
        <f t="shared" si="44"/>
        <v>0</v>
      </c>
      <c r="BC12" s="58">
        <f t="shared" si="45"/>
        <v>0</v>
      </c>
      <c r="BD12" s="209">
        <f t="shared" si="45"/>
        <v>0</v>
      </c>
      <c r="BE12" s="209">
        <f>(13+3+5)/157.5</f>
        <v>0.13333333333333333</v>
      </c>
      <c r="BF12" s="209">
        <f t="shared" si="45"/>
        <v>0</v>
      </c>
      <c r="BG12" s="209">
        <f t="shared" si="45"/>
        <v>0</v>
      </c>
      <c r="BH12" s="209">
        <f t="shared" si="45"/>
        <v>0</v>
      </c>
      <c r="BI12" s="209">
        <f t="shared" si="45"/>
        <v>0</v>
      </c>
      <c r="BJ12" s="209">
        <f t="shared" si="45"/>
        <v>0</v>
      </c>
      <c r="BK12" s="209">
        <f>(13.5+6.5)/157.5</f>
        <v>0.12698412698412698</v>
      </c>
      <c r="BL12" s="209">
        <f t="shared" si="45"/>
        <v>0</v>
      </c>
      <c r="BM12" s="58">
        <f>(1+5.5+8.5)/165</f>
        <v>9.0909090909090912E-2</v>
      </c>
      <c r="BN12" s="209">
        <f t="shared" si="47"/>
        <v>0</v>
      </c>
      <c r="BO12" s="209">
        <f>(9+17+6.5)/165</f>
        <v>0.19696969696969696</v>
      </c>
      <c r="BP12" s="209">
        <f t="shared" si="47"/>
        <v>0</v>
      </c>
      <c r="BQ12" s="209">
        <f t="shared" si="47"/>
        <v>0</v>
      </c>
      <c r="BR12" s="209">
        <f t="shared" si="47"/>
        <v>0</v>
      </c>
      <c r="BS12" s="209">
        <f t="shared" si="47"/>
        <v>0</v>
      </c>
      <c r="BT12" s="209">
        <f t="shared" si="47"/>
        <v>0</v>
      </c>
      <c r="BU12" s="209">
        <f>(11.5+33+10)/165</f>
        <v>0.33030303030303032</v>
      </c>
      <c r="BV12" s="209">
        <f t="shared" si="47"/>
        <v>0</v>
      </c>
      <c r="BW12" s="65">
        <f t="shared" si="50"/>
        <v>0</v>
      </c>
      <c r="BX12" s="209">
        <f t="shared" si="50"/>
        <v>0</v>
      </c>
      <c r="BY12" s="209">
        <f>(0+3.5+9)/150</f>
        <v>8.3333333333333329E-2</v>
      </c>
      <c r="BZ12" s="209">
        <f>(0+9.5)/150</f>
        <v>6.3333333333333339E-2</v>
      </c>
      <c r="CA12" s="209">
        <f t="shared" si="51"/>
        <v>0</v>
      </c>
      <c r="CB12" s="209">
        <f t="shared" si="51"/>
        <v>0</v>
      </c>
      <c r="CC12" s="209">
        <f t="shared" si="51"/>
        <v>0</v>
      </c>
      <c r="CD12" s="209">
        <f t="shared" si="51"/>
        <v>0</v>
      </c>
      <c r="CE12" s="209">
        <f>(0+5+14+2)/150</f>
        <v>0.14000000000000001</v>
      </c>
      <c r="CF12" s="209">
        <f t="shared" si="52"/>
        <v>0</v>
      </c>
      <c r="CG12" s="65">
        <f t="shared" si="53"/>
        <v>0</v>
      </c>
      <c r="CH12" s="209">
        <f t="shared" si="53"/>
        <v>0</v>
      </c>
      <c r="CI12" s="209">
        <f t="shared" si="53"/>
        <v>0</v>
      </c>
      <c r="CJ12" s="209">
        <f t="shared" si="53"/>
        <v>0</v>
      </c>
      <c r="CK12" s="209">
        <f t="shared" si="53"/>
        <v>0</v>
      </c>
      <c r="CL12" s="209">
        <f t="shared" si="53"/>
        <v>0</v>
      </c>
      <c r="CM12" s="209">
        <f t="shared" si="53"/>
        <v>0</v>
      </c>
      <c r="CN12" s="209">
        <f t="shared" si="53"/>
        <v>0</v>
      </c>
      <c r="CO12" s="209">
        <f t="shared" si="53"/>
        <v>0</v>
      </c>
      <c r="CP12" s="209">
        <f t="shared" si="53"/>
        <v>0</v>
      </c>
      <c r="CQ12" s="65">
        <f t="shared" si="33"/>
        <v>0</v>
      </c>
      <c r="CR12" s="210">
        <f t="shared" si="33"/>
        <v>0</v>
      </c>
      <c r="CS12" s="210">
        <f t="shared" si="33"/>
        <v>0</v>
      </c>
      <c r="CT12" s="210">
        <f t="shared" si="33"/>
        <v>0</v>
      </c>
      <c r="CU12" s="210">
        <f t="shared" si="33"/>
        <v>0</v>
      </c>
      <c r="CV12" s="210">
        <f t="shared" si="34"/>
        <v>0</v>
      </c>
      <c r="CW12" s="210">
        <f t="shared" si="34"/>
        <v>0</v>
      </c>
      <c r="CX12" s="65">
        <f t="shared" si="35"/>
        <v>0</v>
      </c>
      <c r="CY12" s="210">
        <f t="shared" si="36"/>
        <v>0</v>
      </c>
      <c r="CZ12" s="210">
        <f t="shared" si="36"/>
        <v>0</v>
      </c>
      <c r="DA12" s="210">
        <f t="shared" si="36"/>
        <v>0</v>
      </c>
      <c r="DB12" s="210">
        <f t="shared" si="36"/>
        <v>0</v>
      </c>
      <c r="DC12" s="210">
        <f t="shared" si="37"/>
        <v>0</v>
      </c>
      <c r="DD12" s="210">
        <f t="shared" si="37"/>
        <v>0</v>
      </c>
      <c r="DE12" s="61">
        <f t="shared" si="38"/>
        <v>0</v>
      </c>
      <c r="DF12" s="210">
        <f t="shared" si="38"/>
        <v>0</v>
      </c>
      <c r="DG12" s="210">
        <f t="shared" si="38"/>
        <v>0</v>
      </c>
      <c r="DH12" s="210">
        <f t="shared" si="38"/>
        <v>0</v>
      </c>
      <c r="DI12" s="210">
        <f t="shared" si="38"/>
        <v>0</v>
      </c>
      <c r="DJ12" s="210">
        <f t="shared" si="39"/>
        <v>0</v>
      </c>
      <c r="DK12" s="210">
        <f t="shared" si="39"/>
        <v>0</v>
      </c>
      <c r="DL12" s="65">
        <f t="shared" si="13"/>
        <v>0</v>
      </c>
      <c r="DM12" s="210">
        <f t="shared" si="13"/>
        <v>0</v>
      </c>
      <c r="DN12" s="210">
        <f t="shared" si="13"/>
        <v>0</v>
      </c>
      <c r="DO12" s="210">
        <f t="shared" si="13"/>
        <v>0</v>
      </c>
      <c r="DP12" s="210">
        <f t="shared" si="13"/>
        <v>0</v>
      </c>
      <c r="DQ12" s="210">
        <f t="shared" si="14"/>
        <v>0</v>
      </c>
      <c r="DR12" s="210">
        <f t="shared" si="14"/>
        <v>0</v>
      </c>
      <c r="DS12" s="210">
        <f t="shared" si="14"/>
        <v>0</v>
      </c>
      <c r="DT12" s="201"/>
    </row>
    <row r="13" spans="1:127" ht="26.25" hidden="1" customHeight="1" outlineLevel="1" collapsed="1" x14ac:dyDescent="0.4">
      <c r="A13" s="347">
        <v>4</v>
      </c>
      <c r="B13" s="347" t="s">
        <v>47</v>
      </c>
      <c r="C13" s="347" t="s">
        <v>347</v>
      </c>
      <c r="D13" s="349" t="s">
        <v>421</v>
      </c>
      <c r="E13" s="349" t="s">
        <v>425</v>
      </c>
      <c r="F13" s="349" t="s">
        <v>428</v>
      </c>
      <c r="G13" s="485" t="s">
        <v>422</v>
      </c>
      <c r="H13" s="449">
        <f t="shared" ref="H13" si="54">SUM(CG13:CP13)</f>
        <v>0</v>
      </c>
      <c r="I13" s="449">
        <f t="shared" ref="I13" si="55">SUM(CG14:CP14)</f>
        <v>0</v>
      </c>
      <c r="J13" s="16"/>
      <c r="K13" s="17"/>
      <c r="L13" s="17"/>
      <c r="M13" s="358"/>
      <c r="N13" s="52" t="s">
        <v>24</v>
      </c>
      <c r="O13" s="190">
        <f t="shared" si="0"/>
        <v>0</v>
      </c>
      <c r="P13" s="190">
        <f>(9)/120</f>
        <v>7.4999999999999997E-2</v>
      </c>
      <c r="Q13" s="190">
        <f t="shared" si="0"/>
        <v>0</v>
      </c>
      <c r="R13" s="190">
        <f>(9)/120</f>
        <v>7.4999999999999997E-2</v>
      </c>
      <c r="S13" s="190">
        <f t="shared" si="0"/>
        <v>0</v>
      </c>
      <c r="T13" s="190">
        <f t="shared" si="0"/>
        <v>0</v>
      </c>
      <c r="U13" s="190">
        <f t="shared" si="0"/>
        <v>0</v>
      </c>
      <c r="V13" s="190">
        <f t="shared" si="0"/>
        <v>0</v>
      </c>
      <c r="W13" s="190">
        <f t="shared" si="0"/>
        <v>0</v>
      </c>
      <c r="X13" s="86">
        <f t="shared" si="0"/>
        <v>0</v>
      </c>
      <c r="Y13" s="190">
        <f t="shared" si="1"/>
        <v>0</v>
      </c>
      <c r="Z13" s="190">
        <f t="shared" si="1"/>
        <v>0</v>
      </c>
      <c r="AA13" s="190">
        <f t="shared" si="1"/>
        <v>0</v>
      </c>
      <c r="AB13" s="190">
        <f t="shared" si="1"/>
        <v>0</v>
      </c>
      <c r="AC13" s="190">
        <f t="shared" si="1"/>
        <v>0</v>
      </c>
      <c r="AD13" s="190">
        <f t="shared" si="1"/>
        <v>0</v>
      </c>
      <c r="AE13" s="190">
        <f t="shared" si="1"/>
        <v>0</v>
      </c>
      <c r="AF13" s="190">
        <f t="shared" si="1"/>
        <v>0</v>
      </c>
      <c r="AG13" s="190">
        <f t="shared" si="1"/>
        <v>0</v>
      </c>
      <c r="AH13" s="190">
        <f t="shared" si="1"/>
        <v>0</v>
      </c>
      <c r="AI13" s="77">
        <f t="shared" si="1"/>
        <v>0</v>
      </c>
      <c r="AJ13" s="190">
        <f t="shared" si="1"/>
        <v>0</v>
      </c>
      <c r="AK13" s="190">
        <f t="shared" si="1"/>
        <v>0</v>
      </c>
      <c r="AL13" s="190">
        <f t="shared" si="1"/>
        <v>0</v>
      </c>
      <c r="AM13" s="190">
        <f t="shared" si="1"/>
        <v>0</v>
      </c>
      <c r="AN13" s="190">
        <f t="shared" si="1"/>
        <v>0</v>
      </c>
      <c r="AO13" s="190">
        <f t="shared" ref="AI13:AR39" si="56">(0)/157.5</f>
        <v>0</v>
      </c>
      <c r="AP13" s="190">
        <f t="shared" si="56"/>
        <v>0</v>
      </c>
      <c r="AQ13" s="190">
        <f t="shared" si="56"/>
        <v>0</v>
      </c>
      <c r="AR13" s="225">
        <f t="shared" si="56"/>
        <v>0</v>
      </c>
      <c r="AS13" s="23">
        <f t="shared" si="44"/>
        <v>0</v>
      </c>
      <c r="AT13" s="190">
        <f t="shared" si="44"/>
        <v>0</v>
      </c>
      <c r="AU13" s="190">
        <f t="shared" si="44"/>
        <v>0</v>
      </c>
      <c r="AV13" s="190">
        <f t="shared" si="44"/>
        <v>0</v>
      </c>
      <c r="AW13" s="190">
        <f t="shared" si="44"/>
        <v>0</v>
      </c>
      <c r="AX13" s="190">
        <f t="shared" si="44"/>
        <v>0</v>
      </c>
      <c r="AY13" s="190">
        <f t="shared" si="44"/>
        <v>0</v>
      </c>
      <c r="AZ13" s="190">
        <f t="shared" si="44"/>
        <v>0</v>
      </c>
      <c r="BA13" s="190">
        <f t="shared" si="44"/>
        <v>0</v>
      </c>
      <c r="BB13" s="225">
        <f t="shared" si="44"/>
        <v>0</v>
      </c>
      <c r="BC13" s="77">
        <f t="shared" si="45"/>
        <v>0</v>
      </c>
      <c r="BD13" s="190">
        <f t="shared" si="45"/>
        <v>0</v>
      </c>
      <c r="BE13" s="190">
        <f t="shared" si="45"/>
        <v>0</v>
      </c>
      <c r="BF13" s="190">
        <f t="shared" si="45"/>
        <v>0</v>
      </c>
      <c r="BG13" s="190">
        <f t="shared" si="45"/>
        <v>0</v>
      </c>
      <c r="BH13" s="190">
        <f t="shared" si="45"/>
        <v>0</v>
      </c>
      <c r="BI13" s="190">
        <f t="shared" si="45"/>
        <v>0</v>
      </c>
      <c r="BJ13" s="190">
        <f t="shared" si="45"/>
        <v>0</v>
      </c>
      <c r="BK13" s="190">
        <f t="shared" si="45"/>
        <v>0</v>
      </c>
      <c r="BL13" s="190">
        <f t="shared" si="45"/>
        <v>0</v>
      </c>
      <c r="BM13" s="77">
        <f t="shared" ref="BM13:BV36" si="57">(0)/165</f>
        <v>0</v>
      </c>
      <c r="BN13" s="190">
        <f t="shared" si="57"/>
        <v>0</v>
      </c>
      <c r="BO13" s="190">
        <f t="shared" si="57"/>
        <v>0</v>
      </c>
      <c r="BP13" s="190">
        <f t="shared" si="57"/>
        <v>0</v>
      </c>
      <c r="BQ13" s="190">
        <f t="shared" si="57"/>
        <v>0</v>
      </c>
      <c r="BR13" s="190">
        <f t="shared" si="57"/>
        <v>0</v>
      </c>
      <c r="BS13" s="190">
        <f t="shared" si="57"/>
        <v>0</v>
      </c>
      <c r="BT13" s="190">
        <f t="shared" si="57"/>
        <v>0</v>
      </c>
      <c r="BU13" s="190">
        <f t="shared" si="57"/>
        <v>0</v>
      </c>
      <c r="BV13" s="190">
        <f t="shared" si="57"/>
        <v>0</v>
      </c>
      <c r="BW13" s="23">
        <f t="shared" si="50"/>
        <v>0</v>
      </c>
      <c r="BX13" s="190">
        <f t="shared" si="50"/>
        <v>0</v>
      </c>
      <c r="BY13" s="190">
        <f t="shared" ref="BY13:BY56" si="58">(0)/150</f>
        <v>0</v>
      </c>
      <c r="BZ13" s="190">
        <f t="shared" si="51"/>
        <v>0</v>
      </c>
      <c r="CA13" s="190">
        <f t="shared" si="51"/>
        <v>0</v>
      </c>
      <c r="CB13" s="190">
        <f t="shared" si="51"/>
        <v>0</v>
      </c>
      <c r="CC13" s="190">
        <f t="shared" si="51"/>
        <v>0</v>
      </c>
      <c r="CD13" s="190">
        <f t="shared" si="51"/>
        <v>0</v>
      </c>
      <c r="CE13" s="190">
        <f t="shared" ref="CE13:CE58" si="59">(0)/150</f>
        <v>0</v>
      </c>
      <c r="CF13" s="190">
        <f t="shared" si="52"/>
        <v>0</v>
      </c>
      <c r="CG13" s="23">
        <f t="shared" si="53"/>
        <v>0</v>
      </c>
      <c r="CH13" s="190">
        <f t="shared" si="53"/>
        <v>0</v>
      </c>
      <c r="CI13" s="190">
        <f t="shared" si="53"/>
        <v>0</v>
      </c>
      <c r="CJ13" s="190">
        <f t="shared" si="53"/>
        <v>0</v>
      </c>
      <c r="CK13" s="190">
        <f t="shared" si="53"/>
        <v>0</v>
      </c>
      <c r="CL13" s="190">
        <f t="shared" si="53"/>
        <v>0</v>
      </c>
      <c r="CM13" s="190">
        <f t="shared" si="53"/>
        <v>0</v>
      </c>
      <c r="CN13" s="190">
        <f t="shared" si="53"/>
        <v>0</v>
      </c>
      <c r="CO13" s="190">
        <f t="shared" si="53"/>
        <v>0</v>
      </c>
      <c r="CP13" s="190">
        <f t="shared" si="53"/>
        <v>0</v>
      </c>
      <c r="CQ13" s="23">
        <f t="shared" si="33"/>
        <v>0</v>
      </c>
      <c r="CR13" s="190">
        <f t="shared" si="33"/>
        <v>0</v>
      </c>
      <c r="CS13" s="190">
        <f t="shared" si="33"/>
        <v>0</v>
      </c>
      <c r="CT13" s="190">
        <f t="shared" si="33"/>
        <v>0</v>
      </c>
      <c r="CU13" s="190">
        <f t="shared" si="33"/>
        <v>0</v>
      </c>
      <c r="CV13" s="190">
        <f t="shared" si="34"/>
        <v>0</v>
      </c>
      <c r="CW13" s="190">
        <f t="shared" si="34"/>
        <v>0</v>
      </c>
      <c r="CX13" s="77">
        <f t="shared" si="35"/>
        <v>0</v>
      </c>
      <c r="CY13" s="190">
        <f t="shared" si="36"/>
        <v>0</v>
      </c>
      <c r="CZ13" s="190">
        <f t="shared" si="36"/>
        <v>0</v>
      </c>
      <c r="DA13" s="190">
        <f t="shared" si="36"/>
        <v>0</v>
      </c>
      <c r="DB13" s="190">
        <f t="shared" si="36"/>
        <v>0</v>
      </c>
      <c r="DC13" s="190">
        <f t="shared" si="37"/>
        <v>0</v>
      </c>
      <c r="DD13" s="190">
        <f t="shared" si="37"/>
        <v>0</v>
      </c>
      <c r="DE13" s="59">
        <f t="shared" si="38"/>
        <v>0</v>
      </c>
      <c r="DF13" s="190">
        <f t="shared" si="38"/>
        <v>0</v>
      </c>
      <c r="DG13" s="190">
        <f t="shared" si="38"/>
        <v>0</v>
      </c>
      <c r="DH13" s="190">
        <f t="shared" si="38"/>
        <v>0</v>
      </c>
      <c r="DI13" s="190">
        <f t="shared" si="38"/>
        <v>0</v>
      </c>
      <c r="DJ13" s="190">
        <f t="shared" si="39"/>
        <v>0</v>
      </c>
      <c r="DK13" s="190">
        <f t="shared" si="39"/>
        <v>0</v>
      </c>
      <c r="DL13" s="23">
        <f t="shared" si="13"/>
        <v>0</v>
      </c>
      <c r="DM13" s="190">
        <f t="shared" si="13"/>
        <v>0</v>
      </c>
      <c r="DN13" s="190">
        <f t="shared" si="13"/>
        <v>0</v>
      </c>
      <c r="DO13" s="190">
        <f t="shared" si="13"/>
        <v>0</v>
      </c>
      <c r="DP13" s="190">
        <f t="shared" si="13"/>
        <v>0</v>
      </c>
      <c r="DQ13" s="190">
        <f t="shared" si="14"/>
        <v>0</v>
      </c>
      <c r="DR13" s="190">
        <f t="shared" si="14"/>
        <v>0</v>
      </c>
      <c r="DS13" s="190">
        <f t="shared" si="14"/>
        <v>0</v>
      </c>
      <c r="DT13" s="201"/>
    </row>
    <row r="14" spans="1:127" ht="26.25" hidden="1" customHeight="1" outlineLevel="1" x14ac:dyDescent="0.4">
      <c r="A14" s="348"/>
      <c r="B14" s="348"/>
      <c r="C14" s="348"/>
      <c r="D14" s="370"/>
      <c r="E14" s="350"/>
      <c r="F14" s="350"/>
      <c r="G14" s="486"/>
      <c r="H14" s="450"/>
      <c r="I14" s="450"/>
      <c r="J14" s="18"/>
      <c r="K14" s="19"/>
      <c r="L14" s="19"/>
      <c r="M14" s="359"/>
      <c r="N14" s="43" t="s">
        <v>25</v>
      </c>
      <c r="O14" s="209">
        <f t="shared" si="0"/>
        <v>0</v>
      </c>
      <c r="P14" s="209">
        <f>(0.5+1)/120</f>
        <v>1.2500000000000001E-2</v>
      </c>
      <c r="Q14" s="209">
        <f t="shared" si="0"/>
        <v>0</v>
      </c>
      <c r="R14" s="209">
        <f>(14+1.5)/120</f>
        <v>0.12916666666666668</v>
      </c>
      <c r="S14" s="209">
        <f t="shared" si="0"/>
        <v>0</v>
      </c>
      <c r="T14" s="209">
        <f t="shared" si="0"/>
        <v>0</v>
      </c>
      <c r="U14" s="209">
        <f t="shared" si="0"/>
        <v>0</v>
      </c>
      <c r="V14" s="209">
        <f t="shared" si="0"/>
        <v>0</v>
      </c>
      <c r="W14" s="209">
        <f t="shared" si="0"/>
        <v>0</v>
      </c>
      <c r="X14" s="53">
        <f t="shared" si="0"/>
        <v>0</v>
      </c>
      <c r="Y14" s="209">
        <f t="shared" si="1"/>
        <v>0</v>
      </c>
      <c r="Z14" s="209">
        <f t="shared" si="1"/>
        <v>0</v>
      </c>
      <c r="AA14" s="209">
        <f t="shared" si="1"/>
        <v>0</v>
      </c>
      <c r="AB14" s="209">
        <f t="shared" si="1"/>
        <v>0</v>
      </c>
      <c r="AC14" s="209">
        <f t="shared" si="1"/>
        <v>0</v>
      </c>
      <c r="AD14" s="209">
        <f t="shared" si="1"/>
        <v>0</v>
      </c>
      <c r="AE14" s="209">
        <f t="shared" si="1"/>
        <v>0</v>
      </c>
      <c r="AF14" s="209">
        <f t="shared" si="1"/>
        <v>0</v>
      </c>
      <c r="AG14" s="209">
        <f t="shared" si="1"/>
        <v>0</v>
      </c>
      <c r="AH14" s="209">
        <f t="shared" si="1"/>
        <v>0</v>
      </c>
      <c r="AI14" s="58">
        <f t="shared" si="56"/>
        <v>0</v>
      </c>
      <c r="AJ14" s="209">
        <f t="shared" si="56"/>
        <v>0</v>
      </c>
      <c r="AK14" s="209">
        <f t="shared" si="56"/>
        <v>0</v>
      </c>
      <c r="AL14" s="209">
        <f t="shared" si="56"/>
        <v>0</v>
      </c>
      <c r="AM14" s="209">
        <f t="shared" si="56"/>
        <v>0</v>
      </c>
      <c r="AN14" s="209">
        <f t="shared" si="56"/>
        <v>0</v>
      </c>
      <c r="AO14" s="209">
        <f t="shared" si="56"/>
        <v>0</v>
      </c>
      <c r="AP14" s="209">
        <f t="shared" si="56"/>
        <v>0</v>
      </c>
      <c r="AQ14" s="209">
        <f t="shared" si="56"/>
        <v>0</v>
      </c>
      <c r="AR14" s="53">
        <f t="shared" si="56"/>
        <v>0</v>
      </c>
      <c r="AS14" s="65">
        <f t="shared" si="44"/>
        <v>0</v>
      </c>
      <c r="AT14" s="210">
        <f t="shared" si="44"/>
        <v>0</v>
      </c>
      <c r="AU14" s="210">
        <f t="shared" si="44"/>
        <v>0</v>
      </c>
      <c r="AV14" s="210">
        <f t="shared" si="44"/>
        <v>0</v>
      </c>
      <c r="AW14" s="210">
        <f t="shared" si="44"/>
        <v>0</v>
      </c>
      <c r="AX14" s="210">
        <f t="shared" si="44"/>
        <v>0</v>
      </c>
      <c r="AY14" s="210">
        <f t="shared" si="44"/>
        <v>0</v>
      </c>
      <c r="AZ14" s="210">
        <f t="shared" si="44"/>
        <v>0</v>
      </c>
      <c r="BA14" s="210">
        <f t="shared" si="44"/>
        <v>0</v>
      </c>
      <c r="BB14" s="53">
        <f t="shared" si="44"/>
        <v>0</v>
      </c>
      <c r="BC14" s="58">
        <f t="shared" si="45"/>
        <v>0</v>
      </c>
      <c r="BD14" s="209">
        <f t="shared" si="45"/>
        <v>0</v>
      </c>
      <c r="BE14" s="209">
        <f t="shared" si="45"/>
        <v>0</v>
      </c>
      <c r="BF14" s="209">
        <f t="shared" si="45"/>
        <v>0</v>
      </c>
      <c r="BG14" s="209">
        <f t="shared" si="45"/>
        <v>0</v>
      </c>
      <c r="BH14" s="209">
        <f t="shared" si="45"/>
        <v>0</v>
      </c>
      <c r="BI14" s="209">
        <f t="shared" si="45"/>
        <v>0</v>
      </c>
      <c r="BJ14" s="209">
        <f t="shared" si="45"/>
        <v>0</v>
      </c>
      <c r="BK14" s="209">
        <f t="shared" si="45"/>
        <v>0</v>
      </c>
      <c r="BL14" s="209">
        <f t="shared" si="45"/>
        <v>0</v>
      </c>
      <c r="BM14" s="58">
        <f t="shared" si="57"/>
        <v>0</v>
      </c>
      <c r="BN14" s="209">
        <f t="shared" si="57"/>
        <v>0</v>
      </c>
      <c r="BO14" s="209">
        <f t="shared" si="57"/>
        <v>0</v>
      </c>
      <c r="BP14" s="209">
        <f t="shared" si="57"/>
        <v>0</v>
      </c>
      <c r="BQ14" s="209">
        <f t="shared" si="57"/>
        <v>0</v>
      </c>
      <c r="BR14" s="209">
        <f t="shared" si="57"/>
        <v>0</v>
      </c>
      <c r="BS14" s="209">
        <f t="shared" si="57"/>
        <v>0</v>
      </c>
      <c r="BT14" s="209">
        <f t="shared" si="57"/>
        <v>0</v>
      </c>
      <c r="BU14" s="209">
        <f t="shared" si="57"/>
        <v>0</v>
      </c>
      <c r="BV14" s="209">
        <f t="shared" si="57"/>
        <v>0</v>
      </c>
      <c r="BW14" s="65">
        <f t="shared" si="50"/>
        <v>0</v>
      </c>
      <c r="BX14" s="209">
        <f t="shared" si="50"/>
        <v>0</v>
      </c>
      <c r="BY14" s="209">
        <f t="shared" si="58"/>
        <v>0</v>
      </c>
      <c r="BZ14" s="209">
        <f t="shared" si="51"/>
        <v>0</v>
      </c>
      <c r="CA14" s="209">
        <f t="shared" si="51"/>
        <v>0</v>
      </c>
      <c r="CB14" s="209">
        <f t="shared" si="51"/>
        <v>0</v>
      </c>
      <c r="CC14" s="209">
        <f t="shared" si="51"/>
        <v>0</v>
      </c>
      <c r="CD14" s="209">
        <f t="shared" si="51"/>
        <v>0</v>
      </c>
      <c r="CE14" s="209">
        <f t="shared" si="59"/>
        <v>0</v>
      </c>
      <c r="CF14" s="209">
        <f t="shared" si="52"/>
        <v>0</v>
      </c>
      <c r="CG14" s="65">
        <f t="shared" si="53"/>
        <v>0</v>
      </c>
      <c r="CH14" s="209">
        <f t="shared" si="53"/>
        <v>0</v>
      </c>
      <c r="CI14" s="209">
        <f t="shared" si="53"/>
        <v>0</v>
      </c>
      <c r="CJ14" s="209">
        <f t="shared" si="53"/>
        <v>0</v>
      </c>
      <c r="CK14" s="209">
        <f t="shared" si="53"/>
        <v>0</v>
      </c>
      <c r="CL14" s="209">
        <f t="shared" si="53"/>
        <v>0</v>
      </c>
      <c r="CM14" s="209">
        <f t="shared" si="53"/>
        <v>0</v>
      </c>
      <c r="CN14" s="209">
        <f t="shared" si="53"/>
        <v>0</v>
      </c>
      <c r="CO14" s="209">
        <f t="shared" si="53"/>
        <v>0</v>
      </c>
      <c r="CP14" s="209">
        <f t="shared" si="53"/>
        <v>0</v>
      </c>
      <c r="CQ14" s="65">
        <f t="shared" si="33"/>
        <v>0</v>
      </c>
      <c r="CR14" s="210">
        <f t="shared" si="33"/>
        <v>0</v>
      </c>
      <c r="CS14" s="210">
        <f t="shared" si="33"/>
        <v>0</v>
      </c>
      <c r="CT14" s="210">
        <f t="shared" si="33"/>
        <v>0</v>
      </c>
      <c r="CU14" s="210">
        <f t="shared" si="33"/>
        <v>0</v>
      </c>
      <c r="CV14" s="210">
        <f t="shared" si="34"/>
        <v>0</v>
      </c>
      <c r="CW14" s="210">
        <f t="shared" si="34"/>
        <v>0</v>
      </c>
      <c r="CX14" s="65">
        <f t="shared" si="35"/>
        <v>0</v>
      </c>
      <c r="CY14" s="210">
        <f t="shared" si="36"/>
        <v>0</v>
      </c>
      <c r="CZ14" s="210">
        <f t="shared" si="36"/>
        <v>0</v>
      </c>
      <c r="DA14" s="210">
        <f t="shared" si="36"/>
        <v>0</v>
      </c>
      <c r="DB14" s="210">
        <f t="shared" si="36"/>
        <v>0</v>
      </c>
      <c r="DC14" s="210">
        <f t="shared" si="37"/>
        <v>0</v>
      </c>
      <c r="DD14" s="210">
        <f t="shared" si="37"/>
        <v>0</v>
      </c>
      <c r="DE14" s="61">
        <f t="shared" si="38"/>
        <v>0</v>
      </c>
      <c r="DF14" s="210">
        <f t="shared" si="38"/>
        <v>0</v>
      </c>
      <c r="DG14" s="210">
        <f t="shared" si="38"/>
        <v>0</v>
      </c>
      <c r="DH14" s="210">
        <f t="shared" si="38"/>
        <v>0</v>
      </c>
      <c r="DI14" s="210">
        <f t="shared" si="38"/>
        <v>0</v>
      </c>
      <c r="DJ14" s="210">
        <f t="shared" si="39"/>
        <v>0</v>
      </c>
      <c r="DK14" s="210">
        <f t="shared" si="39"/>
        <v>0</v>
      </c>
      <c r="DL14" s="65">
        <f t="shared" si="13"/>
        <v>0</v>
      </c>
      <c r="DM14" s="210">
        <f t="shared" si="13"/>
        <v>0</v>
      </c>
      <c r="DN14" s="210">
        <f t="shared" si="13"/>
        <v>0</v>
      </c>
      <c r="DO14" s="210">
        <f t="shared" si="13"/>
        <v>0</v>
      </c>
      <c r="DP14" s="210">
        <f t="shared" si="13"/>
        <v>0</v>
      </c>
      <c r="DQ14" s="210">
        <f t="shared" si="14"/>
        <v>0</v>
      </c>
      <c r="DR14" s="210">
        <f t="shared" si="14"/>
        <v>0</v>
      </c>
      <c r="DS14" s="210">
        <f t="shared" si="14"/>
        <v>0</v>
      </c>
      <c r="DT14" s="201"/>
    </row>
    <row r="15" spans="1:127" ht="26.25" hidden="1" customHeight="1" outlineLevel="1" x14ac:dyDescent="0.4">
      <c r="A15" s="347">
        <v>5</v>
      </c>
      <c r="B15" s="347" t="s">
        <v>47</v>
      </c>
      <c r="C15" s="347" t="s">
        <v>347</v>
      </c>
      <c r="D15" s="349" t="s">
        <v>431</v>
      </c>
      <c r="E15" s="349" t="s">
        <v>426</v>
      </c>
      <c r="F15" s="349" t="s">
        <v>429</v>
      </c>
      <c r="G15" s="610" t="s">
        <v>423</v>
      </c>
      <c r="H15" s="449">
        <f t="shared" ref="H15" si="60">SUM(CG15:CP15)</f>
        <v>0</v>
      </c>
      <c r="I15" s="449">
        <f t="shared" ref="I15" si="61">SUM(CG16:CP16)</f>
        <v>0</v>
      </c>
      <c r="J15" s="16"/>
      <c r="K15" s="17"/>
      <c r="L15" s="17"/>
      <c r="M15" s="369"/>
      <c r="N15" s="52" t="s">
        <v>24</v>
      </c>
      <c r="O15" s="190">
        <f t="shared" si="0"/>
        <v>0</v>
      </c>
      <c r="P15" s="190">
        <f>(5)/120</f>
        <v>4.1666666666666664E-2</v>
      </c>
      <c r="Q15" s="190">
        <f t="shared" si="0"/>
        <v>0</v>
      </c>
      <c r="R15" s="190">
        <f t="shared" si="0"/>
        <v>0</v>
      </c>
      <c r="S15" s="190">
        <f>(15)/120</f>
        <v>0.125</v>
      </c>
      <c r="T15" s="190">
        <f>(15)/120</f>
        <v>0.125</v>
      </c>
      <c r="U15" s="190">
        <f t="shared" si="0"/>
        <v>0</v>
      </c>
      <c r="V15" s="190">
        <f t="shared" si="0"/>
        <v>0</v>
      </c>
      <c r="W15" s="190">
        <f t="shared" si="0"/>
        <v>0</v>
      </c>
      <c r="X15" s="86">
        <f t="shared" si="0"/>
        <v>0</v>
      </c>
      <c r="Y15" s="190">
        <f t="shared" si="1"/>
        <v>0</v>
      </c>
      <c r="Z15" s="190">
        <f t="shared" si="1"/>
        <v>0</v>
      </c>
      <c r="AA15" s="190">
        <f t="shared" si="1"/>
        <v>0</v>
      </c>
      <c r="AB15" s="190">
        <f t="shared" si="1"/>
        <v>0</v>
      </c>
      <c r="AC15" s="190">
        <f t="shared" si="1"/>
        <v>0</v>
      </c>
      <c r="AD15" s="190">
        <f t="shared" si="1"/>
        <v>0</v>
      </c>
      <c r="AE15" s="190">
        <f t="shared" si="1"/>
        <v>0</v>
      </c>
      <c r="AF15" s="190">
        <f t="shared" si="1"/>
        <v>0</v>
      </c>
      <c r="AG15" s="190">
        <f t="shared" si="1"/>
        <v>0</v>
      </c>
      <c r="AH15" s="190">
        <f t="shared" si="1"/>
        <v>0</v>
      </c>
      <c r="AI15" s="77">
        <f t="shared" si="1"/>
        <v>0</v>
      </c>
      <c r="AJ15" s="190">
        <f t="shared" si="1"/>
        <v>0</v>
      </c>
      <c r="AK15" s="190">
        <f t="shared" si="1"/>
        <v>0</v>
      </c>
      <c r="AL15" s="190">
        <f t="shared" si="1"/>
        <v>0</v>
      </c>
      <c r="AM15" s="190">
        <f t="shared" si="1"/>
        <v>0</v>
      </c>
      <c r="AN15" s="190">
        <f t="shared" si="1"/>
        <v>0</v>
      </c>
      <c r="AO15" s="190">
        <f t="shared" si="56"/>
        <v>0</v>
      </c>
      <c r="AP15" s="190">
        <f t="shared" si="56"/>
        <v>0</v>
      </c>
      <c r="AQ15" s="190">
        <f t="shared" si="56"/>
        <v>0</v>
      </c>
      <c r="AR15" s="225">
        <f t="shared" si="56"/>
        <v>0</v>
      </c>
      <c r="AS15" s="23">
        <f t="shared" si="44"/>
        <v>0</v>
      </c>
      <c r="AT15" s="190">
        <f t="shared" si="44"/>
        <v>0</v>
      </c>
      <c r="AU15" s="190">
        <f t="shared" si="44"/>
        <v>0</v>
      </c>
      <c r="AV15" s="190">
        <f t="shared" si="44"/>
        <v>0</v>
      </c>
      <c r="AW15" s="190">
        <f t="shared" si="44"/>
        <v>0</v>
      </c>
      <c r="AX15" s="190">
        <f t="shared" si="44"/>
        <v>0</v>
      </c>
      <c r="AY15" s="190">
        <f t="shared" si="44"/>
        <v>0</v>
      </c>
      <c r="AZ15" s="190">
        <f t="shared" si="44"/>
        <v>0</v>
      </c>
      <c r="BA15" s="190">
        <f t="shared" si="44"/>
        <v>0</v>
      </c>
      <c r="BB15" s="225">
        <f t="shared" si="44"/>
        <v>0</v>
      </c>
      <c r="BC15" s="77">
        <f t="shared" si="45"/>
        <v>0</v>
      </c>
      <c r="BD15" s="190">
        <f t="shared" si="45"/>
        <v>0</v>
      </c>
      <c r="BE15" s="190">
        <f t="shared" si="45"/>
        <v>0</v>
      </c>
      <c r="BF15" s="190">
        <f t="shared" si="45"/>
        <v>0</v>
      </c>
      <c r="BG15" s="190">
        <f t="shared" si="45"/>
        <v>0</v>
      </c>
      <c r="BH15" s="190">
        <f t="shared" si="45"/>
        <v>0</v>
      </c>
      <c r="BI15" s="190">
        <f t="shared" si="45"/>
        <v>0</v>
      </c>
      <c r="BJ15" s="190">
        <f t="shared" si="45"/>
        <v>0</v>
      </c>
      <c r="BK15" s="190">
        <f t="shared" si="45"/>
        <v>0</v>
      </c>
      <c r="BL15" s="190">
        <f t="shared" si="45"/>
        <v>0</v>
      </c>
      <c r="BM15" s="77">
        <f t="shared" si="57"/>
        <v>0</v>
      </c>
      <c r="BN15" s="190">
        <f t="shared" si="57"/>
        <v>0</v>
      </c>
      <c r="BO15" s="190">
        <f t="shared" si="57"/>
        <v>0</v>
      </c>
      <c r="BP15" s="190">
        <f t="shared" si="57"/>
        <v>0</v>
      </c>
      <c r="BQ15" s="190">
        <f t="shared" si="57"/>
        <v>0</v>
      </c>
      <c r="BR15" s="190">
        <f t="shared" si="57"/>
        <v>0</v>
      </c>
      <c r="BS15" s="190">
        <f t="shared" si="57"/>
        <v>0</v>
      </c>
      <c r="BT15" s="190">
        <f t="shared" si="57"/>
        <v>0</v>
      </c>
      <c r="BU15" s="190">
        <f t="shared" si="57"/>
        <v>0</v>
      </c>
      <c r="BV15" s="190">
        <f t="shared" si="57"/>
        <v>0</v>
      </c>
      <c r="BW15" s="23">
        <f t="shared" si="50"/>
        <v>0</v>
      </c>
      <c r="BX15" s="190">
        <f t="shared" si="50"/>
        <v>0</v>
      </c>
      <c r="BY15" s="190">
        <f t="shared" si="58"/>
        <v>0</v>
      </c>
      <c r="BZ15" s="190">
        <f t="shared" si="51"/>
        <v>0</v>
      </c>
      <c r="CA15" s="190">
        <f t="shared" si="51"/>
        <v>0</v>
      </c>
      <c r="CB15" s="190">
        <f t="shared" si="51"/>
        <v>0</v>
      </c>
      <c r="CC15" s="190">
        <f t="shared" si="51"/>
        <v>0</v>
      </c>
      <c r="CD15" s="190">
        <f t="shared" si="51"/>
        <v>0</v>
      </c>
      <c r="CE15" s="190">
        <f t="shared" si="59"/>
        <v>0</v>
      </c>
      <c r="CF15" s="190">
        <f t="shared" si="52"/>
        <v>0</v>
      </c>
      <c r="CG15" s="23">
        <f t="shared" si="53"/>
        <v>0</v>
      </c>
      <c r="CH15" s="190">
        <f t="shared" si="53"/>
        <v>0</v>
      </c>
      <c r="CI15" s="190">
        <f t="shared" si="53"/>
        <v>0</v>
      </c>
      <c r="CJ15" s="190">
        <f t="shared" si="53"/>
        <v>0</v>
      </c>
      <c r="CK15" s="190">
        <f t="shared" si="53"/>
        <v>0</v>
      </c>
      <c r="CL15" s="190">
        <f t="shared" si="53"/>
        <v>0</v>
      </c>
      <c r="CM15" s="190">
        <f t="shared" si="53"/>
        <v>0</v>
      </c>
      <c r="CN15" s="190">
        <f t="shared" si="53"/>
        <v>0</v>
      </c>
      <c r="CO15" s="190">
        <f t="shared" si="53"/>
        <v>0</v>
      </c>
      <c r="CP15" s="190">
        <f t="shared" si="53"/>
        <v>0</v>
      </c>
      <c r="CQ15" s="23">
        <f t="shared" si="33"/>
        <v>0</v>
      </c>
      <c r="CR15" s="190">
        <f t="shared" si="33"/>
        <v>0</v>
      </c>
      <c r="CS15" s="190">
        <f t="shared" si="33"/>
        <v>0</v>
      </c>
      <c r="CT15" s="190">
        <f t="shared" si="33"/>
        <v>0</v>
      </c>
      <c r="CU15" s="190">
        <f t="shared" si="33"/>
        <v>0</v>
      </c>
      <c r="CV15" s="190">
        <f t="shared" si="34"/>
        <v>0</v>
      </c>
      <c r="CW15" s="190">
        <f t="shared" si="34"/>
        <v>0</v>
      </c>
      <c r="CX15" s="77">
        <f t="shared" si="35"/>
        <v>0</v>
      </c>
      <c r="CY15" s="190">
        <f t="shared" si="36"/>
        <v>0</v>
      </c>
      <c r="CZ15" s="190">
        <f t="shared" si="36"/>
        <v>0</v>
      </c>
      <c r="DA15" s="190">
        <f t="shared" si="36"/>
        <v>0</v>
      </c>
      <c r="DB15" s="190">
        <f t="shared" si="36"/>
        <v>0</v>
      </c>
      <c r="DC15" s="190">
        <f t="shared" si="37"/>
        <v>0</v>
      </c>
      <c r="DD15" s="190">
        <f t="shared" si="37"/>
        <v>0</v>
      </c>
      <c r="DE15" s="59">
        <f t="shared" si="38"/>
        <v>0</v>
      </c>
      <c r="DF15" s="190">
        <f t="shared" si="38"/>
        <v>0</v>
      </c>
      <c r="DG15" s="190">
        <f t="shared" si="38"/>
        <v>0</v>
      </c>
      <c r="DH15" s="190">
        <f t="shared" si="38"/>
        <v>0</v>
      </c>
      <c r="DI15" s="190">
        <f t="shared" si="38"/>
        <v>0</v>
      </c>
      <c r="DJ15" s="190">
        <f t="shared" si="39"/>
        <v>0</v>
      </c>
      <c r="DK15" s="190">
        <f t="shared" si="39"/>
        <v>0</v>
      </c>
      <c r="DL15" s="23">
        <f t="shared" si="13"/>
        <v>0</v>
      </c>
      <c r="DM15" s="190">
        <f t="shared" si="13"/>
        <v>0</v>
      </c>
      <c r="DN15" s="190">
        <f t="shared" si="13"/>
        <v>0</v>
      </c>
      <c r="DO15" s="190">
        <f t="shared" si="13"/>
        <v>0</v>
      </c>
      <c r="DP15" s="190">
        <f t="shared" si="13"/>
        <v>0</v>
      </c>
      <c r="DQ15" s="190">
        <f t="shared" si="14"/>
        <v>0</v>
      </c>
      <c r="DR15" s="190">
        <f t="shared" si="14"/>
        <v>0</v>
      </c>
      <c r="DS15" s="190">
        <f t="shared" si="14"/>
        <v>0</v>
      </c>
      <c r="DT15" s="201"/>
    </row>
    <row r="16" spans="1:127" ht="26.25" hidden="1" customHeight="1" outlineLevel="1" x14ac:dyDescent="0.4">
      <c r="A16" s="348"/>
      <c r="B16" s="348"/>
      <c r="C16" s="348"/>
      <c r="D16" s="350"/>
      <c r="E16" s="350"/>
      <c r="F16" s="350"/>
      <c r="G16" s="610"/>
      <c r="H16" s="450"/>
      <c r="I16" s="450"/>
      <c r="J16" s="18"/>
      <c r="K16" s="19"/>
      <c r="L16" s="19"/>
      <c r="M16" s="359"/>
      <c r="N16" s="43" t="s">
        <v>25</v>
      </c>
      <c r="O16" s="209">
        <f t="shared" si="0"/>
        <v>0</v>
      </c>
      <c r="P16" s="209">
        <f>(0.5+3+1)/120</f>
        <v>3.7499999999999999E-2</v>
      </c>
      <c r="Q16" s="209">
        <f t="shared" si="0"/>
        <v>0</v>
      </c>
      <c r="R16" s="209">
        <f t="shared" si="0"/>
        <v>0</v>
      </c>
      <c r="S16" s="209">
        <f>(5+9.5)/120</f>
        <v>0.12083333333333333</v>
      </c>
      <c r="T16" s="209">
        <f>(12+3)/120</f>
        <v>0.125</v>
      </c>
      <c r="U16" s="209">
        <f t="shared" si="0"/>
        <v>0</v>
      </c>
      <c r="V16" s="209">
        <f t="shared" si="0"/>
        <v>0</v>
      </c>
      <c r="W16" s="209">
        <f t="shared" si="0"/>
        <v>0</v>
      </c>
      <c r="X16" s="53">
        <f t="shared" si="0"/>
        <v>0</v>
      </c>
      <c r="Y16" s="209">
        <f t="shared" si="1"/>
        <v>0</v>
      </c>
      <c r="Z16" s="209">
        <f t="shared" si="1"/>
        <v>0</v>
      </c>
      <c r="AA16" s="209">
        <f t="shared" si="1"/>
        <v>0</v>
      </c>
      <c r="AB16" s="209">
        <f t="shared" si="1"/>
        <v>0</v>
      </c>
      <c r="AC16" s="209">
        <f t="shared" si="1"/>
        <v>0</v>
      </c>
      <c r="AD16" s="209">
        <f t="shared" si="1"/>
        <v>0</v>
      </c>
      <c r="AE16" s="209">
        <f t="shared" si="1"/>
        <v>0</v>
      </c>
      <c r="AF16" s="209">
        <f t="shared" si="1"/>
        <v>0</v>
      </c>
      <c r="AG16" s="209">
        <f t="shared" si="1"/>
        <v>0</v>
      </c>
      <c r="AH16" s="209">
        <f t="shared" si="1"/>
        <v>0</v>
      </c>
      <c r="AI16" s="58">
        <f t="shared" si="56"/>
        <v>0</v>
      </c>
      <c r="AJ16" s="209">
        <f t="shared" si="56"/>
        <v>0</v>
      </c>
      <c r="AK16" s="209">
        <f t="shared" si="56"/>
        <v>0</v>
      </c>
      <c r="AL16" s="209">
        <f t="shared" si="56"/>
        <v>0</v>
      </c>
      <c r="AM16" s="209">
        <f t="shared" si="56"/>
        <v>0</v>
      </c>
      <c r="AN16" s="209">
        <f t="shared" si="56"/>
        <v>0</v>
      </c>
      <c r="AO16" s="209">
        <f t="shared" si="56"/>
        <v>0</v>
      </c>
      <c r="AP16" s="209">
        <f t="shared" si="56"/>
        <v>0</v>
      </c>
      <c r="AQ16" s="209">
        <f t="shared" si="56"/>
        <v>0</v>
      </c>
      <c r="AR16" s="53">
        <f t="shared" si="56"/>
        <v>0</v>
      </c>
      <c r="AS16" s="65">
        <f t="shared" si="44"/>
        <v>0</v>
      </c>
      <c r="AT16" s="210">
        <f t="shared" si="44"/>
        <v>0</v>
      </c>
      <c r="AU16" s="210">
        <f t="shared" si="44"/>
        <v>0</v>
      </c>
      <c r="AV16" s="210">
        <f t="shared" si="44"/>
        <v>0</v>
      </c>
      <c r="AW16" s="210">
        <f t="shared" si="44"/>
        <v>0</v>
      </c>
      <c r="AX16" s="210">
        <f t="shared" si="44"/>
        <v>0</v>
      </c>
      <c r="AY16" s="210">
        <f t="shared" si="44"/>
        <v>0</v>
      </c>
      <c r="AZ16" s="210">
        <f t="shared" si="44"/>
        <v>0</v>
      </c>
      <c r="BA16" s="210">
        <f t="shared" si="44"/>
        <v>0</v>
      </c>
      <c r="BB16" s="53">
        <f t="shared" si="44"/>
        <v>0</v>
      </c>
      <c r="BC16" s="58">
        <f t="shared" si="45"/>
        <v>0</v>
      </c>
      <c r="BD16" s="209">
        <f t="shared" si="45"/>
        <v>0</v>
      </c>
      <c r="BE16" s="209">
        <f t="shared" si="45"/>
        <v>0</v>
      </c>
      <c r="BF16" s="209">
        <f t="shared" si="45"/>
        <v>0</v>
      </c>
      <c r="BG16" s="209">
        <f t="shared" si="45"/>
        <v>0</v>
      </c>
      <c r="BH16" s="209">
        <f t="shared" si="45"/>
        <v>0</v>
      </c>
      <c r="BI16" s="209">
        <f t="shared" si="45"/>
        <v>0</v>
      </c>
      <c r="BJ16" s="209">
        <f t="shared" si="45"/>
        <v>0</v>
      </c>
      <c r="BK16" s="209">
        <f t="shared" si="45"/>
        <v>0</v>
      </c>
      <c r="BL16" s="209">
        <f t="shared" si="45"/>
        <v>0</v>
      </c>
      <c r="BM16" s="58">
        <f t="shared" si="57"/>
        <v>0</v>
      </c>
      <c r="BN16" s="209">
        <f t="shared" si="57"/>
        <v>0</v>
      </c>
      <c r="BO16" s="209">
        <f t="shared" si="57"/>
        <v>0</v>
      </c>
      <c r="BP16" s="209">
        <f t="shared" si="57"/>
        <v>0</v>
      </c>
      <c r="BQ16" s="209">
        <f t="shared" si="57"/>
        <v>0</v>
      </c>
      <c r="BR16" s="209">
        <f t="shared" si="57"/>
        <v>0</v>
      </c>
      <c r="BS16" s="209">
        <f t="shared" si="57"/>
        <v>0</v>
      </c>
      <c r="BT16" s="209">
        <f t="shared" si="57"/>
        <v>0</v>
      </c>
      <c r="BU16" s="209">
        <f t="shared" si="57"/>
        <v>0</v>
      </c>
      <c r="BV16" s="209">
        <f t="shared" si="57"/>
        <v>0</v>
      </c>
      <c r="BW16" s="65">
        <f t="shared" si="50"/>
        <v>0</v>
      </c>
      <c r="BX16" s="209">
        <f t="shared" si="50"/>
        <v>0</v>
      </c>
      <c r="BY16" s="209">
        <f t="shared" si="58"/>
        <v>0</v>
      </c>
      <c r="BZ16" s="209">
        <f t="shared" si="51"/>
        <v>0</v>
      </c>
      <c r="CA16" s="209">
        <f t="shared" si="51"/>
        <v>0</v>
      </c>
      <c r="CB16" s="209">
        <f t="shared" si="51"/>
        <v>0</v>
      </c>
      <c r="CC16" s="209">
        <f t="shared" si="51"/>
        <v>0</v>
      </c>
      <c r="CD16" s="209">
        <f t="shared" si="51"/>
        <v>0</v>
      </c>
      <c r="CE16" s="209">
        <f t="shared" si="59"/>
        <v>0</v>
      </c>
      <c r="CF16" s="209">
        <f t="shared" si="52"/>
        <v>0</v>
      </c>
      <c r="CG16" s="65">
        <f t="shared" si="53"/>
        <v>0</v>
      </c>
      <c r="CH16" s="209">
        <f t="shared" si="53"/>
        <v>0</v>
      </c>
      <c r="CI16" s="209">
        <f t="shared" si="53"/>
        <v>0</v>
      </c>
      <c r="CJ16" s="209">
        <f t="shared" si="53"/>
        <v>0</v>
      </c>
      <c r="CK16" s="209">
        <f t="shared" si="53"/>
        <v>0</v>
      </c>
      <c r="CL16" s="209">
        <f t="shared" si="53"/>
        <v>0</v>
      </c>
      <c r="CM16" s="209">
        <f t="shared" si="53"/>
        <v>0</v>
      </c>
      <c r="CN16" s="209">
        <f t="shared" si="53"/>
        <v>0</v>
      </c>
      <c r="CO16" s="209">
        <f t="shared" si="53"/>
        <v>0</v>
      </c>
      <c r="CP16" s="209">
        <f t="shared" si="53"/>
        <v>0</v>
      </c>
      <c r="CQ16" s="65">
        <f t="shared" si="33"/>
        <v>0</v>
      </c>
      <c r="CR16" s="210">
        <f t="shared" si="33"/>
        <v>0</v>
      </c>
      <c r="CS16" s="210">
        <f t="shared" si="33"/>
        <v>0</v>
      </c>
      <c r="CT16" s="210">
        <f t="shared" si="33"/>
        <v>0</v>
      </c>
      <c r="CU16" s="210">
        <f t="shared" si="33"/>
        <v>0</v>
      </c>
      <c r="CV16" s="210">
        <f t="shared" si="34"/>
        <v>0</v>
      </c>
      <c r="CW16" s="210">
        <f t="shared" si="34"/>
        <v>0</v>
      </c>
      <c r="CX16" s="65">
        <f t="shared" si="35"/>
        <v>0</v>
      </c>
      <c r="CY16" s="210">
        <f t="shared" si="36"/>
        <v>0</v>
      </c>
      <c r="CZ16" s="210">
        <f t="shared" si="36"/>
        <v>0</v>
      </c>
      <c r="DA16" s="210">
        <f t="shared" si="36"/>
        <v>0</v>
      </c>
      <c r="DB16" s="210">
        <f t="shared" si="36"/>
        <v>0</v>
      </c>
      <c r="DC16" s="210">
        <f t="shared" si="37"/>
        <v>0</v>
      </c>
      <c r="DD16" s="210">
        <f t="shared" si="37"/>
        <v>0</v>
      </c>
      <c r="DE16" s="61">
        <f t="shared" si="38"/>
        <v>0</v>
      </c>
      <c r="DF16" s="210">
        <f t="shared" si="38"/>
        <v>0</v>
      </c>
      <c r="DG16" s="210">
        <f t="shared" si="38"/>
        <v>0</v>
      </c>
      <c r="DH16" s="210">
        <f t="shared" si="38"/>
        <v>0</v>
      </c>
      <c r="DI16" s="210">
        <f t="shared" si="38"/>
        <v>0</v>
      </c>
      <c r="DJ16" s="210">
        <f t="shared" si="39"/>
        <v>0</v>
      </c>
      <c r="DK16" s="210">
        <f t="shared" si="39"/>
        <v>0</v>
      </c>
      <c r="DL16" s="65">
        <f t="shared" si="13"/>
        <v>0</v>
      </c>
      <c r="DM16" s="210">
        <f t="shared" si="13"/>
        <v>0</v>
      </c>
      <c r="DN16" s="210">
        <f t="shared" si="13"/>
        <v>0</v>
      </c>
      <c r="DO16" s="210">
        <f t="shared" si="13"/>
        <v>0</v>
      </c>
      <c r="DP16" s="210">
        <f t="shared" si="13"/>
        <v>0</v>
      </c>
      <c r="DQ16" s="210">
        <f t="shared" si="14"/>
        <v>0</v>
      </c>
      <c r="DR16" s="210">
        <f t="shared" si="14"/>
        <v>0</v>
      </c>
      <c r="DS16" s="210">
        <f t="shared" si="14"/>
        <v>0</v>
      </c>
      <c r="DT16" s="201"/>
    </row>
    <row r="17" spans="1:124" ht="26.25" hidden="1" customHeight="1" outlineLevel="1" x14ac:dyDescent="0.4">
      <c r="A17" s="347">
        <v>6</v>
      </c>
      <c r="B17" s="347" t="s">
        <v>47</v>
      </c>
      <c r="C17" s="347" t="s">
        <v>347</v>
      </c>
      <c r="D17" s="349" t="s">
        <v>431</v>
      </c>
      <c r="E17" s="349" t="s">
        <v>427</v>
      </c>
      <c r="F17" s="349" t="s">
        <v>430</v>
      </c>
      <c r="G17" s="610" t="s">
        <v>424</v>
      </c>
      <c r="H17" s="449">
        <f t="shared" ref="H17" si="62">SUM(CG17:CP17)</f>
        <v>0</v>
      </c>
      <c r="I17" s="449">
        <f t="shared" ref="I17" si="63">SUM(CG18:CP18)</f>
        <v>0</v>
      </c>
      <c r="J17" s="16"/>
      <c r="K17" s="17"/>
      <c r="L17" s="17"/>
      <c r="M17" s="369"/>
      <c r="N17" s="52" t="s">
        <v>24</v>
      </c>
      <c r="O17" s="190">
        <f t="shared" si="0"/>
        <v>0</v>
      </c>
      <c r="P17" s="190">
        <f>(20)/120</f>
        <v>0.16666666666666666</v>
      </c>
      <c r="Q17" s="190">
        <f t="shared" si="0"/>
        <v>0</v>
      </c>
      <c r="R17" s="190">
        <f t="shared" si="0"/>
        <v>0</v>
      </c>
      <c r="S17" s="190">
        <f>(5)/120</f>
        <v>4.1666666666666664E-2</v>
      </c>
      <c r="T17" s="190">
        <f>(20)/120</f>
        <v>0.16666666666666666</v>
      </c>
      <c r="U17" s="190">
        <f>(5)/120</f>
        <v>4.1666666666666664E-2</v>
      </c>
      <c r="V17" s="190">
        <f>(20)/120</f>
        <v>0.16666666666666666</v>
      </c>
      <c r="W17" s="190">
        <f>(20)/120</f>
        <v>0.16666666666666666</v>
      </c>
      <c r="X17" s="190">
        <f>(5)/120</f>
        <v>4.1666666666666664E-2</v>
      </c>
      <c r="Y17" s="190">
        <f t="shared" ref="Y17:AH28" si="64">(0)/157.5</f>
        <v>0</v>
      </c>
      <c r="Z17" s="190">
        <f t="shared" si="64"/>
        <v>0</v>
      </c>
      <c r="AA17" s="190">
        <f t="shared" si="64"/>
        <v>0</v>
      </c>
      <c r="AB17" s="190">
        <f t="shared" si="64"/>
        <v>0</v>
      </c>
      <c r="AC17" s="190">
        <f t="shared" si="64"/>
        <v>0</v>
      </c>
      <c r="AD17" s="190">
        <f t="shared" si="64"/>
        <v>0</v>
      </c>
      <c r="AE17" s="190">
        <f t="shared" si="64"/>
        <v>0</v>
      </c>
      <c r="AF17" s="190">
        <f t="shared" si="64"/>
        <v>0</v>
      </c>
      <c r="AG17" s="190">
        <f t="shared" si="64"/>
        <v>0</v>
      </c>
      <c r="AH17" s="190">
        <f t="shared" si="64"/>
        <v>0</v>
      </c>
      <c r="AI17" s="77">
        <f t="shared" si="1"/>
        <v>0</v>
      </c>
      <c r="AJ17" s="190">
        <f t="shared" si="1"/>
        <v>0</v>
      </c>
      <c r="AK17" s="190">
        <f t="shared" si="1"/>
        <v>0</v>
      </c>
      <c r="AL17" s="190">
        <f t="shared" si="1"/>
        <v>0</v>
      </c>
      <c r="AM17" s="190">
        <f t="shared" si="1"/>
        <v>0</v>
      </c>
      <c r="AN17" s="190">
        <f t="shared" si="1"/>
        <v>0</v>
      </c>
      <c r="AO17" s="190">
        <f t="shared" si="56"/>
        <v>0</v>
      </c>
      <c r="AP17" s="190">
        <f t="shared" si="56"/>
        <v>0</v>
      </c>
      <c r="AQ17" s="190">
        <f t="shared" si="56"/>
        <v>0</v>
      </c>
      <c r="AR17" s="225">
        <f t="shared" si="56"/>
        <v>0</v>
      </c>
      <c r="AS17" s="23">
        <f t="shared" si="44"/>
        <v>0</v>
      </c>
      <c r="AT17" s="190">
        <f t="shared" si="44"/>
        <v>0</v>
      </c>
      <c r="AU17" s="190">
        <f t="shared" si="44"/>
        <v>0</v>
      </c>
      <c r="AV17" s="190">
        <f t="shared" si="44"/>
        <v>0</v>
      </c>
      <c r="AW17" s="190">
        <f t="shared" si="44"/>
        <v>0</v>
      </c>
      <c r="AX17" s="190">
        <f t="shared" si="44"/>
        <v>0</v>
      </c>
      <c r="AY17" s="190">
        <f t="shared" si="44"/>
        <v>0</v>
      </c>
      <c r="AZ17" s="190">
        <f t="shared" si="44"/>
        <v>0</v>
      </c>
      <c r="BA17" s="190">
        <f t="shared" si="44"/>
        <v>0</v>
      </c>
      <c r="BB17" s="225">
        <f t="shared" si="44"/>
        <v>0</v>
      </c>
      <c r="BC17" s="77">
        <f t="shared" si="45"/>
        <v>0</v>
      </c>
      <c r="BD17" s="190">
        <f t="shared" si="45"/>
        <v>0</v>
      </c>
      <c r="BE17" s="190">
        <f t="shared" si="45"/>
        <v>0</v>
      </c>
      <c r="BF17" s="190">
        <f t="shared" si="45"/>
        <v>0</v>
      </c>
      <c r="BG17" s="190">
        <f t="shared" si="45"/>
        <v>0</v>
      </c>
      <c r="BH17" s="190">
        <f t="shared" si="45"/>
        <v>0</v>
      </c>
      <c r="BI17" s="190">
        <f t="shared" si="45"/>
        <v>0</v>
      </c>
      <c r="BJ17" s="190">
        <f t="shared" si="45"/>
        <v>0</v>
      </c>
      <c r="BK17" s="190">
        <f t="shared" si="45"/>
        <v>0</v>
      </c>
      <c r="BL17" s="190">
        <f t="shared" si="45"/>
        <v>0</v>
      </c>
      <c r="BM17" s="77">
        <f t="shared" si="57"/>
        <v>0</v>
      </c>
      <c r="BN17" s="190">
        <f t="shared" si="57"/>
        <v>0</v>
      </c>
      <c r="BO17" s="190">
        <f t="shared" si="57"/>
        <v>0</v>
      </c>
      <c r="BP17" s="190">
        <f t="shared" si="57"/>
        <v>0</v>
      </c>
      <c r="BQ17" s="190">
        <f t="shared" si="57"/>
        <v>0</v>
      </c>
      <c r="BR17" s="190">
        <f t="shared" si="57"/>
        <v>0</v>
      </c>
      <c r="BS17" s="190">
        <f t="shared" si="57"/>
        <v>0</v>
      </c>
      <c r="BT17" s="190">
        <f t="shared" si="57"/>
        <v>0</v>
      </c>
      <c r="BU17" s="190">
        <f t="shared" si="57"/>
        <v>0</v>
      </c>
      <c r="BV17" s="190">
        <f t="shared" si="57"/>
        <v>0</v>
      </c>
      <c r="BW17" s="23">
        <f t="shared" si="50"/>
        <v>0</v>
      </c>
      <c r="BX17" s="190">
        <f t="shared" si="50"/>
        <v>0</v>
      </c>
      <c r="BY17" s="190">
        <f t="shared" si="58"/>
        <v>0</v>
      </c>
      <c r="BZ17" s="190">
        <f t="shared" si="51"/>
        <v>0</v>
      </c>
      <c r="CA17" s="190">
        <f t="shared" si="51"/>
        <v>0</v>
      </c>
      <c r="CB17" s="190">
        <f t="shared" si="51"/>
        <v>0</v>
      </c>
      <c r="CC17" s="190">
        <f t="shared" si="51"/>
        <v>0</v>
      </c>
      <c r="CD17" s="190">
        <f t="shared" si="51"/>
        <v>0</v>
      </c>
      <c r="CE17" s="190">
        <f t="shared" si="59"/>
        <v>0</v>
      </c>
      <c r="CF17" s="190">
        <f t="shared" si="52"/>
        <v>0</v>
      </c>
      <c r="CG17" s="23">
        <f t="shared" si="53"/>
        <v>0</v>
      </c>
      <c r="CH17" s="190">
        <f t="shared" si="53"/>
        <v>0</v>
      </c>
      <c r="CI17" s="190">
        <f t="shared" si="53"/>
        <v>0</v>
      </c>
      <c r="CJ17" s="190">
        <f t="shared" si="53"/>
        <v>0</v>
      </c>
      <c r="CK17" s="190">
        <f t="shared" si="53"/>
        <v>0</v>
      </c>
      <c r="CL17" s="190">
        <f t="shared" si="53"/>
        <v>0</v>
      </c>
      <c r="CM17" s="190">
        <f t="shared" si="53"/>
        <v>0</v>
      </c>
      <c r="CN17" s="190">
        <f t="shared" si="53"/>
        <v>0</v>
      </c>
      <c r="CO17" s="190">
        <f t="shared" si="53"/>
        <v>0</v>
      </c>
      <c r="CP17" s="190">
        <f t="shared" si="53"/>
        <v>0</v>
      </c>
      <c r="CQ17" s="23">
        <f t="shared" si="33"/>
        <v>0</v>
      </c>
      <c r="CR17" s="190">
        <f t="shared" si="33"/>
        <v>0</v>
      </c>
      <c r="CS17" s="190">
        <f t="shared" si="33"/>
        <v>0</v>
      </c>
      <c r="CT17" s="190">
        <f t="shared" si="33"/>
        <v>0</v>
      </c>
      <c r="CU17" s="190">
        <f t="shared" si="33"/>
        <v>0</v>
      </c>
      <c r="CV17" s="190">
        <f t="shared" si="34"/>
        <v>0</v>
      </c>
      <c r="CW17" s="190">
        <f t="shared" si="34"/>
        <v>0</v>
      </c>
      <c r="CX17" s="77">
        <f t="shared" si="35"/>
        <v>0</v>
      </c>
      <c r="CY17" s="190">
        <f t="shared" si="36"/>
        <v>0</v>
      </c>
      <c r="CZ17" s="190">
        <f t="shared" si="36"/>
        <v>0</v>
      </c>
      <c r="DA17" s="190">
        <f t="shared" si="36"/>
        <v>0</v>
      </c>
      <c r="DB17" s="190">
        <f t="shared" si="36"/>
        <v>0</v>
      </c>
      <c r="DC17" s="190">
        <f t="shared" si="37"/>
        <v>0</v>
      </c>
      <c r="DD17" s="190">
        <f t="shared" si="37"/>
        <v>0</v>
      </c>
      <c r="DE17" s="59">
        <f t="shared" si="38"/>
        <v>0</v>
      </c>
      <c r="DF17" s="190">
        <f t="shared" si="38"/>
        <v>0</v>
      </c>
      <c r="DG17" s="190">
        <f t="shared" si="38"/>
        <v>0</v>
      </c>
      <c r="DH17" s="190">
        <f t="shared" si="38"/>
        <v>0</v>
      </c>
      <c r="DI17" s="190">
        <f t="shared" si="38"/>
        <v>0</v>
      </c>
      <c r="DJ17" s="190">
        <f t="shared" si="39"/>
        <v>0</v>
      </c>
      <c r="DK17" s="190">
        <f t="shared" si="39"/>
        <v>0</v>
      </c>
      <c r="DL17" s="23">
        <f t="shared" ref="DL17:DP26" si="65">0/142.5</f>
        <v>0</v>
      </c>
      <c r="DM17" s="190">
        <f t="shared" si="65"/>
        <v>0</v>
      </c>
      <c r="DN17" s="190">
        <f t="shared" si="65"/>
        <v>0</v>
      </c>
      <c r="DO17" s="190">
        <f t="shared" si="65"/>
        <v>0</v>
      </c>
      <c r="DP17" s="190">
        <f t="shared" si="65"/>
        <v>0</v>
      </c>
      <c r="DQ17" s="190">
        <f t="shared" si="14"/>
        <v>0</v>
      </c>
      <c r="DR17" s="190">
        <f t="shared" si="14"/>
        <v>0</v>
      </c>
      <c r="DS17" s="190">
        <f t="shared" si="14"/>
        <v>0</v>
      </c>
      <c r="DT17" s="201"/>
    </row>
    <row r="18" spans="1:124" ht="26.25" hidden="1" customHeight="1" outlineLevel="1" x14ac:dyDescent="0.4">
      <c r="A18" s="348"/>
      <c r="B18" s="348"/>
      <c r="C18" s="348"/>
      <c r="D18" s="350"/>
      <c r="E18" s="350"/>
      <c r="F18" s="350"/>
      <c r="G18" s="610"/>
      <c r="H18" s="450"/>
      <c r="I18" s="450"/>
      <c r="J18" s="18"/>
      <c r="K18" s="19"/>
      <c r="L18" s="19"/>
      <c r="M18" s="359"/>
      <c r="N18" s="43" t="s">
        <v>25</v>
      </c>
      <c r="O18" s="209">
        <f t="shared" si="0"/>
        <v>0</v>
      </c>
      <c r="P18" s="209">
        <f>(11.5+1+1+2.5)/120</f>
        <v>0.13333333333333333</v>
      </c>
      <c r="Q18" s="209">
        <f t="shared" si="0"/>
        <v>0</v>
      </c>
      <c r="R18" s="209">
        <f t="shared" si="0"/>
        <v>0</v>
      </c>
      <c r="S18" s="209">
        <f>(4)/120</f>
        <v>3.3333333333333333E-2</v>
      </c>
      <c r="T18" s="209">
        <f>(13.5+2+1)/120</f>
        <v>0.13750000000000001</v>
      </c>
      <c r="U18" s="209">
        <f>(10)/120</f>
        <v>8.3333333333333329E-2</v>
      </c>
      <c r="V18" s="209">
        <f>(8.5+8.5+3)/120</f>
        <v>0.16666666666666666</v>
      </c>
      <c r="W18" s="209">
        <f>(13.5)/120</f>
        <v>0.1125</v>
      </c>
      <c r="X18" s="53">
        <f>(13.5)/120</f>
        <v>0.1125</v>
      </c>
      <c r="Y18" s="209">
        <f t="shared" si="64"/>
        <v>0</v>
      </c>
      <c r="Z18" s="209">
        <f t="shared" si="64"/>
        <v>0</v>
      </c>
      <c r="AA18" s="209">
        <f t="shared" si="64"/>
        <v>0</v>
      </c>
      <c r="AB18" s="209">
        <f t="shared" si="64"/>
        <v>0</v>
      </c>
      <c r="AC18" s="209">
        <f t="shared" si="64"/>
        <v>0</v>
      </c>
      <c r="AD18" s="209">
        <f t="shared" si="64"/>
        <v>0</v>
      </c>
      <c r="AE18" s="209">
        <f t="shared" si="64"/>
        <v>0</v>
      </c>
      <c r="AF18" s="209">
        <f t="shared" si="64"/>
        <v>0</v>
      </c>
      <c r="AG18" s="209">
        <f t="shared" si="64"/>
        <v>0</v>
      </c>
      <c r="AH18" s="209">
        <f t="shared" si="64"/>
        <v>0</v>
      </c>
      <c r="AI18" s="58">
        <f t="shared" si="56"/>
        <v>0</v>
      </c>
      <c r="AJ18" s="209">
        <f t="shared" si="56"/>
        <v>0</v>
      </c>
      <c r="AK18" s="209">
        <f t="shared" si="56"/>
        <v>0</v>
      </c>
      <c r="AL18" s="209">
        <f t="shared" si="56"/>
        <v>0</v>
      </c>
      <c r="AM18" s="209">
        <f t="shared" si="56"/>
        <v>0</v>
      </c>
      <c r="AN18" s="209">
        <f t="shared" si="56"/>
        <v>0</v>
      </c>
      <c r="AO18" s="209">
        <f t="shared" si="56"/>
        <v>0</v>
      </c>
      <c r="AP18" s="209">
        <f t="shared" si="56"/>
        <v>0</v>
      </c>
      <c r="AQ18" s="209">
        <f t="shared" si="56"/>
        <v>0</v>
      </c>
      <c r="AR18" s="53">
        <f t="shared" si="56"/>
        <v>0</v>
      </c>
      <c r="AS18" s="65">
        <f t="shared" si="44"/>
        <v>0</v>
      </c>
      <c r="AT18" s="210">
        <f t="shared" si="44"/>
        <v>0</v>
      </c>
      <c r="AU18" s="210">
        <f t="shared" si="44"/>
        <v>0</v>
      </c>
      <c r="AV18" s="210">
        <f t="shared" si="44"/>
        <v>0</v>
      </c>
      <c r="AW18" s="210">
        <f t="shared" si="44"/>
        <v>0</v>
      </c>
      <c r="AX18" s="210">
        <f t="shared" si="44"/>
        <v>0</v>
      </c>
      <c r="AY18" s="210">
        <f t="shared" si="44"/>
        <v>0</v>
      </c>
      <c r="AZ18" s="210">
        <f t="shared" si="44"/>
        <v>0</v>
      </c>
      <c r="BA18" s="210">
        <f t="shared" si="44"/>
        <v>0</v>
      </c>
      <c r="BB18" s="53">
        <f t="shared" si="44"/>
        <v>0</v>
      </c>
      <c r="BC18" s="58">
        <f t="shared" si="45"/>
        <v>0</v>
      </c>
      <c r="BD18" s="209">
        <f t="shared" si="45"/>
        <v>0</v>
      </c>
      <c r="BE18" s="209">
        <f t="shared" si="45"/>
        <v>0</v>
      </c>
      <c r="BF18" s="209">
        <f t="shared" si="45"/>
        <v>0</v>
      </c>
      <c r="BG18" s="209">
        <f t="shared" si="45"/>
        <v>0</v>
      </c>
      <c r="BH18" s="209">
        <f t="shared" si="45"/>
        <v>0</v>
      </c>
      <c r="BI18" s="209">
        <f t="shared" si="45"/>
        <v>0</v>
      </c>
      <c r="BJ18" s="209">
        <f t="shared" si="45"/>
        <v>0</v>
      </c>
      <c r="BK18" s="209">
        <f t="shared" si="45"/>
        <v>0</v>
      </c>
      <c r="BL18" s="209">
        <f t="shared" si="45"/>
        <v>0</v>
      </c>
      <c r="BM18" s="58">
        <f t="shared" si="57"/>
        <v>0</v>
      </c>
      <c r="BN18" s="209">
        <f t="shared" si="57"/>
        <v>0</v>
      </c>
      <c r="BO18" s="209">
        <f t="shared" si="57"/>
        <v>0</v>
      </c>
      <c r="BP18" s="209">
        <f t="shared" si="57"/>
        <v>0</v>
      </c>
      <c r="BQ18" s="209">
        <f t="shared" si="57"/>
        <v>0</v>
      </c>
      <c r="BR18" s="209">
        <f t="shared" si="57"/>
        <v>0</v>
      </c>
      <c r="BS18" s="209">
        <f t="shared" si="57"/>
        <v>0</v>
      </c>
      <c r="BT18" s="209">
        <f t="shared" si="57"/>
        <v>0</v>
      </c>
      <c r="BU18" s="209">
        <f t="shared" si="57"/>
        <v>0</v>
      </c>
      <c r="BV18" s="209">
        <f t="shared" si="57"/>
        <v>0</v>
      </c>
      <c r="BW18" s="65">
        <f t="shared" si="50"/>
        <v>0</v>
      </c>
      <c r="BX18" s="209">
        <f t="shared" si="50"/>
        <v>0</v>
      </c>
      <c r="BY18" s="209">
        <f t="shared" si="58"/>
        <v>0</v>
      </c>
      <c r="BZ18" s="209">
        <f t="shared" si="51"/>
        <v>0</v>
      </c>
      <c r="CA18" s="209">
        <f t="shared" si="51"/>
        <v>0</v>
      </c>
      <c r="CB18" s="209">
        <f t="shared" si="51"/>
        <v>0</v>
      </c>
      <c r="CC18" s="209">
        <f t="shared" si="51"/>
        <v>0</v>
      </c>
      <c r="CD18" s="209">
        <f t="shared" si="51"/>
        <v>0</v>
      </c>
      <c r="CE18" s="209">
        <f t="shared" si="59"/>
        <v>0</v>
      </c>
      <c r="CF18" s="209">
        <f t="shared" si="52"/>
        <v>0</v>
      </c>
      <c r="CG18" s="65">
        <f t="shared" si="53"/>
        <v>0</v>
      </c>
      <c r="CH18" s="209">
        <f t="shared" si="53"/>
        <v>0</v>
      </c>
      <c r="CI18" s="209">
        <f t="shared" si="53"/>
        <v>0</v>
      </c>
      <c r="CJ18" s="209">
        <f t="shared" si="53"/>
        <v>0</v>
      </c>
      <c r="CK18" s="209">
        <f t="shared" si="53"/>
        <v>0</v>
      </c>
      <c r="CL18" s="209">
        <f t="shared" si="53"/>
        <v>0</v>
      </c>
      <c r="CM18" s="209">
        <f t="shared" si="53"/>
        <v>0</v>
      </c>
      <c r="CN18" s="209">
        <f t="shared" si="53"/>
        <v>0</v>
      </c>
      <c r="CO18" s="209">
        <f t="shared" si="53"/>
        <v>0</v>
      </c>
      <c r="CP18" s="209">
        <f t="shared" si="53"/>
        <v>0</v>
      </c>
      <c r="CQ18" s="65">
        <f t="shared" si="33"/>
        <v>0</v>
      </c>
      <c r="CR18" s="210">
        <f t="shared" si="33"/>
        <v>0</v>
      </c>
      <c r="CS18" s="210">
        <f t="shared" si="33"/>
        <v>0</v>
      </c>
      <c r="CT18" s="210">
        <f t="shared" si="33"/>
        <v>0</v>
      </c>
      <c r="CU18" s="210">
        <f t="shared" si="33"/>
        <v>0</v>
      </c>
      <c r="CV18" s="210">
        <f t="shared" si="34"/>
        <v>0</v>
      </c>
      <c r="CW18" s="210">
        <f t="shared" si="34"/>
        <v>0</v>
      </c>
      <c r="CX18" s="65">
        <f t="shared" si="35"/>
        <v>0</v>
      </c>
      <c r="CY18" s="210">
        <f t="shared" si="36"/>
        <v>0</v>
      </c>
      <c r="CZ18" s="210">
        <f t="shared" si="36"/>
        <v>0</v>
      </c>
      <c r="DA18" s="210">
        <f t="shared" si="36"/>
        <v>0</v>
      </c>
      <c r="DB18" s="210">
        <f t="shared" si="36"/>
        <v>0</v>
      </c>
      <c r="DC18" s="210">
        <f t="shared" si="37"/>
        <v>0</v>
      </c>
      <c r="DD18" s="210">
        <f t="shared" si="37"/>
        <v>0</v>
      </c>
      <c r="DE18" s="61">
        <f t="shared" si="38"/>
        <v>0</v>
      </c>
      <c r="DF18" s="210">
        <f t="shared" si="38"/>
        <v>0</v>
      </c>
      <c r="DG18" s="210">
        <f t="shared" si="38"/>
        <v>0</v>
      </c>
      <c r="DH18" s="210">
        <f t="shared" si="38"/>
        <v>0</v>
      </c>
      <c r="DI18" s="210">
        <f t="shared" si="38"/>
        <v>0</v>
      </c>
      <c r="DJ18" s="210">
        <f t="shared" si="39"/>
        <v>0</v>
      </c>
      <c r="DK18" s="210">
        <f t="shared" si="39"/>
        <v>0</v>
      </c>
      <c r="DL18" s="65">
        <f t="shared" si="65"/>
        <v>0</v>
      </c>
      <c r="DM18" s="210">
        <f t="shared" si="65"/>
        <v>0</v>
      </c>
      <c r="DN18" s="210">
        <f t="shared" si="65"/>
        <v>0</v>
      </c>
      <c r="DO18" s="210">
        <f t="shared" si="65"/>
        <v>0</v>
      </c>
      <c r="DP18" s="210">
        <f t="shared" si="65"/>
        <v>0</v>
      </c>
      <c r="DQ18" s="210">
        <f t="shared" si="14"/>
        <v>0</v>
      </c>
      <c r="DR18" s="210">
        <f t="shared" si="14"/>
        <v>0</v>
      </c>
      <c r="DS18" s="210">
        <f t="shared" si="14"/>
        <v>0</v>
      </c>
      <c r="DT18" s="201"/>
    </row>
    <row r="19" spans="1:124" ht="26.25" hidden="1" customHeight="1" outlineLevel="1" x14ac:dyDescent="0.4">
      <c r="A19" s="347">
        <v>7</v>
      </c>
      <c r="B19" s="347" t="s">
        <v>47</v>
      </c>
      <c r="C19" s="347" t="s">
        <v>14</v>
      </c>
      <c r="D19" s="349" t="s">
        <v>436</v>
      </c>
      <c r="E19" s="349" t="s">
        <v>434</v>
      </c>
      <c r="F19" s="349"/>
      <c r="G19" s="610" t="s">
        <v>435</v>
      </c>
      <c r="H19" s="449">
        <f t="shared" ref="H19" si="66">SUM(CG19:CP19)</f>
        <v>0</v>
      </c>
      <c r="I19" s="449">
        <f t="shared" ref="I19" si="67">SUM(CG20:CP20)</f>
        <v>0</v>
      </c>
      <c r="J19" s="16"/>
      <c r="K19" s="17"/>
      <c r="L19" s="17"/>
      <c r="M19" s="369"/>
      <c r="N19" s="52" t="s">
        <v>24</v>
      </c>
      <c r="O19" s="190">
        <f>(0)/120</f>
        <v>0</v>
      </c>
      <c r="P19" s="190">
        <f>(20)/120</f>
        <v>0.16666666666666666</v>
      </c>
      <c r="Q19" s="190">
        <f>(20)/120</f>
        <v>0.16666666666666666</v>
      </c>
      <c r="R19" s="190">
        <f>(0)/120</f>
        <v>0</v>
      </c>
      <c r="S19" s="190">
        <f>(0)/120</f>
        <v>0</v>
      </c>
      <c r="T19" s="190">
        <f>(20)/120</f>
        <v>0.16666666666666666</v>
      </c>
      <c r="U19" s="190">
        <f>(5)/120</f>
        <v>4.1666666666666664E-2</v>
      </c>
      <c r="V19" s="190">
        <f>(5)/120</f>
        <v>4.1666666666666664E-2</v>
      </c>
      <c r="W19" s="190">
        <f>(5)/120</f>
        <v>4.1666666666666664E-2</v>
      </c>
      <c r="X19" s="190">
        <f>(10)/120</f>
        <v>8.3333333333333329E-2</v>
      </c>
      <c r="Y19" s="190">
        <f t="shared" si="64"/>
        <v>0</v>
      </c>
      <c r="Z19" s="190">
        <f t="shared" si="64"/>
        <v>0</v>
      </c>
      <c r="AA19" s="190">
        <f t="shared" si="64"/>
        <v>0</v>
      </c>
      <c r="AB19" s="190">
        <f t="shared" si="64"/>
        <v>0</v>
      </c>
      <c r="AC19" s="190">
        <f t="shared" si="64"/>
        <v>0</v>
      </c>
      <c r="AD19" s="190">
        <f t="shared" si="64"/>
        <v>0</v>
      </c>
      <c r="AE19" s="190">
        <f t="shared" si="64"/>
        <v>0</v>
      </c>
      <c r="AF19" s="190">
        <f t="shared" si="64"/>
        <v>0</v>
      </c>
      <c r="AG19" s="190">
        <f t="shared" si="64"/>
        <v>0</v>
      </c>
      <c r="AH19" s="190">
        <f t="shared" si="64"/>
        <v>0</v>
      </c>
      <c r="AI19" s="77">
        <f t="shared" si="1"/>
        <v>0</v>
      </c>
      <c r="AJ19" s="190">
        <f t="shared" si="1"/>
        <v>0</v>
      </c>
      <c r="AK19" s="190">
        <f t="shared" si="1"/>
        <v>0</v>
      </c>
      <c r="AL19" s="190">
        <f t="shared" si="1"/>
        <v>0</v>
      </c>
      <c r="AM19" s="190">
        <f t="shared" si="1"/>
        <v>0</v>
      </c>
      <c r="AN19" s="190">
        <f t="shared" si="1"/>
        <v>0</v>
      </c>
      <c r="AO19" s="190">
        <f t="shared" si="56"/>
        <v>0</v>
      </c>
      <c r="AP19" s="190">
        <f t="shared" si="56"/>
        <v>0</v>
      </c>
      <c r="AQ19" s="190">
        <f t="shared" si="56"/>
        <v>0</v>
      </c>
      <c r="AR19" s="225">
        <f t="shared" si="56"/>
        <v>0</v>
      </c>
      <c r="AS19" s="23">
        <f t="shared" si="44"/>
        <v>0</v>
      </c>
      <c r="AT19" s="190">
        <f t="shared" si="44"/>
        <v>0</v>
      </c>
      <c r="AU19" s="190">
        <f t="shared" si="44"/>
        <v>0</v>
      </c>
      <c r="AV19" s="190">
        <f t="shared" si="44"/>
        <v>0</v>
      </c>
      <c r="AW19" s="190">
        <f t="shared" si="44"/>
        <v>0</v>
      </c>
      <c r="AX19" s="190">
        <f t="shared" si="44"/>
        <v>0</v>
      </c>
      <c r="AY19" s="190">
        <f t="shared" si="44"/>
        <v>0</v>
      </c>
      <c r="AZ19" s="190">
        <f t="shared" si="44"/>
        <v>0</v>
      </c>
      <c r="BA19" s="190">
        <f t="shared" si="44"/>
        <v>0</v>
      </c>
      <c r="BB19" s="225">
        <f t="shared" si="44"/>
        <v>0</v>
      </c>
      <c r="BC19" s="77">
        <f t="shared" si="45"/>
        <v>0</v>
      </c>
      <c r="BD19" s="190">
        <f t="shared" si="45"/>
        <v>0</v>
      </c>
      <c r="BE19" s="190">
        <f t="shared" si="45"/>
        <v>0</v>
      </c>
      <c r="BF19" s="190">
        <f t="shared" si="45"/>
        <v>0</v>
      </c>
      <c r="BG19" s="190">
        <f t="shared" si="45"/>
        <v>0</v>
      </c>
      <c r="BH19" s="190">
        <f t="shared" si="45"/>
        <v>0</v>
      </c>
      <c r="BI19" s="190">
        <f t="shared" si="45"/>
        <v>0</v>
      </c>
      <c r="BJ19" s="190">
        <f t="shared" si="45"/>
        <v>0</v>
      </c>
      <c r="BK19" s="190">
        <f t="shared" si="45"/>
        <v>0</v>
      </c>
      <c r="BL19" s="190">
        <f t="shared" si="45"/>
        <v>0</v>
      </c>
      <c r="BM19" s="77">
        <f t="shared" si="57"/>
        <v>0</v>
      </c>
      <c r="BN19" s="190">
        <f t="shared" si="57"/>
        <v>0</v>
      </c>
      <c r="BO19" s="190">
        <f t="shared" si="57"/>
        <v>0</v>
      </c>
      <c r="BP19" s="190">
        <f t="shared" si="57"/>
        <v>0</v>
      </c>
      <c r="BQ19" s="190">
        <f t="shared" si="57"/>
        <v>0</v>
      </c>
      <c r="BR19" s="190">
        <f t="shared" si="57"/>
        <v>0</v>
      </c>
      <c r="BS19" s="190">
        <f t="shared" si="57"/>
        <v>0</v>
      </c>
      <c r="BT19" s="190">
        <f t="shared" si="57"/>
        <v>0</v>
      </c>
      <c r="BU19" s="190">
        <f t="shared" si="57"/>
        <v>0</v>
      </c>
      <c r="BV19" s="190">
        <f t="shared" si="57"/>
        <v>0</v>
      </c>
      <c r="BW19" s="23">
        <f t="shared" si="50"/>
        <v>0</v>
      </c>
      <c r="BX19" s="190">
        <f t="shared" si="50"/>
        <v>0</v>
      </c>
      <c r="BY19" s="190">
        <f t="shared" si="58"/>
        <v>0</v>
      </c>
      <c r="BZ19" s="190">
        <f t="shared" si="51"/>
        <v>0</v>
      </c>
      <c r="CA19" s="190">
        <f t="shared" si="51"/>
        <v>0</v>
      </c>
      <c r="CB19" s="190">
        <f t="shared" si="51"/>
        <v>0</v>
      </c>
      <c r="CC19" s="190">
        <f t="shared" si="51"/>
        <v>0</v>
      </c>
      <c r="CD19" s="190">
        <f t="shared" si="51"/>
        <v>0</v>
      </c>
      <c r="CE19" s="190">
        <f t="shared" si="59"/>
        <v>0</v>
      </c>
      <c r="CF19" s="190">
        <f t="shared" si="52"/>
        <v>0</v>
      </c>
      <c r="CG19" s="23">
        <f t="shared" si="53"/>
        <v>0</v>
      </c>
      <c r="CH19" s="190">
        <f t="shared" si="53"/>
        <v>0</v>
      </c>
      <c r="CI19" s="190">
        <f t="shared" si="53"/>
        <v>0</v>
      </c>
      <c r="CJ19" s="190">
        <f t="shared" si="53"/>
        <v>0</v>
      </c>
      <c r="CK19" s="190">
        <f t="shared" si="53"/>
        <v>0</v>
      </c>
      <c r="CL19" s="190">
        <f t="shared" si="53"/>
        <v>0</v>
      </c>
      <c r="CM19" s="190">
        <f t="shared" si="53"/>
        <v>0</v>
      </c>
      <c r="CN19" s="190">
        <f t="shared" si="53"/>
        <v>0</v>
      </c>
      <c r="CO19" s="190">
        <f t="shared" si="53"/>
        <v>0</v>
      </c>
      <c r="CP19" s="190">
        <f t="shared" si="53"/>
        <v>0</v>
      </c>
      <c r="CQ19" s="23">
        <f t="shared" ref="CQ19:CU28" si="68">0/157.5</f>
        <v>0</v>
      </c>
      <c r="CR19" s="190">
        <f t="shared" si="68"/>
        <v>0</v>
      </c>
      <c r="CS19" s="190">
        <f t="shared" si="68"/>
        <v>0</v>
      </c>
      <c r="CT19" s="190">
        <f t="shared" si="68"/>
        <v>0</v>
      </c>
      <c r="CU19" s="190">
        <f t="shared" si="68"/>
        <v>0</v>
      </c>
      <c r="CV19" s="190">
        <f t="shared" si="34"/>
        <v>0</v>
      </c>
      <c r="CW19" s="190">
        <f t="shared" si="34"/>
        <v>0</v>
      </c>
      <c r="CX19" s="77">
        <f t="shared" si="35"/>
        <v>0</v>
      </c>
      <c r="CY19" s="190">
        <f t="shared" si="36"/>
        <v>0</v>
      </c>
      <c r="CZ19" s="190">
        <f t="shared" si="36"/>
        <v>0</v>
      </c>
      <c r="DA19" s="190">
        <f t="shared" si="36"/>
        <v>0</v>
      </c>
      <c r="DB19" s="190">
        <f t="shared" si="36"/>
        <v>0</v>
      </c>
      <c r="DC19" s="190">
        <f t="shared" si="37"/>
        <v>0</v>
      </c>
      <c r="DD19" s="190">
        <f t="shared" si="37"/>
        <v>0</v>
      </c>
      <c r="DE19" s="59">
        <f t="shared" ref="DE19:DI28" si="69">0/127.5</f>
        <v>0</v>
      </c>
      <c r="DF19" s="190">
        <f t="shared" si="69"/>
        <v>0</v>
      </c>
      <c r="DG19" s="190">
        <f t="shared" si="69"/>
        <v>0</v>
      </c>
      <c r="DH19" s="190">
        <f t="shared" si="69"/>
        <v>0</v>
      </c>
      <c r="DI19" s="190">
        <f t="shared" si="69"/>
        <v>0</v>
      </c>
      <c r="DJ19" s="190">
        <f t="shared" si="39"/>
        <v>0</v>
      </c>
      <c r="DK19" s="190">
        <f t="shared" si="39"/>
        <v>0</v>
      </c>
      <c r="DL19" s="23">
        <f t="shared" si="65"/>
        <v>0</v>
      </c>
      <c r="DM19" s="190">
        <f t="shared" si="65"/>
        <v>0</v>
      </c>
      <c r="DN19" s="190">
        <f t="shared" si="65"/>
        <v>0</v>
      </c>
      <c r="DO19" s="190">
        <f t="shared" si="65"/>
        <v>0</v>
      </c>
      <c r="DP19" s="190">
        <f t="shared" si="65"/>
        <v>0</v>
      </c>
      <c r="DQ19" s="190">
        <f t="shared" si="14"/>
        <v>0</v>
      </c>
      <c r="DR19" s="190">
        <f t="shared" si="14"/>
        <v>0</v>
      </c>
      <c r="DS19" s="190">
        <f t="shared" si="14"/>
        <v>0</v>
      </c>
      <c r="DT19" s="201"/>
    </row>
    <row r="20" spans="1:124" ht="26.25" hidden="1" customHeight="1" outlineLevel="1" x14ac:dyDescent="0.4">
      <c r="A20" s="348"/>
      <c r="B20" s="348"/>
      <c r="C20" s="348"/>
      <c r="D20" s="350"/>
      <c r="E20" s="350"/>
      <c r="F20" s="350"/>
      <c r="G20" s="610"/>
      <c r="H20" s="450"/>
      <c r="I20" s="450"/>
      <c r="J20" s="18"/>
      <c r="K20" s="19"/>
      <c r="L20" s="19"/>
      <c r="M20" s="359"/>
      <c r="N20" s="43" t="s">
        <v>25</v>
      </c>
      <c r="O20" s="209">
        <f>(0)/120</f>
        <v>0</v>
      </c>
      <c r="P20" s="209">
        <f>(13)/120</f>
        <v>0.10833333333333334</v>
      </c>
      <c r="Q20" s="209">
        <f>(14)/120</f>
        <v>0.11666666666666667</v>
      </c>
      <c r="R20" s="209">
        <f>(0)/120</f>
        <v>0</v>
      </c>
      <c r="S20" s="209">
        <f>(0)/120</f>
        <v>0</v>
      </c>
      <c r="T20" s="209">
        <f>(14)/120</f>
        <v>0.11666666666666667</v>
      </c>
      <c r="U20" s="209">
        <f>(6.5)/120</f>
        <v>5.4166666666666669E-2</v>
      </c>
      <c r="V20" s="209">
        <f>(8)/120</f>
        <v>6.6666666666666666E-2</v>
      </c>
      <c r="W20" s="209">
        <f>(14)/120</f>
        <v>0.11666666666666667</v>
      </c>
      <c r="X20" s="53">
        <f>(14)/120</f>
        <v>0.11666666666666667</v>
      </c>
      <c r="Y20" s="209">
        <f t="shared" si="64"/>
        <v>0</v>
      </c>
      <c r="Z20" s="209">
        <f t="shared" si="64"/>
        <v>0</v>
      </c>
      <c r="AA20" s="209">
        <f t="shared" si="64"/>
        <v>0</v>
      </c>
      <c r="AB20" s="209">
        <f t="shared" si="64"/>
        <v>0</v>
      </c>
      <c r="AC20" s="209">
        <f t="shared" si="64"/>
        <v>0</v>
      </c>
      <c r="AD20" s="209">
        <f t="shared" si="64"/>
        <v>0</v>
      </c>
      <c r="AE20" s="209">
        <f t="shared" si="64"/>
        <v>0</v>
      </c>
      <c r="AF20" s="209">
        <f t="shared" si="64"/>
        <v>0</v>
      </c>
      <c r="AG20" s="209">
        <f t="shared" si="64"/>
        <v>0</v>
      </c>
      <c r="AH20" s="209">
        <f t="shared" si="64"/>
        <v>0</v>
      </c>
      <c r="AI20" s="58">
        <f t="shared" si="56"/>
        <v>0</v>
      </c>
      <c r="AJ20" s="209">
        <f t="shared" si="56"/>
        <v>0</v>
      </c>
      <c r="AK20" s="209">
        <f t="shared" si="56"/>
        <v>0</v>
      </c>
      <c r="AL20" s="209">
        <f t="shared" si="56"/>
        <v>0</v>
      </c>
      <c r="AM20" s="209">
        <f t="shared" si="56"/>
        <v>0</v>
      </c>
      <c r="AN20" s="209">
        <f t="shared" si="56"/>
        <v>0</v>
      </c>
      <c r="AO20" s="209">
        <f t="shared" si="56"/>
        <v>0</v>
      </c>
      <c r="AP20" s="209">
        <f t="shared" si="56"/>
        <v>0</v>
      </c>
      <c r="AQ20" s="209">
        <f t="shared" si="56"/>
        <v>0</v>
      </c>
      <c r="AR20" s="53">
        <f t="shared" si="56"/>
        <v>0</v>
      </c>
      <c r="AS20" s="65">
        <f t="shared" si="44"/>
        <v>0</v>
      </c>
      <c r="AT20" s="210">
        <f t="shared" si="44"/>
        <v>0</v>
      </c>
      <c r="AU20" s="210">
        <f t="shared" si="44"/>
        <v>0</v>
      </c>
      <c r="AV20" s="210">
        <f t="shared" si="44"/>
        <v>0</v>
      </c>
      <c r="AW20" s="210">
        <f t="shared" si="44"/>
        <v>0</v>
      </c>
      <c r="AX20" s="210">
        <f t="shared" si="44"/>
        <v>0</v>
      </c>
      <c r="AY20" s="210">
        <f t="shared" si="44"/>
        <v>0</v>
      </c>
      <c r="AZ20" s="210">
        <f t="shared" si="44"/>
        <v>0</v>
      </c>
      <c r="BA20" s="210">
        <f t="shared" si="44"/>
        <v>0</v>
      </c>
      <c r="BB20" s="53">
        <f t="shared" si="44"/>
        <v>0</v>
      </c>
      <c r="BC20" s="58">
        <f t="shared" si="45"/>
        <v>0</v>
      </c>
      <c r="BD20" s="209">
        <f t="shared" si="45"/>
        <v>0</v>
      </c>
      <c r="BE20" s="209">
        <f t="shared" si="45"/>
        <v>0</v>
      </c>
      <c r="BF20" s="209">
        <f t="shared" si="45"/>
        <v>0</v>
      </c>
      <c r="BG20" s="209">
        <f t="shared" si="45"/>
        <v>0</v>
      </c>
      <c r="BH20" s="209">
        <f t="shared" si="45"/>
        <v>0</v>
      </c>
      <c r="BI20" s="209">
        <f t="shared" si="45"/>
        <v>0</v>
      </c>
      <c r="BJ20" s="209">
        <f t="shared" si="45"/>
        <v>0</v>
      </c>
      <c r="BK20" s="209">
        <f t="shared" si="45"/>
        <v>0</v>
      </c>
      <c r="BL20" s="209">
        <f t="shared" si="45"/>
        <v>0</v>
      </c>
      <c r="BM20" s="58">
        <f t="shared" si="57"/>
        <v>0</v>
      </c>
      <c r="BN20" s="209">
        <f t="shared" si="57"/>
        <v>0</v>
      </c>
      <c r="BO20" s="209">
        <f t="shared" si="57"/>
        <v>0</v>
      </c>
      <c r="BP20" s="209">
        <f t="shared" si="57"/>
        <v>0</v>
      </c>
      <c r="BQ20" s="209">
        <f t="shared" si="57"/>
        <v>0</v>
      </c>
      <c r="BR20" s="209">
        <f t="shared" si="57"/>
        <v>0</v>
      </c>
      <c r="BS20" s="209">
        <f t="shared" si="57"/>
        <v>0</v>
      </c>
      <c r="BT20" s="209">
        <f t="shared" si="57"/>
        <v>0</v>
      </c>
      <c r="BU20" s="209">
        <f t="shared" si="57"/>
        <v>0</v>
      </c>
      <c r="BV20" s="209">
        <f t="shared" si="57"/>
        <v>0</v>
      </c>
      <c r="BW20" s="65">
        <f t="shared" si="50"/>
        <v>0</v>
      </c>
      <c r="BX20" s="209">
        <f t="shared" si="50"/>
        <v>0</v>
      </c>
      <c r="BY20" s="209">
        <f t="shared" si="58"/>
        <v>0</v>
      </c>
      <c r="BZ20" s="209">
        <f t="shared" si="51"/>
        <v>0</v>
      </c>
      <c r="CA20" s="209">
        <f t="shared" si="51"/>
        <v>0</v>
      </c>
      <c r="CB20" s="209">
        <f t="shared" si="51"/>
        <v>0</v>
      </c>
      <c r="CC20" s="209">
        <f t="shared" si="51"/>
        <v>0</v>
      </c>
      <c r="CD20" s="209">
        <f t="shared" si="51"/>
        <v>0</v>
      </c>
      <c r="CE20" s="209">
        <f t="shared" si="59"/>
        <v>0</v>
      </c>
      <c r="CF20" s="209">
        <f t="shared" si="52"/>
        <v>0</v>
      </c>
      <c r="CG20" s="65">
        <f t="shared" si="53"/>
        <v>0</v>
      </c>
      <c r="CH20" s="209">
        <f t="shared" si="53"/>
        <v>0</v>
      </c>
      <c r="CI20" s="209">
        <f t="shared" si="53"/>
        <v>0</v>
      </c>
      <c r="CJ20" s="209">
        <f t="shared" si="53"/>
        <v>0</v>
      </c>
      <c r="CK20" s="209">
        <f t="shared" si="53"/>
        <v>0</v>
      </c>
      <c r="CL20" s="209">
        <f t="shared" si="53"/>
        <v>0</v>
      </c>
      <c r="CM20" s="209">
        <f t="shared" si="53"/>
        <v>0</v>
      </c>
      <c r="CN20" s="209">
        <f t="shared" si="53"/>
        <v>0</v>
      </c>
      <c r="CO20" s="209">
        <f t="shared" si="53"/>
        <v>0</v>
      </c>
      <c r="CP20" s="209">
        <f t="shared" si="53"/>
        <v>0</v>
      </c>
      <c r="CQ20" s="65">
        <f t="shared" si="68"/>
        <v>0</v>
      </c>
      <c r="CR20" s="210">
        <f t="shared" si="68"/>
        <v>0</v>
      </c>
      <c r="CS20" s="210">
        <f t="shared" si="68"/>
        <v>0</v>
      </c>
      <c r="CT20" s="210">
        <f t="shared" si="68"/>
        <v>0</v>
      </c>
      <c r="CU20" s="210">
        <f t="shared" si="68"/>
        <v>0</v>
      </c>
      <c r="CV20" s="210">
        <f t="shared" si="34"/>
        <v>0</v>
      </c>
      <c r="CW20" s="210">
        <f t="shared" si="34"/>
        <v>0</v>
      </c>
      <c r="CX20" s="65">
        <f t="shared" si="35"/>
        <v>0</v>
      </c>
      <c r="CY20" s="210">
        <f t="shared" si="36"/>
        <v>0</v>
      </c>
      <c r="CZ20" s="210">
        <f t="shared" si="36"/>
        <v>0</v>
      </c>
      <c r="DA20" s="210">
        <f t="shared" si="36"/>
        <v>0</v>
      </c>
      <c r="DB20" s="210">
        <f t="shared" si="36"/>
        <v>0</v>
      </c>
      <c r="DC20" s="210">
        <f t="shared" si="37"/>
        <v>0</v>
      </c>
      <c r="DD20" s="210">
        <f t="shared" si="37"/>
        <v>0</v>
      </c>
      <c r="DE20" s="61">
        <f t="shared" si="69"/>
        <v>0</v>
      </c>
      <c r="DF20" s="210">
        <f t="shared" si="69"/>
        <v>0</v>
      </c>
      <c r="DG20" s="210">
        <f t="shared" si="69"/>
        <v>0</v>
      </c>
      <c r="DH20" s="210">
        <f t="shared" si="69"/>
        <v>0</v>
      </c>
      <c r="DI20" s="210">
        <f t="shared" si="69"/>
        <v>0</v>
      </c>
      <c r="DJ20" s="210">
        <f t="shared" si="39"/>
        <v>0</v>
      </c>
      <c r="DK20" s="210">
        <f t="shared" si="39"/>
        <v>0</v>
      </c>
      <c r="DL20" s="65">
        <f t="shared" si="65"/>
        <v>0</v>
      </c>
      <c r="DM20" s="210">
        <f t="shared" si="65"/>
        <v>0</v>
      </c>
      <c r="DN20" s="210">
        <f t="shared" si="65"/>
        <v>0</v>
      </c>
      <c r="DO20" s="210">
        <f t="shared" si="65"/>
        <v>0</v>
      </c>
      <c r="DP20" s="210">
        <f t="shared" si="65"/>
        <v>0</v>
      </c>
      <c r="DQ20" s="210">
        <f t="shared" si="14"/>
        <v>0</v>
      </c>
      <c r="DR20" s="210">
        <f t="shared" si="14"/>
        <v>0</v>
      </c>
      <c r="DS20" s="210">
        <f t="shared" si="14"/>
        <v>0</v>
      </c>
      <c r="DT20" s="201"/>
    </row>
    <row r="21" spans="1:124" ht="26.25" hidden="1" customHeight="1" outlineLevel="1" collapsed="1" x14ac:dyDescent="0.4">
      <c r="A21" s="347">
        <v>8</v>
      </c>
      <c r="B21" s="347" t="s">
        <v>47</v>
      </c>
      <c r="C21" s="347" t="s">
        <v>14</v>
      </c>
      <c r="D21" s="349" t="s">
        <v>440</v>
      </c>
      <c r="E21" s="349" t="s">
        <v>437</v>
      </c>
      <c r="F21" s="349"/>
      <c r="G21" s="563" t="s">
        <v>441</v>
      </c>
      <c r="H21" s="449">
        <f t="shared" ref="H21" si="70">SUM(CG21:CP21)</f>
        <v>0</v>
      </c>
      <c r="I21" s="449">
        <f t="shared" ref="I21" si="71">SUM(CG22:CP22)</f>
        <v>0</v>
      </c>
      <c r="J21" s="447"/>
      <c r="K21" s="445"/>
      <c r="L21" s="445"/>
      <c r="M21" s="428"/>
      <c r="N21" s="52" t="s">
        <v>24</v>
      </c>
      <c r="O21" s="190">
        <f t="shared" ref="O21:O30" si="72">(0)/120</f>
        <v>0</v>
      </c>
      <c r="P21" s="190">
        <f>(35)/120</f>
        <v>0.29166666666666669</v>
      </c>
      <c r="Q21" s="190">
        <f t="shared" ref="Q21:R21" si="73">(35)/120</f>
        <v>0.29166666666666669</v>
      </c>
      <c r="R21" s="190">
        <f t="shared" si="73"/>
        <v>0.29166666666666669</v>
      </c>
      <c r="S21" s="190">
        <f t="shared" ref="Q21:X30" si="74">(0)/120</f>
        <v>0</v>
      </c>
      <c r="T21" s="190">
        <f t="shared" ref="T21:V21" si="75">(35)/120</f>
        <v>0.29166666666666669</v>
      </c>
      <c r="U21" s="190">
        <f t="shared" si="75"/>
        <v>0.29166666666666669</v>
      </c>
      <c r="V21" s="190">
        <f t="shared" si="75"/>
        <v>0.29166666666666669</v>
      </c>
      <c r="W21" s="190">
        <f t="shared" si="74"/>
        <v>0</v>
      </c>
      <c r="X21" s="86">
        <f t="shared" si="74"/>
        <v>0</v>
      </c>
      <c r="Y21" s="190">
        <f t="shared" si="64"/>
        <v>0</v>
      </c>
      <c r="Z21" s="190">
        <f>(30)/157.5</f>
        <v>0.19047619047619047</v>
      </c>
      <c r="AA21" s="190">
        <f t="shared" si="64"/>
        <v>0</v>
      </c>
      <c r="AB21" s="190">
        <f>(60)/157.5</f>
        <v>0.38095238095238093</v>
      </c>
      <c r="AC21" s="190">
        <f t="shared" si="64"/>
        <v>0</v>
      </c>
      <c r="AD21" s="190">
        <f>(60)/157.5</f>
        <v>0.38095238095238093</v>
      </c>
      <c r="AE21" s="190">
        <f t="shared" si="64"/>
        <v>0</v>
      </c>
      <c r="AF21" s="190">
        <f>(60)/157.5</f>
        <v>0.38095238095238093</v>
      </c>
      <c r="AG21" s="190">
        <f t="shared" si="64"/>
        <v>0</v>
      </c>
      <c r="AH21" s="190">
        <f>(60)/157.5</f>
        <v>0.38095238095238093</v>
      </c>
      <c r="AI21" s="77">
        <f t="shared" si="1"/>
        <v>0</v>
      </c>
      <c r="AJ21" s="190">
        <f t="shared" si="1"/>
        <v>0</v>
      </c>
      <c r="AK21" s="190">
        <f t="shared" si="1"/>
        <v>0</v>
      </c>
      <c r="AL21" s="190">
        <f t="shared" si="1"/>
        <v>0</v>
      </c>
      <c r="AM21" s="190">
        <f t="shared" si="1"/>
        <v>0</v>
      </c>
      <c r="AN21" s="190">
        <f t="shared" si="1"/>
        <v>0</v>
      </c>
      <c r="AO21" s="190">
        <f t="shared" si="56"/>
        <v>0</v>
      </c>
      <c r="AP21" s="190">
        <f t="shared" si="56"/>
        <v>0</v>
      </c>
      <c r="AQ21" s="190">
        <f t="shared" si="56"/>
        <v>0</v>
      </c>
      <c r="AR21" s="225">
        <f t="shared" si="56"/>
        <v>0</v>
      </c>
      <c r="AS21" s="23">
        <f t="shared" si="44"/>
        <v>0</v>
      </c>
      <c r="AT21" s="190">
        <f t="shared" si="44"/>
        <v>0</v>
      </c>
      <c r="AU21" s="190">
        <f t="shared" si="44"/>
        <v>0</v>
      </c>
      <c r="AV21" s="190">
        <f t="shared" si="44"/>
        <v>0</v>
      </c>
      <c r="AW21" s="190">
        <f t="shared" si="44"/>
        <v>0</v>
      </c>
      <c r="AX21" s="190">
        <f t="shared" si="44"/>
        <v>0</v>
      </c>
      <c r="AY21" s="190">
        <f t="shared" si="44"/>
        <v>0</v>
      </c>
      <c r="AZ21" s="190">
        <f t="shared" si="44"/>
        <v>0</v>
      </c>
      <c r="BA21" s="190">
        <f t="shared" si="44"/>
        <v>0</v>
      </c>
      <c r="BB21" s="225">
        <f t="shared" si="44"/>
        <v>0</v>
      </c>
      <c r="BC21" s="77">
        <f t="shared" si="45"/>
        <v>0</v>
      </c>
      <c r="BD21" s="190">
        <f t="shared" si="45"/>
        <v>0</v>
      </c>
      <c r="BE21" s="190">
        <f t="shared" si="45"/>
        <v>0</v>
      </c>
      <c r="BF21" s="190">
        <f t="shared" si="45"/>
        <v>0</v>
      </c>
      <c r="BG21" s="190">
        <f t="shared" si="45"/>
        <v>0</v>
      </c>
      <c r="BH21" s="190">
        <f t="shared" si="45"/>
        <v>0</v>
      </c>
      <c r="BI21" s="190">
        <f t="shared" si="45"/>
        <v>0</v>
      </c>
      <c r="BJ21" s="190">
        <f t="shared" si="45"/>
        <v>0</v>
      </c>
      <c r="BK21" s="190">
        <f t="shared" si="45"/>
        <v>0</v>
      </c>
      <c r="BL21" s="190">
        <f t="shared" si="45"/>
        <v>0</v>
      </c>
      <c r="BM21" s="77">
        <f t="shared" si="57"/>
        <v>0</v>
      </c>
      <c r="BN21" s="190">
        <f t="shared" si="57"/>
        <v>0</v>
      </c>
      <c r="BO21" s="190">
        <f t="shared" si="57"/>
        <v>0</v>
      </c>
      <c r="BP21" s="190">
        <f t="shared" si="57"/>
        <v>0</v>
      </c>
      <c r="BQ21" s="190">
        <f t="shared" si="57"/>
        <v>0</v>
      </c>
      <c r="BR21" s="190">
        <f t="shared" si="57"/>
        <v>0</v>
      </c>
      <c r="BS21" s="190">
        <f t="shared" si="57"/>
        <v>0</v>
      </c>
      <c r="BT21" s="190">
        <f t="shared" si="57"/>
        <v>0</v>
      </c>
      <c r="BU21" s="190">
        <f t="shared" si="57"/>
        <v>0</v>
      </c>
      <c r="BV21" s="190">
        <f t="shared" si="57"/>
        <v>0</v>
      </c>
      <c r="BW21" s="23">
        <f t="shared" si="50"/>
        <v>0</v>
      </c>
      <c r="BX21" s="190">
        <f t="shared" si="50"/>
        <v>0</v>
      </c>
      <c r="BY21" s="190">
        <f t="shared" si="58"/>
        <v>0</v>
      </c>
      <c r="BZ21" s="190">
        <f t="shared" ref="BZ21:CD30" si="76">(0)/150</f>
        <v>0</v>
      </c>
      <c r="CA21" s="190">
        <f t="shared" si="76"/>
        <v>0</v>
      </c>
      <c r="CB21" s="190">
        <f t="shared" si="76"/>
        <v>0</v>
      </c>
      <c r="CC21" s="190">
        <f t="shared" si="76"/>
        <v>0</v>
      </c>
      <c r="CD21" s="190">
        <f t="shared" si="76"/>
        <v>0</v>
      </c>
      <c r="CE21" s="190">
        <f t="shared" si="59"/>
        <v>0</v>
      </c>
      <c r="CF21" s="190">
        <f t="shared" si="52"/>
        <v>0</v>
      </c>
      <c r="CG21" s="23">
        <f t="shared" ref="CG21:CP30" si="77">(0)/135</f>
        <v>0</v>
      </c>
      <c r="CH21" s="190">
        <f t="shared" si="77"/>
        <v>0</v>
      </c>
      <c r="CI21" s="190">
        <f t="shared" si="77"/>
        <v>0</v>
      </c>
      <c r="CJ21" s="190">
        <f t="shared" si="77"/>
        <v>0</v>
      </c>
      <c r="CK21" s="190">
        <f t="shared" si="77"/>
        <v>0</v>
      </c>
      <c r="CL21" s="190">
        <f t="shared" si="77"/>
        <v>0</v>
      </c>
      <c r="CM21" s="190">
        <f t="shared" si="77"/>
        <v>0</v>
      </c>
      <c r="CN21" s="190">
        <f t="shared" si="77"/>
        <v>0</v>
      </c>
      <c r="CO21" s="190">
        <f t="shared" si="77"/>
        <v>0</v>
      </c>
      <c r="CP21" s="190">
        <f t="shared" si="77"/>
        <v>0</v>
      </c>
      <c r="CQ21" s="23">
        <f t="shared" si="68"/>
        <v>0</v>
      </c>
      <c r="CR21" s="190">
        <f t="shared" si="68"/>
        <v>0</v>
      </c>
      <c r="CS21" s="190">
        <f t="shared" si="68"/>
        <v>0</v>
      </c>
      <c r="CT21" s="190">
        <f t="shared" si="68"/>
        <v>0</v>
      </c>
      <c r="CU21" s="190">
        <f t="shared" si="68"/>
        <v>0</v>
      </c>
      <c r="CV21" s="190">
        <f t="shared" si="34"/>
        <v>0</v>
      </c>
      <c r="CW21" s="190">
        <f t="shared" si="34"/>
        <v>0</v>
      </c>
      <c r="CX21" s="77">
        <f t="shared" si="35"/>
        <v>0</v>
      </c>
      <c r="CY21" s="190">
        <f t="shared" si="36"/>
        <v>0</v>
      </c>
      <c r="CZ21" s="190">
        <f t="shared" si="36"/>
        <v>0</v>
      </c>
      <c r="DA21" s="190">
        <f t="shared" si="36"/>
        <v>0</v>
      </c>
      <c r="DB21" s="190">
        <f t="shared" si="36"/>
        <v>0</v>
      </c>
      <c r="DC21" s="190">
        <f t="shared" si="37"/>
        <v>0</v>
      </c>
      <c r="DD21" s="190">
        <f t="shared" si="37"/>
        <v>0</v>
      </c>
      <c r="DE21" s="59">
        <f t="shared" si="69"/>
        <v>0</v>
      </c>
      <c r="DF21" s="190">
        <f t="shared" si="69"/>
        <v>0</v>
      </c>
      <c r="DG21" s="190">
        <f t="shared" si="69"/>
        <v>0</v>
      </c>
      <c r="DH21" s="190">
        <f t="shared" si="69"/>
        <v>0</v>
      </c>
      <c r="DI21" s="190">
        <f t="shared" si="69"/>
        <v>0</v>
      </c>
      <c r="DJ21" s="190">
        <f t="shared" si="39"/>
        <v>0</v>
      </c>
      <c r="DK21" s="190">
        <f t="shared" si="39"/>
        <v>0</v>
      </c>
      <c r="DL21" s="23">
        <f t="shared" si="65"/>
        <v>0</v>
      </c>
      <c r="DM21" s="190">
        <f t="shared" si="65"/>
        <v>0</v>
      </c>
      <c r="DN21" s="190">
        <f t="shared" si="65"/>
        <v>0</v>
      </c>
      <c r="DO21" s="190">
        <f t="shared" si="65"/>
        <v>0</v>
      </c>
      <c r="DP21" s="190">
        <f t="shared" si="65"/>
        <v>0</v>
      </c>
      <c r="DQ21" s="190">
        <f t="shared" si="14"/>
        <v>0</v>
      </c>
      <c r="DR21" s="190">
        <f t="shared" si="14"/>
        <v>0</v>
      </c>
      <c r="DS21" s="190">
        <f t="shared" si="14"/>
        <v>0</v>
      </c>
      <c r="DT21" s="201"/>
    </row>
    <row r="22" spans="1:124" ht="26.25" hidden="1" customHeight="1" outlineLevel="1" x14ac:dyDescent="0.4">
      <c r="A22" s="348"/>
      <c r="B22" s="348"/>
      <c r="C22" s="348"/>
      <c r="D22" s="350"/>
      <c r="E22" s="350"/>
      <c r="F22" s="350"/>
      <c r="G22" s="565"/>
      <c r="H22" s="450"/>
      <c r="I22" s="450"/>
      <c r="J22" s="448"/>
      <c r="K22" s="446"/>
      <c r="L22" s="446"/>
      <c r="M22" s="429"/>
      <c r="N22" s="43" t="s">
        <v>25</v>
      </c>
      <c r="O22" s="209">
        <f t="shared" si="72"/>
        <v>0</v>
      </c>
      <c r="P22" s="209">
        <f>(0+6+7)/120</f>
        <v>0.10833333333333334</v>
      </c>
      <c r="Q22" s="209">
        <f>(0+20.5+7+6.5)/120</f>
        <v>0.28333333333333333</v>
      </c>
      <c r="R22" s="209">
        <f>(0+22+9.5+6+26)/120</f>
        <v>0.52916666666666667</v>
      </c>
      <c r="S22" s="209">
        <f t="shared" si="74"/>
        <v>0</v>
      </c>
      <c r="T22" s="209">
        <f>(0+9+10.5+12+33.5)/120</f>
        <v>0.54166666666666663</v>
      </c>
      <c r="U22" s="209">
        <f>(0+9)/120</f>
        <v>7.4999999999999997E-2</v>
      </c>
      <c r="V22" s="209">
        <f>(0+3+2)/120</f>
        <v>4.1666666666666664E-2</v>
      </c>
      <c r="W22" s="209">
        <f t="shared" si="74"/>
        <v>0</v>
      </c>
      <c r="X22" s="53">
        <f>(19.5)/120</f>
        <v>0.16250000000000001</v>
      </c>
      <c r="Y22" s="209">
        <f>(0+2+2)/157.5</f>
        <v>2.5396825396825397E-2</v>
      </c>
      <c r="Z22" s="209">
        <f>(9.5+4+10.5+2)/157.5</f>
        <v>0.16507936507936508</v>
      </c>
      <c r="AA22" s="209">
        <f t="shared" si="64"/>
        <v>0</v>
      </c>
      <c r="AB22" s="209">
        <f>(17.5+26.5+23.5+4.5)/157.5</f>
        <v>0.45714285714285713</v>
      </c>
      <c r="AC22" s="209">
        <f t="shared" si="64"/>
        <v>0</v>
      </c>
      <c r="AD22" s="209">
        <f>(28+32.5+19)/157.5</f>
        <v>0.50476190476190474</v>
      </c>
      <c r="AE22" s="209">
        <f t="shared" si="64"/>
        <v>0</v>
      </c>
      <c r="AF22" s="209">
        <f>(6+1)/157.5</f>
        <v>4.4444444444444446E-2</v>
      </c>
      <c r="AG22" s="209">
        <f t="shared" si="64"/>
        <v>0</v>
      </c>
      <c r="AH22" s="209">
        <f>(22+24.5+24.5+5.5)/157.5</f>
        <v>0.48571428571428571</v>
      </c>
      <c r="AI22" s="58">
        <f t="shared" si="56"/>
        <v>0</v>
      </c>
      <c r="AJ22" s="209">
        <f t="shared" si="56"/>
        <v>0</v>
      </c>
      <c r="AK22" s="209">
        <f t="shared" si="56"/>
        <v>0</v>
      </c>
      <c r="AL22" s="209">
        <f t="shared" si="56"/>
        <v>0</v>
      </c>
      <c r="AM22" s="209">
        <f t="shared" si="56"/>
        <v>0</v>
      </c>
      <c r="AN22" s="209">
        <f t="shared" si="56"/>
        <v>0</v>
      </c>
      <c r="AO22" s="209">
        <f t="shared" si="56"/>
        <v>0</v>
      </c>
      <c r="AP22" s="209">
        <f t="shared" si="56"/>
        <v>0</v>
      </c>
      <c r="AQ22" s="209">
        <f t="shared" si="56"/>
        <v>0</v>
      </c>
      <c r="AR22" s="53">
        <f t="shared" si="56"/>
        <v>0</v>
      </c>
      <c r="AS22" s="65">
        <f t="shared" si="44"/>
        <v>0</v>
      </c>
      <c r="AT22" s="210">
        <f t="shared" si="44"/>
        <v>0</v>
      </c>
      <c r="AU22" s="210">
        <f t="shared" si="44"/>
        <v>0</v>
      </c>
      <c r="AV22" s="210">
        <f t="shared" si="44"/>
        <v>0</v>
      </c>
      <c r="AW22" s="210">
        <f t="shared" si="44"/>
        <v>0</v>
      </c>
      <c r="AX22" s="210">
        <f t="shared" si="44"/>
        <v>0</v>
      </c>
      <c r="AY22" s="210">
        <f t="shared" si="44"/>
        <v>0</v>
      </c>
      <c r="AZ22" s="210">
        <f t="shared" si="44"/>
        <v>0</v>
      </c>
      <c r="BA22" s="210">
        <f t="shared" si="44"/>
        <v>0</v>
      </c>
      <c r="BB22" s="53">
        <f t="shared" si="44"/>
        <v>0</v>
      </c>
      <c r="BC22" s="58">
        <f t="shared" si="45"/>
        <v>0</v>
      </c>
      <c r="BD22" s="209">
        <f t="shared" si="45"/>
        <v>0</v>
      </c>
      <c r="BE22" s="209">
        <f t="shared" si="45"/>
        <v>0</v>
      </c>
      <c r="BF22" s="209">
        <f t="shared" si="45"/>
        <v>0</v>
      </c>
      <c r="BG22" s="209">
        <f t="shared" si="45"/>
        <v>0</v>
      </c>
      <c r="BH22" s="209">
        <f t="shared" si="45"/>
        <v>0</v>
      </c>
      <c r="BI22" s="209">
        <f t="shared" si="45"/>
        <v>0</v>
      </c>
      <c r="BJ22" s="209">
        <f t="shared" si="45"/>
        <v>0</v>
      </c>
      <c r="BK22" s="209">
        <f t="shared" si="45"/>
        <v>0</v>
      </c>
      <c r="BL22" s="209">
        <f t="shared" si="45"/>
        <v>0</v>
      </c>
      <c r="BM22" s="58">
        <f t="shared" si="57"/>
        <v>0</v>
      </c>
      <c r="BN22" s="209">
        <f t="shared" si="57"/>
        <v>0</v>
      </c>
      <c r="BO22" s="209">
        <f t="shared" si="57"/>
        <v>0</v>
      </c>
      <c r="BP22" s="209">
        <f t="shared" si="57"/>
        <v>0</v>
      </c>
      <c r="BQ22" s="209">
        <f t="shared" si="57"/>
        <v>0</v>
      </c>
      <c r="BR22" s="209">
        <f t="shared" si="57"/>
        <v>0</v>
      </c>
      <c r="BS22" s="209">
        <f t="shared" si="57"/>
        <v>0</v>
      </c>
      <c r="BT22" s="209">
        <f t="shared" si="57"/>
        <v>0</v>
      </c>
      <c r="BU22" s="209">
        <f t="shared" si="57"/>
        <v>0</v>
      </c>
      <c r="BV22" s="209">
        <f t="shared" si="57"/>
        <v>0</v>
      </c>
      <c r="BW22" s="65">
        <f t="shared" si="50"/>
        <v>0</v>
      </c>
      <c r="BX22" s="209">
        <f t="shared" si="50"/>
        <v>0</v>
      </c>
      <c r="BY22" s="209">
        <f t="shared" si="58"/>
        <v>0</v>
      </c>
      <c r="BZ22" s="209">
        <f t="shared" si="76"/>
        <v>0</v>
      </c>
      <c r="CA22" s="209">
        <f t="shared" si="76"/>
        <v>0</v>
      </c>
      <c r="CB22" s="209">
        <f t="shared" si="76"/>
        <v>0</v>
      </c>
      <c r="CC22" s="209">
        <f t="shared" si="76"/>
        <v>0</v>
      </c>
      <c r="CD22" s="209">
        <f t="shared" si="76"/>
        <v>0</v>
      </c>
      <c r="CE22" s="209">
        <f t="shared" si="59"/>
        <v>0</v>
      </c>
      <c r="CF22" s="209">
        <f t="shared" si="52"/>
        <v>0</v>
      </c>
      <c r="CG22" s="65">
        <f t="shared" si="77"/>
        <v>0</v>
      </c>
      <c r="CH22" s="209">
        <f t="shared" si="77"/>
        <v>0</v>
      </c>
      <c r="CI22" s="209">
        <f t="shared" si="77"/>
        <v>0</v>
      </c>
      <c r="CJ22" s="209">
        <f t="shared" si="77"/>
        <v>0</v>
      </c>
      <c r="CK22" s="209">
        <f t="shared" si="77"/>
        <v>0</v>
      </c>
      <c r="CL22" s="209">
        <f t="shared" si="77"/>
        <v>0</v>
      </c>
      <c r="CM22" s="209">
        <f t="shared" si="77"/>
        <v>0</v>
      </c>
      <c r="CN22" s="209">
        <f t="shared" si="77"/>
        <v>0</v>
      </c>
      <c r="CO22" s="209">
        <f t="shared" si="77"/>
        <v>0</v>
      </c>
      <c r="CP22" s="209">
        <f t="shared" si="77"/>
        <v>0</v>
      </c>
      <c r="CQ22" s="65">
        <f t="shared" si="68"/>
        <v>0</v>
      </c>
      <c r="CR22" s="210">
        <f t="shared" si="68"/>
        <v>0</v>
      </c>
      <c r="CS22" s="210">
        <f t="shared" si="68"/>
        <v>0</v>
      </c>
      <c r="CT22" s="210">
        <f t="shared" si="68"/>
        <v>0</v>
      </c>
      <c r="CU22" s="210">
        <f t="shared" si="68"/>
        <v>0</v>
      </c>
      <c r="CV22" s="210">
        <f t="shared" si="34"/>
        <v>0</v>
      </c>
      <c r="CW22" s="210">
        <f t="shared" si="34"/>
        <v>0</v>
      </c>
      <c r="CX22" s="65">
        <f t="shared" si="35"/>
        <v>0</v>
      </c>
      <c r="CY22" s="210">
        <f t="shared" si="36"/>
        <v>0</v>
      </c>
      <c r="CZ22" s="210">
        <f t="shared" si="36"/>
        <v>0</v>
      </c>
      <c r="DA22" s="210">
        <f t="shared" si="36"/>
        <v>0</v>
      </c>
      <c r="DB22" s="210">
        <f t="shared" si="36"/>
        <v>0</v>
      </c>
      <c r="DC22" s="210">
        <f t="shared" si="37"/>
        <v>0</v>
      </c>
      <c r="DD22" s="210">
        <f t="shared" si="37"/>
        <v>0</v>
      </c>
      <c r="DE22" s="61">
        <f t="shared" si="69"/>
        <v>0</v>
      </c>
      <c r="DF22" s="210">
        <f t="shared" si="69"/>
        <v>0</v>
      </c>
      <c r="DG22" s="210">
        <f t="shared" si="69"/>
        <v>0</v>
      </c>
      <c r="DH22" s="210">
        <f t="shared" si="69"/>
        <v>0</v>
      </c>
      <c r="DI22" s="210">
        <f t="shared" si="69"/>
        <v>0</v>
      </c>
      <c r="DJ22" s="210">
        <f t="shared" si="39"/>
        <v>0</v>
      </c>
      <c r="DK22" s="210">
        <f t="shared" si="39"/>
        <v>0</v>
      </c>
      <c r="DL22" s="65">
        <f t="shared" si="65"/>
        <v>0</v>
      </c>
      <c r="DM22" s="210">
        <f t="shared" si="65"/>
        <v>0</v>
      </c>
      <c r="DN22" s="210">
        <f t="shared" si="65"/>
        <v>0</v>
      </c>
      <c r="DO22" s="210">
        <f t="shared" si="65"/>
        <v>0</v>
      </c>
      <c r="DP22" s="210">
        <f t="shared" si="65"/>
        <v>0</v>
      </c>
      <c r="DQ22" s="210">
        <f t="shared" si="14"/>
        <v>0</v>
      </c>
      <c r="DR22" s="210">
        <f t="shared" si="14"/>
        <v>0</v>
      </c>
      <c r="DS22" s="210">
        <f t="shared" si="14"/>
        <v>0</v>
      </c>
      <c r="DT22" s="201"/>
    </row>
    <row r="23" spans="1:124" ht="26.25" hidden="1" customHeight="1" outlineLevel="1" x14ac:dyDescent="0.4">
      <c r="A23" s="347">
        <v>9</v>
      </c>
      <c r="B23" s="347" t="s">
        <v>47</v>
      </c>
      <c r="C23" s="347" t="s">
        <v>14</v>
      </c>
      <c r="D23" s="349" t="s">
        <v>440</v>
      </c>
      <c r="E23" s="349" t="s">
        <v>438</v>
      </c>
      <c r="F23" s="349"/>
      <c r="G23" s="610" t="s">
        <v>442</v>
      </c>
      <c r="H23" s="449">
        <f t="shared" ref="H23" si="78">SUM(CG23:CP23)</f>
        <v>0</v>
      </c>
      <c r="I23" s="449">
        <f t="shared" ref="I23" si="79">SUM(CG24:CP24)</f>
        <v>0</v>
      </c>
      <c r="J23" s="447"/>
      <c r="K23" s="445"/>
      <c r="L23" s="445"/>
      <c r="M23" s="428"/>
      <c r="N23" s="52" t="s">
        <v>24</v>
      </c>
      <c r="O23" s="190">
        <f t="shared" si="72"/>
        <v>0</v>
      </c>
      <c r="P23" s="190">
        <f>(27.5)/120</f>
        <v>0.22916666666666666</v>
      </c>
      <c r="Q23" s="190">
        <f t="shared" si="74"/>
        <v>0</v>
      </c>
      <c r="R23" s="190">
        <f t="shared" si="74"/>
        <v>0</v>
      </c>
      <c r="S23" s="190">
        <f>(27.5)/120</f>
        <v>0.22916666666666666</v>
      </c>
      <c r="T23" s="190">
        <f t="shared" si="74"/>
        <v>0</v>
      </c>
      <c r="U23" s="190">
        <f t="shared" si="74"/>
        <v>0</v>
      </c>
      <c r="V23" s="190">
        <f>(27.5)/120</f>
        <v>0.22916666666666666</v>
      </c>
      <c r="W23" s="190">
        <f>(27.5)/120</f>
        <v>0.22916666666666666</v>
      </c>
      <c r="X23" s="86">
        <f t="shared" si="74"/>
        <v>0</v>
      </c>
      <c r="Y23" s="190">
        <f t="shared" si="64"/>
        <v>0</v>
      </c>
      <c r="Z23" s="190">
        <f>(5)/157.5</f>
        <v>3.1746031746031744E-2</v>
      </c>
      <c r="AA23" s="190">
        <f t="shared" si="64"/>
        <v>0</v>
      </c>
      <c r="AB23" s="190">
        <f t="shared" si="64"/>
        <v>0</v>
      </c>
      <c r="AC23" s="190">
        <f>(5)/157.5</f>
        <v>3.1746031746031744E-2</v>
      </c>
      <c r="AD23" s="190">
        <f t="shared" si="64"/>
        <v>0</v>
      </c>
      <c r="AE23" s="190">
        <f t="shared" si="64"/>
        <v>0</v>
      </c>
      <c r="AF23" s="190">
        <f t="shared" si="64"/>
        <v>0</v>
      </c>
      <c r="AG23" s="190">
        <f>(5)/157.5</f>
        <v>3.1746031746031744E-2</v>
      </c>
      <c r="AH23" s="190">
        <f t="shared" si="64"/>
        <v>0</v>
      </c>
      <c r="AI23" s="77">
        <f t="shared" si="56"/>
        <v>0</v>
      </c>
      <c r="AJ23" s="190">
        <f t="shared" si="56"/>
        <v>0</v>
      </c>
      <c r="AK23" s="190">
        <f t="shared" si="56"/>
        <v>0</v>
      </c>
      <c r="AL23" s="190">
        <f t="shared" si="56"/>
        <v>0</v>
      </c>
      <c r="AM23" s="190">
        <f t="shared" si="56"/>
        <v>0</v>
      </c>
      <c r="AN23" s="190">
        <f t="shared" si="56"/>
        <v>0</v>
      </c>
      <c r="AO23" s="190">
        <f t="shared" si="56"/>
        <v>0</v>
      </c>
      <c r="AP23" s="190">
        <f t="shared" si="56"/>
        <v>0</v>
      </c>
      <c r="AQ23" s="190">
        <f t="shared" si="56"/>
        <v>0</v>
      </c>
      <c r="AR23" s="225">
        <f t="shared" si="56"/>
        <v>0</v>
      </c>
      <c r="AS23" s="23">
        <f t="shared" si="44"/>
        <v>0</v>
      </c>
      <c r="AT23" s="190">
        <f t="shared" si="44"/>
        <v>0</v>
      </c>
      <c r="AU23" s="190">
        <f t="shared" si="44"/>
        <v>0</v>
      </c>
      <c r="AV23" s="190">
        <f t="shared" si="44"/>
        <v>0</v>
      </c>
      <c r="AW23" s="190">
        <f t="shared" si="44"/>
        <v>0</v>
      </c>
      <c r="AX23" s="190">
        <f t="shared" si="44"/>
        <v>0</v>
      </c>
      <c r="AY23" s="190">
        <f t="shared" si="44"/>
        <v>0</v>
      </c>
      <c r="AZ23" s="190">
        <f t="shared" si="44"/>
        <v>0</v>
      </c>
      <c r="BA23" s="190">
        <f t="shared" si="44"/>
        <v>0</v>
      </c>
      <c r="BB23" s="225">
        <f t="shared" si="44"/>
        <v>0</v>
      </c>
      <c r="BC23" s="77">
        <f t="shared" si="45"/>
        <v>0</v>
      </c>
      <c r="BD23" s="190">
        <f t="shared" si="45"/>
        <v>0</v>
      </c>
      <c r="BE23" s="190">
        <f t="shared" si="45"/>
        <v>0</v>
      </c>
      <c r="BF23" s="190">
        <f t="shared" si="45"/>
        <v>0</v>
      </c>
      <c r="BG23" s="190">
        <f t="shared" si="45"/>
        <v>0</v>
      </c>
      <c r="BH23" s="190">
        <f t="shared" si="45"/>
        <v>0</v>
      </c>
      <c r="BI23" s="190">
        <f t="shared" si="45"/>
        <v>0</v>
      </c>
      <c r="BJ23" s="190">
        <f t="shared" si="45"/>
        <v>0</v>
      </c>
      <c r="BK23" s="190">
        <f t="shared" si="45"/>
        <v>0</v>
      </c>
      <c r="BL23" s="190">
        <f t="shared" si="45"/>
        <v>0</v>
      </c>
      <c r="BM23" s="77">
        <f t="shared" si="57"/>
        <v>0</v>
      </c>
      <c r="BN23" s="190">
        <f t="shared" si="57"/>
        <v>0</v>
      </c>
      <c r="BO23" s="190">
        <f t="shared" si="57"/>
        <v>0</v>
      </c>
      <c r="BP23" s="190">
        <f t="shared" si="57"/>
        <v>0</v>
      </c>
      <c r="BQ23" s="190">
        <f t="shared" si="57"/>
        <v>0</v>
      </c>
      <c r="BR23" s="190">
        <f t="shared" si="57"/>
        <v>0</v>
      </c>
      <c r="BS23" s="190">
        <f t="shared" si="57"/>
        <v>0</v>
      </c>
      <c r="BT23" s="190">
        <f t="shared" si="57"/>
        <v>0</v>
      </c>
      <c r="BU23" s="190">
        <f t="shared" si="57"/>
        <v>0</v>
      </c>
      <c r="BV23" s="190">
        <f t="shared" si="57"/>
        <v>0</v>
      </c>
      <c r="BW23" s="23">
        <f t="shared" si="50"/>
        <v>0</v>
      </c>
      <c r="BX23" s="190">
        <f t="shared" si="50"/>
        <v>0</v>
      </c>
      <c r="BY23" s="190">
        <f t="shared" si="58"/>
        <v>0</v>
      </c>
      <c r="BZ23" s="190">
        <f t="shared" si="76"/>
        <v>0</v>
      </c>
      <c r="CA23" s="190">
        <f t="shared" si="76"/>
        <v>0</v>
      </c>
      <c r="CB23" s="190">
        <f t="shared" si="76"/>
        <v>0</v>
      </c>
      <c r="CC23" s="190">
        <f t="shared" si="76"/>
        <v>0</v>
      </c>
      <c r="CD23" s="190">
        <f t="shared" si="76"/>
        <v>0</v>
      </c>
      <c r="CE23" s="190">
        <f t="shared" si="59"/>
        <v>0</v>
      </c>
      <c r="CF23" s="190">
        <f t="shared" si="52"/>
        <v>0</v>
      </c>
      <c r="CG23" s="23">
        <f t="shared" si="77"/>
        <v>0</v>
      </c>
      <c r="CH23" s="190">
        <f t="shared" si="77"/>
        <v>0</v>
      </c>
      <c r="CI23" s="190">
        <f t="shared" si="77"/>
        <v>0</v>
      </c>
      <c r="CJ23" s="190">
        <f t="shared" si="77"/>
        <v>0</v>
      </c>
      <c r="CK23" s="190">
        <f t="shared" si="77"/>
        <v>0</v>
      </c>
      <c r="CL23" s="190">
        <f t="shared" si="77"/>
        <v>0</v>
      </c>
      <c r="CM23" s="190">
        <f t="shared" si="77"/>
        <v>0</v>
      </c>
      <c r="CN23" s="190">
        <f t="shared" si="77"/>
        <v>0</v>
      </c>
      <c r="CO23" s="190">
        <f t="shared" si="77"/>
        <v>0</v>
      </c>
      <c r="CP23" s="190">
        <f t="shared" si="77"/>
        <v>0</v>
      </c>
      <c r="CQ23" s="23">
        <f t="shared" si="68"/>
        <v>0</v>
      </c>
      <c r="CR23" s="190">
        <f t="shared" si="68"/>
        <v>0</v>
      </c>
      <c r="CS23" s="190">
        <f t="shared" si="68"/>
        <v>0</v>
      </c>
      <c r="CT23" s="190">
        <f t="shared" si="68"/>
        <v>0</v>
      </c>
      <c r="CU23" s="190">
        <f t="shared" si="68"/>
        <v>0</v>
      </c>
      <c r="CV23" s="190">
        <f t="shared" ref="CV23:CW48" si="80">0/172.5</f>
        <v>0</v>
      </c>
      <c r="CW23" s="190">
        <f t="shared" si="80"/>
        <v>0</v>
      </c>
      <c r="CX23" s="77">
        <f t="shared" si="35"/>
        <v>0</v>
      </c>
      <c r="CY23" s="190">
        <f t="shared" si="35"/>
        <v>0</v>
      </c>
      <c r="CZ23" s="190">
        <f t="shared" si="35"/>
        <v>0</v>
      </c>
      <c r="DA23" s="190">
        <f t="shared" si="35"/>
        <v>0</v>
      </c>
      <c r="DB23" s="190">
        <f t="shared" si="35"/>
        <v>0</v>
      </c>
      <c r="DC23" s="190">
        <f t="shared" ref="DC23:DD54" si="81">0/172.5</f>
        <v>0</v>
      </c>
      <c r="DD23" s="190">
        <f t="shared" si="81"/>
        <v>0</v>
      </c>
      <c r="DE23" s="59">
        <f t="shared" si="69"/>
        <v>0</v>
      </c>
      <c r="DF23" s="190">
        <f t="shared" si="69"/>
        <v>0</v>
      </c>
      <c r="DG23" s="190">
        <f t="shared" si="69"/>
        <v>0</v>
      </c>
      <c r="DH23" s="190">
        <f t="shared" si="69"/>
        <v>0</v>
      </c>
      <c r="DI23" s="190">
        <f t="shared" si="69"/>
        <v>0</v>
      </c>
      <c r="DJ23" s="190">
        <f t="shared" ref="DJ23:DK54" si="82">0/172.5</f>
        <v>0</v>
      </c>
      <c r="DK23" s="190">
        <f t="shared" si="82"/>
        <v>0</v>
      </c>
      <c r="DL23" s="23">
        <f t="shared" si="65"/>
        <v>0</v>
      </c>
      <c r="DM23" s="190">
        <f t="shared" si="65"/>
        <v>0</v>
      </c>
      <c r="DN23" s="190">
        <f t="shared" si="65"/>
        <v>0</v>
      </c>
      <c r="DO23" s="190">
        <f t="shared" si="65"/>
        <v>0</v>
      </c>
      <c r="DP23" s="190">
        <f t="shared" si="65"/>
        <v>0</v>
      </c>
      <c r="DQ23" s="190">
        <f t="shared" ref="DQ23:DS54" si="83">0/172.5</f>
        <v>0</v>
      </c>
      <c r="DR23" s="190">
        <f t="shared" si="83"/>
        <v>0</v>
      </c>
      <c r="DS23" s="190">
        <f t="shared" si="83"/>
        <v>0</v>
      </c>
      <c r="DT23" s="201"/>
    </row>
    <row r="24" spans="1:124" ht="26.25" hidden="1" customHeight="1" outlineLevel="1" x14ac:dyDescent="0.4">
      <c r="A24" s="348"/>
      <c r="B24" s="348"/>
      <c r="C24" s="348"/>
      <c r="D24" s="350"/>
      <c r="E24" s="350"/>
      <c r="F24" s="350"/>
      <c r="G24" s="610"/>
      <c r="H24" s="450"/>
      <c r="I24" s="450"/>
      <c r="J24" s="448"/>
      <c r="K24" s="446"/>
      <c r="L24" s="446"/>
      <c r="M24" s="429"/>
      <c r="N24" s="43" t="s">
        <v>25</v>
      </c>
      <c r="O24" s="209">
        <f t="shared" si="72"/>
        <v>0</v>
      </c>
      <c r="P24" s="209">
        <f>(12+4.5+7.5+0.5)/120</f>
        <v>0.20416666666666666</v>
      </c>
      <c r="Q24" s="209">
        <f t="shared" si="74"/>
        <v>0</v>
      </c>
      <c r="R24" s="209">
        <f t="shared" si="74"/>
        <v>0</v>
      </c>
      <c r="S24" s="209">
        <f>(7+6+6.5)/120</f>
        <v>0.16250000000000001</v>
      </c>
      <c r="T24" s="209">
        <f t="shared" si="74"/>
        <v>0</v>
      </c>
      <c r="U24" s="209">
        <f t="shared" si="74"/>
        <v>0</v>
      </c>
      <c r="V24" s="209">
        <f>(18+5+2)/120</f>
        <v>0.20833333333333334</v>
      </c>
      <c r="W24" s="209">
        <f>(12+8.5+9+3.5)/120</f>
        <v>0.27500000000000002</v>
      </c>
      <c r="X24" s="53">
        <f t="shared" si="74"/>
        <v>0</v>
      </c>
      <c r="Y24" s="209">
        <f t="shared" si="64"/>
        <v>0</v>
      </c>
      <c r="Z24" s="209">
        <f>(0+1)/157.5</f>
        <v>6.3492063492063492E-3</v>
      </c>
      <c r="AA24" s="209">
        <f t="shared" si="64"/>
        <v>0</v>
      </c>
      <c r="AB24" s="209">
        <f t="shared" si="64"/>
        <v>0</v>
      </c>
      <c r="AC24" s="209">
        <f>(4.5+2.5)/157.5</f>
        <v>4.4444444444444446E-2</v>
      </c>
      <c r="AD24" s="209">
        <f t="shared" si="64"/>
        <v>0</v>
      </c>
      <c r="AE24" s="209">
        <f t="shared" si="64"/>
        <v>0</v>
      </c>
      <c r="AF24" s="209">
        <f t="shared" si="64"/>
        <v>0</v>
      </c>
      <c r="AG24" s="209">
        <f>(2.5+2.5)/157.5</f>
        <v>3.1746031746031744E-2</v>
      </c>
      <c r="AH24" s="209">
        <f t="shared" si="64"/>
        <v>0</v>
      </c>
      <c r="AI24" s="58">
        <f t="shared" si="56"/>
        <v>0</v>
      </c>
      <c r="AJ24" s="209">
        <f t="shared" si="56"/>
        <v>0</v>
      </c>
      <c r="AK24" s="209">
        <f t="shared" si="56"/>
        <v>0</v>
      </c>
      <c r="AL24" s="209">
        <f t="shared" si="56"/>
        <v>0</v>
      </c>
      <c r="AM24" s="209">
        <f t="shared" si="56"/>
        <v>0</v>
      </c>
      <c r="AN24" s="209">
        <f t="shared" si="56"/>
        <v>0</v>
      </c>
      <c r="AO24" s="209">
        <f t="shared" si="56"/>
        <v>0</v>
      </c>
      <c r="AP24" s="209">
        <f t="shared" si="56"/>
        <v>0</v>
      </c>
      <c r="AQ24" s="209">
        <f t="shared" si="56"/>
        <v>0</v>
      </c>
      <c r="AR24" s="53">
        <f t="shared" si="56"/>
        <v>0</v>
      </c>
      <c r="AS24" s="65">
        <f t="shared" si="44"/>
        <v>0</v>
      </c>
      <c r="AT24" s="210">
        <f t="shared" si="44"/>
        <v>0</v>
      </c>
      <c r="AU24" s="210">
        <f t="shared" si="44"/>
        <v>0</v>
      </c>
      <c r="AV24" s="210">
        <f t="shared" si="44"/>
        <v>0</v>
      </c>
      <c r="AW24" s="210">
        <f t="shared" si="44"/>
        <v>0</v>
      </c>
      <c r="AX24" s="210">
        <f t="shared" si="44"/>
        <v>0</v>
      </c>
      <c r="AY24" s="210">
        <f t="shared" si="44"/>
        <v>0</v>
      </c>
      <c r="AZ24" s="210">
        <f t="shared" si="44"/>
        <v>0</v>
      </c>
      <c r="BA24" s="210">
        <f t="shared" si="44"/>
        <v>0</v>
      </c>
      <c r="BB24" s="53">
        <f t="shared" si="44"/>
        <v>0</v>
      </c>
      <c r="BC24" s="58">
        <f t="shared" si="45"/>
        <v>0</v>
      </c>
      <c r="BD24" s="209">
        <f t="shared" si="45"/>
        <v>0</v>
      </c>
      <c r="BE24" s="209">
        <f t="shared" si="45"/>
        <v>0</v>
      </c>
      <c r="BF24" s="209">
        <f t="shared" si="45"/>
        <v>0</v>
      </c>
      <c r="BG24" s="209">
        <f t="shared" si="45"/>
        <v>0</v>
      </c>
      <c r="BH24" s="209">
        <f t="shared" si="45"/>
        <v>0</v>
      </c>
      <c r="BI24" s="209">
        <f t="shared" si="45"/>
        <v>0</v>
      </c>
      <c r="BJ24" s="209">
        <f t="shared" si="45"/>
        <v>0</v>
      </c>
      <c r="BK24" s="209">
        <f t="shared" si="45"/>
        <v>0</v>
      </c>
      <c r="BL24" s="209">
        <f t="shared" si="45"/>
        <v>0</v>
      </c>
      <c r="BM24" s="58">
        <f t="shared" si="57"/>
        <v>0</v>
      </c>
      <c r="BN24" s="209">
        <f t="shared" si="57"/>
        <v>0</v>
      </c>
      <c r="BO24" s="209">
        <f t="shared" si="57"/>
        <v>0</v>
      </c>
      <c r="BP24" s="209">
        <f t="shared" si="57"/>
        <v>0</v>
      </c>
      <c r="BQ24" s="209">
        <f t="shared" si="57"/>
        <v>0</v>
      </c>
      <c r="BR24" s="209">
        <f t="shared" si="57"/>
        <v>0</v>
      </c>
      <c r="BS24" s="209">
        <f t="shared" si="57"/>
        <v>0</v>
      </c>
      <c r="BT24" s="209">
        <f t="shared" si="57"/>
        <v>0</v>
      </c>
      <c r="BU24" s="209">
        <f t="shared" si="57"/>
        <v>0</v>
      </c>
      <c r="BV24" s="209">
        <f t="shared" si="57"/>
        <v>0</v>
      </c>
      <c r="BW24" s="65">
        <f t="shared" si="50"/>
        <v>0</v>
      </c>
      <c r="BX24" s="209">
        <f t="shared" si="50"/>
        <v>0</v>
      </c>
      <c r="BY24" s="209">
        <f t="shared" si="58"/>
        <v>0</v>
      </c>
      <c r="BZ24" s="209">
        <f t="shared" si="76"/>
        <v>0</v>
      </c>
      <c r="CA24" s="209">
        <f t="shared" si="76"/>
        <v>0</v>
      </c>
      <c r="CB24" s="209">
        <f t="shared" si="76"/>
        <v>0</v>
      </c>
      <c r="CC24" s="209">
        <f t="shared" si="76"/>
        <v>0</v>
      </c>
      <c r="CD24" s="209">
        <f t="shared" si="76"/>
        <v>0</v>
      </c>
      <c r="CE24" s="209">
        <f t="shared" si="59"/>
        <v>0</v>
      </c>
      <c r="CF24" s="209">
        <f t="shared" si="52"/>
        <v>0</v>
      </c>
      <c r="CG24" s="65">
        <f t="shared" si="77"/>
        <v>0</v>
      </c>
      <c r="CH24" s="209">
        <f t="shared" si="77"/>
        <v>0</v>
      </c>
      <c r="CI24" s="209">
        <f t="shared" si="77"/>
        <v>0</v>
      </c>
      <c r="CJ24" s="209">
        <f t="shared" si="77"/>
        <v>0</v>
      </c>
      <c r="CK24" s="209">
        <f t="shared" si="77"/>
        <v>0</v>
      </c>
      <c r="CL24" s="209">
        <f t="shared" si="77"/>
        <v>0</v>
      </c>
      <c r="CM24" s="209">
        <f t="shared" si="77"/>
        <v>0</v>
      </c>
      <c r="CN24" s="209">
        <f t="shared" si="77"/>
        <v>0</v>
      </c>
      <c r="CO24" s="209">
        <f t="shared" si="77"/>
        <v>0</v>
      </c>
      <c r="CP24" s="209">
        <f t="shared" si="77"/>
        <v>0</v>
      </c>
      <c r="CQ24" s="65">
        <f t="shared" si="68"/>
        <v>0</v>
      </c>
      <c r="CR24" s="210">
        <f t="shared" si="68"/>
        <v>0</v>
      </c>
      <c r="CS24" s="210">
        <f t="shared" si="68"/>
        <v>0</v>
      </c>
      <c r="CT24" s="210">
        <f t="shared" si="68"/>
        <v>0</v>
      </c>
      <c r="CU24" s="210">
        <f t="shared" si="68"/>
        <v>0</v>
      </c>
      <c r="CV24" s="210">
        <f t="shared" si="80"/>
        <v>0</v>
      </c>
      <c r="CW24" s="210">
        <f t="shared" si="80"/>
        <v>0</v>
      </c>
      <c r="CX24" s="65">
        <f t="shared" si="35"/>
        <v>0</v>
      </c>
      <c r="CY24" s="210">
        <f t="shared" si="35"/>
        <v>0</v>
      </c>
      <c r="CZ24" s="210">
        <f t="shared" si="35"/>
        <v>0</v>
      </c>
      <c r="DA24" s="210">
        <f t="shared" si="35"/>
        <v>0</v>
      </c>
      <c r="DB24" s="210">
        <f t="shared" si="35"/>
        <v>0</v>
      </c>
      <c r="DC24" s="210">
        <f t="shared" si="81"/>
        <v>0</v>
      </c>
      <c r="DD24" s="210">
        <f t="shared" si="81"/>
        <v>0</v>
      </c>
      <c r="DE24" s="61">
        <f t="shared" si="69"/>
        <v>0</v>
      </c>
      <c r="DF24" s="210">
        <f t="shared" si="69"/>
        <v>0</v>
      </c>
      <c r="DG24" s="210">
        <f t="shared" si="69"/>
        <v>0</v>
      </c>
      <c r="DH24" s="210">
        <f t="shared" si="69"/>
        <v>0</v>
      </c>
      <c r="DI24" s="210">
        <f t="shared" si="69"/>
        <v>0</v>
      </c>
      <c r="DJ24" s="210">
        <f t="shared" si="82"/>
        <v>0</v>
      </c>
      <c r="DK24" s="210">
        <f t="shared" si="82"/>
        <v>0</v>
      </c>
      <c r="DL24" s="65">
        <f t="shared" si="65"/>
        <v>0</v>
      </c>
      <c r="DM24" s="210">
        <f t="shared" si="65"/>
        <v>0</v>
      </c>
      <c r="DN24" s="210">
        <f t="shared" si="65"/>
        <v>0</v>
      </c>
      <c r="DO24" s="210">
        <f t="shared" si="65"/>
        <v>0</v>
      </c>
      <c r="DP24" s="210">
        <f t="shared" si="65"/>
        <v>0</v>
      </c>
      <c r="DQ24" s="210">
        <f t="shared" si="83"/>
        <v>0</v>
      </c>
      <c r="DR24" s="210">
        <f t="shared" si="83"/>
        <v>0</v>
      </c>
      <c r="DS24" s="210">
        <f t="shared" si="83"/>
        <v>0</v>
      </c>
      <c r="DT24" s="201"/>
    </row>
    <row r="25" spans="1:124" ht="26.25" hidden="1" customHeight="1" outlineLevel="1" x14ac:dyDescent="0.4">
      <c r="A25" s="347">
        <v>10</v>
      </c>
      <c r="B25" s="347" t="s">
        <v>47</v>
      </c>
      <c r="C25" s="347" t="s">
        <v>347</v>
      </c>
      <c r="D25" s="349" t="s">
        <v>462</v>
      </c>
      <c r="E25" s="349" t="s">
        <v>471</v>
      </c>
      <c r="F25" s="349" t="s">
        <v>459</v>
      </c>
      <c r="G25" s="563" t="s">
        <v>458</v>
      </c>
      <c r="H25" s="449">
        <f t="shared" ref="H25" si="84">SUM(CG25:CP25)</f>
        <v>0</v>
      </c>
      <c r="I25" s="449">
        <f t="shared" ref="I25" si="85">SUM(CG26:CP26)</f>
        <v>0</v>
      </c>
      <c r="J25" s="447"/>
      <c r="K25" s="445"/>
      <c r="L25" s="445"/>
      <c r="M25" s="428"/>
      <c r="N25" s="52" t="s">
        <v>24</v>
      </c>
      <c r="O25" s="190">
        <f t="shared" si="72"/>
        <v>0</v>
      </c>
      <c r="P25" s="190">
        <f>(6)/120</f>
        <v>0.05</v>
      </c>
      <c r="Q25" s="190">
        <f t="shared" si="74"/>
        <v>0</v>
      </c>
      <c r="R25" s="190">
        <f>(7)/120</f>
        <v>5.8333333333333334E-2</v>
      </c>
      <c r="S25" s="190">
        <f t="shared" si="74"/>
        <v>0</v>
      </c>
      <c r="T25" s="190">
        <f t="shared" si="74"/>
        <v>0</v>
      </c>
      <c r="U25" s="190">
        <f t="shared" si="74"/>
        <v>0</v>
      </c>
      <c r="V25" s="190">
        <f t="shared" si="74"/>
        <v>0</v>
      </c>
      <c r="W25" s="190">
        <f>(7)/120</f>
        <v>5.8333333333333334E-2</v>
      </c>
      <c r="X25" s="86">
        <f t="shared" si="74"/>
        <v>0</v>
      </c>
      <c r="Y25" s="190">
        <f t="shared" si="64"/>
        <v>0</v>
      </c>
      <c r="Z25" s="190">
        <f>(3)/157.5</f>
        <v>1.9047619047619049E-2</v>
      </c>
      <c r="AA25" s="190">
        <f t="shared" si="64"/>
        <v>0</v>
      </c>
      <c r="AB25" s="190">
        <f>(3)/157.5</f>
        <v>1.9047619047619049E-2</v>
      </c>
      <c r="AC25" s="190">
        <f t="shared" si="64"/>
        <v>0</v>
      </c>
      <c r="AD25" s="190">
        <f t="shared" si="64"/>
        <v>0</v>
      </c>
      <c r="AE25" s="190">
        <f t="shared" si="64"/>
        <v>0</v>
      </c>
      <c r="AF25" s="190">
        <f t="shared" si="64"/>
        <v>0</v>
      </c>
      <c r="AG25" s="190">
        <f>(3)/157.5</f>
        <v>1.9047619047619049E-2</v>
      </c>
      <c r="AH25" s="190">
        <f t="shared" si="64"/>
        <v>0</v>
      </c>
      <c r="AI25" s="77">
        <f t="shared" si="56"/>
        <v>0</v>
      </c>
      <c r="AJ25" s="190">
        <f t="shared" si="56"/>
        <v>0</v>
      </c>
      <c r="AK25" s="190">
        <f t="shared" si="56"/>
        <v>0</v>
      </c>
      <c r="AL25" s="190">
        <f t="shared" si="56"/>
        <v>0</v>
      </c>
      <c r="AM25" s="190">
        <f t="shared" si="56"/>
        <v>0</v>
      </c>
      <c r="AN25" s="190">
        <f t="shared" si="56"/>
        <v>0</v>
      </c>
      <c r="AO25" s="190">
        <f t="shared" si="56"/>
        <v>0</v>
      </c>
      <c r="AP25" s="190">
        <f t="shared" si="56"/>
        <v>0</v>
      </c>
      <c r="AQ25" s="190">
        <f t="shared" si="56"/>
        <v>0</v>
      </c>
      <c r="AR25" s="225">
        <f t="shared" si="56"/>
        <v>0</v>
      </c>
      <c r="AS25" s="23">
        <f t="shared" si="44"/>
        <v>0</v>
      </c>
      <c r="AT25" s="190">
        <f t="shared" si="44"/>
        <v>0</v>
      </c>
      <c r="AU25" s="190">
        <f t="shared" si="44"/>
        <v>0</v>
      </c>
      <c r="AV25" s="190">
        <f t="shared" si="44"/>
        <v>0</v>
      </c>
      <c r="AW25" s="190">
        <f t="shared" si="44"/>
        <v>0</v>
      </c>
      <c r="AX25" s="190">
        <f t="shared" si="44"/>
        <v>0</v>
      </c>
      <c r="AY25" s="190">
        <f t="shared" si="44"/>
        <v>0</v>
      </c>
      <c r="AZ25" s="190">
        <f t="shared" si="44"/>
        <v>0</v>
      </c>
      <c r="BA25" s="190">
        <f t="shared" si="44"/>
        <v>0</v>
      </c>
      <c r="BB25" s="225">
        <f t="shared" si="44"/>
        <v>0</v>
      </c>
      <c r="BC25" s="77">
        <f t="shared" si="45"/>
        <v>0</v>
      </c>
      <c r="BD25" s="190">
        <f t="shared" si="45"/>
        <v>0</v>
      </c>
      <c r="BE25" s="190">
        <f t="shared" si="45"/>
        <v>0</v>
      </c>
      <c r="BF25" s="190">
        <f t="shared" si="45"/>
        <v>0</v>
      </c>
      <c r="BG25" s="190">
        <f t="shared" si="45"/>
        <v>0</v>
      </c>
      <c r="BH25" s="190">
        <f t="shared" si="45"/>
        <v>0</v>
      </c>
      <c r="BI25" s="190">
        <f t="shared" si="45"/>
        <v>0</v>
      </c>
      <c r="BJ25" s="190">
        <f t="shared" si="45"/>
        <v>0</v>
      </c>
      <c r="BK25" s="190">
        <f t="shared" si="45"/>
        <v>0</v>
      </c>
      <c r="BL25" s="190">
        <f t="shared" si="45"/>
        <v>0</v>
      </c>
      <c r="BM25" s="77">
        <f t="shared" si="57"/>
        <v>0</v>
      </c>
      <c r="BN25" s="190">
        <f t="shared" si="57"/>
        <v>0</v>
      </c>
      <c r="BO25" s="190">
        <f t="shared" si="57"/>
        <v>0</v>
      </c>
      <c r="BP25" s="190">
        <f t="shared" si="57"/>
        <v>0</v>
      </c>
      <c r="BQ25" s="190">
        <f t="shared" si="57"/>
        <v>0</v>
      </c>
      <c r="BR25" s="190">
        <f t="shared" si="57"/>
        <v>0</v>
      </c>
      <c r="BS25" s="190">
        <f t="shared" si="57"/>
        <v>0</v>
      </c>
      <c r="BT25" s="190">
        <f t="shared" si="57"/>
        <v>0</v>
      </c>
      <c r="BU25" s="190">
        <f t="shared" si="57"/>
        <v>0</v>
      </c>
      <c r="BV25" s="190">
        <f t="shared" si="57"/>
        <v>0</v>
      </c>
      <c r="BW25" s="23">
        <f t="shared" si="50"/>
        <v>0</v>
      </c>
      <c r="BX25" s="190">
        <f t="shared" si="50"/>
        <v>0</v>
      </c>
      <c r="BY25" s="190">
        <f t="shared" si="58"/>
        <v>0</v>
      </c>
      <c r="BZ25" s="190">
        <f t="shared" si="76"/>
        <v>0</v>
      </c>
      <c r="CA25" s="190">
        <f t="shared" si="76"/>
        <v>0</v>
      </c>
      <c r="CB25" s="190">
        <f t="shared" si="76"/>
        <v>0</v>
      </c>
      <c r="CC25" s="190">
        <f t="shared" si="76"/>
        <v>0</v>
      </c>
      <c r="CD25" s="190">
        <f t="shared" si="76"/>
        <v>0</v>
      </c>
      <c r="CE25" s="190">
        <f t="shared" si="59"/>
        <v>0</v>
      </c>
      <c r="CF25" s="190">
        <f t="shared" si="52"/>
        <v>0</v>
      </c>
      <c r="CG25" s="23">
        <f t="shared" si="77"/>
        <v>0</v>
      </c>
      <c r="CH25" s="190">
        <f t="shared" si="77"/>
        <v>0</v>
      </c>
      <c r="CI25" s="190">
        <f t="shared" si="77"/>
        <v>0</v>
      </c>
      <c r="CJ25" s="190">
        <f t="shared" si="77"/>
        <v>0</v>
      </c>
      <c r="CK25" s="190">
        <f t="shared" si="77"/>
        <v>0</v>
      </c>
      <c r="CL25" s="190">
        <f t="shared" si="77"/>
        <v>0</v>
      </c>
      <c r="CM25" s="190">
        <f t="shared" si="77"/>
        <v>0</v>
      </c>
      <c r="CN25" s="190">
        <f t="shared" si="77"/>
        <v>0</v>
      </c>
      <c r="CO25" s="190">
        <f t="shared" si="77"/>
        <v>0</v>
      </c>
      <c r="CP25" s="190">
        <f t="shared" si="77"/>
        <v>0</v>
      </c>
      <c r="CQ25" s="23">
        <f t="shared" si="68"/>
        <v>0</v>
      </c>
      <c r="CR25" s="190">
        <f t="shared" si="68"/>
        <v>0</v>
      </c>
      <c r="CS25" s="190">
        <f t="shared" si="68"/>
        <v>0</v>
      </c>
      <c r="CT25" s="190">
        <f t="shared" si="68"/>
        <v>0</v>
      </c>
      <c r="CU25" s="190">
        <f t="shared" si="68"/>
        <v>0</v>
      </c>
      <c r="CV25" s="190">
        <f t="shared" si="80"/>
        <v>0</v>
      </c>
      <c r="CW25" s="190">
        <f t="shared" si="80"/>
        <v>0</v>
      </c>
      <c r="CX25" s="77">
        <f t="shared" si="35"/>
        <v>0</v>
      </c>
      <c r="CY25" s="190">
        <f t="shared" si="35"/>
        <v>0</v>
      </c>
      <c r="CZ25" s="190">
        <f t="shared" si="35"/>
        <v>0</v>
      </c>
      <c r="DA25" s="190">
        <f t="shared" si="35"/>
        <v>0</v>
      </c>
      <c r="DB25" s="190">
        <f t="shared" si="35"/>
        <v>0</v>
      </c>
      <c r="DC25" s="190">
        <f t="shared" si="81"/>
        <v>0</v>
      </c>
      <c r="DD25" s="190">
        <f t="shared" si="81"/>
        <v>0</v>
      </c>
      <c r="DE25" s="59">
        <f t="shared" si="69"/>
        <v>0</v>
      </c>
      <c r="DF25" s="190">
        <f t="shared" si="69"/>
        <v>0</v>
      </c>
      <c r="DG25" s="190">
        <f t="shared" si="69"/>
        <v>0</v>
      </c>
      <c r="DH25" s="190">
        <f t="shared" si="69"/>
        <v>0</v>
      </c>
      <c r="DI25" s="190">
        <f t="shared" si="69"/>
        <v>0</v>
      </c>
      <c r="DJ25" s="190">
        <f t="shared" si="82"/>
        <v>0</v>
      </c>
      <c r="DK25" s="190">
        <f t="shared" si="82"/>
        <v>0</v>
      </c>
      <c r="DL25" s="23">
        <f t="shared" si="65"/>
        <v>0</v>
      </c>
      <c r="DM25" s="190">
        <f t="shared" si="65"/>
        <v>0</v>
      </c>
      <c r="DN25" s="190">
        <f t="shared" si="65"/>
        <v>0</v>
      </c>
      <c r="DO25" s="190">
        <f t="shared" si="65"/>
        <v>0</v>
      </c>
      <c r="DP25" s="190">
        <f t="shared" si="65"/>
        <v>0</v>
      </c>
      <c r="DQ25" s="190">
        <f t="shared" si="83"/>
        <v>0</v>
      </c>
      <c r="DR25" s="190">
        <f t="shared" si="83"/>
        <v>0</v>
      </c>
      <c r="DS25" s="190">
        <f t="shared" si="83"/>
        <v>0</v>
      </c>
      <c r="DT25" s="201"/>
    </row>
    <row r="26" spans="1:124" ht="25.9" hidden="1" customHeight="1" outlineLevel="1" x14ac:dyDescent="0.4">
      <c r="A26" s="348"/>
      <c r="B26" s="348"/>
      <c r="C26" s="348"/>
      <c r="D26" s="370"/>
      <c r="E26" s="350"/>
      <c r="F26" s="370"/>
      <c r="G26" s="565"/>
      <c r="H26" s="450"/>
      <c r="I26" s="450"/>
      <c r="J26" s="448"/>
      <c r="K26" s="446"/>
      <c r="L26" s="446"/>
      <c r="M26" s="429"/>
      <c r="N26" s="43" t="s">
        <v>25</v>
      </c>
      <c r="O26" s="209">
        <f t="shared" si="72"/>
        <v>0</v>
      </c>
      <c r="P26" s="209">
        <f>(1+1.5)/120</f>
        <v>2.0833333333333332E-2</v>
      </c>
      <c r="Q26" s="209">
        <f t="shared" si="74"/>
        <v>0</v>
      </c>
      <c r="R26" s="209">
        <f>(8+2.5)/120</f>
        <v>8.7499999999999994E-2</v>
      </c>
      <c r="S26" s="209">
        <f t="shared" si="74"/>
        <v>0</v>
      </c>
      <c r="T26" s="209">
        <f t="shared" si="74"/>
        <v>0</v>
      </c>
      <c r="U26" s="209">
        <f t="shared" si="74"/>
        <v>0</v>
      </c>
      <c r="V26" s="209">
        <f t="shared" si="74"/>
        <v>0</v>
      </c>
      <c r="W26" s="209">
        <f>(5)/120</f>
        <v>4.1666666666666664E-2</v>
      </c>
      <c r="X26" s="53">
        <f t="shared" si="74"/>
        <v>0</v>
      </c>
      <c r="Y26" s="209">
        <f t="shared" si="64"/>
        <v>0</v>
      </c>
      <c r="Z26" s="209">
        <f>(2)/157.5</f>
        <v>1.2698412698412698E-2</v>
      </c>
      <c r="AA26" s="209">
        <f t="shared" si="64"/>
        <v>0</v>
      </c>
      <c r="AB26" s="209">
        <f>(0+2+1+1)/157.5</f>
        <v>2.5396825396825397E-2</v>
      </c>
      <c r="AC26" s="209">
        <f t="shared" si="64"/>
        <v>0</v>
      </c>
      <c r="AD26" s="209">
        <f t="shared" si="64"/>
        <v>0</v>
      </c>
      <c r="AE26" s="209">
        <f t="shared" si="64"/>
        <v>0</v>
      </c>
      <c r="AF26" s="209">
        <f t="shared" si="64"/>
        <v>0</v>
      </c>
      <c r="AG26" s="209">
        <f>(0+1+1)/157.5</f>
        <v>1.2698412698412698E-2</v>
      </c>
      <c r="AH26" s="209">
        <f t="shared" si="64"/>
        <v>0</v>
      </c>
      <c r="AI26" s="58">
        <f t="shared" si="56"/>
        <v>0</v>
      </c>
      <c r="AJ26" s="209">
        <f t="shared" si="56"/>
        <v>0</v>
      </c>
      <c r="AK26" s="209">
        <f t="shared" si="56"/>
        <v>0</v>
      </c>
      <c r="AL26" s="209">
        <f t="shared" si="56"/>
        <v>0</v>
      </c>
      <c r="AM26" s="209">
        <f t="shared" si="56"/>
        <v>0</v>
      </c>
      <c r="AN26" s="209">
        <f t="shared" si="56"/>
        <v>0</v>
      </c>
      <c r="AO26" s="209">
        <f t="shared" si="56"/>
        <v>0</v>
      </c>
      <c r="AP26" s="209">
        <f t="shared" si="56"/>
        <v>0</v>
      </c>
      <c r="AQ26" s="209">
        <f t="shared" si="56"/>
        <v>0</v>
      </c>
      <c r="AR26" s="53">
        <f t="shared" si="56"/>
        <v>0</v>
      </c>
      <c r="AS26" s="65">
        <f t="shared" si="44"/>
        <v>0</v>
      </c>
      <c r="AT26" s="210">
        <f t="shared" si="44"/>
        <v>0</v>
      </c>
      <c r="AU26" s="210">
        <f t="shared" si="44"/>
        <v>0</v>
      </c>
      <c r="AV26" s="210">
        <f t="shared" si="44"/>
        <v>0</v>
      </c>
      <c r="AW26" s="210">
        <f t="shared" si="44"/>
        <v>0</v>
      </c>
      <c r="AX26" s="210">
        <f t="shared" si="44"/>
        <v>0</v>
      </c>
      <c r="AY26" s="210">
        <f t="shared" si="44"/>
        <v>0</v>
      </c>
      <c r="AZ26" s="210">
        <f t="shared" si="44"/>
        <v>0</v>
      </c>
      <c r="BA26" s="210">
        <f t="shared" si="44"/>
        <v>0</v>
      </c>
      <c r="BB26" s="53">
        <f t="shared" si="44"/>
        <v>0</v>
      </c>
      <c r="BC26" s="58">
        <f t="shared" si="45"/>
        <v>0</v>
      </c>
      <c r="BD26" s="209">
        <f t="shared" si="45"/>
        <v>0</v>
      </c>
      <c r="BE26" s="209">
        <f t="shared" si="45"/>
        <v>0</v>
      </c>
      <c r="BF26" s="209">
        <f t="shared" si="45"/>
        <v>0</v>
      </c>
      <c r="BG26" s="209">
        <f t="shared" si="45"/>
        <v>0</v>
      </c>
      <c r="BH26" s="209">
        <f t="shared" si="45"/>
        <v>0</v>
      </c>
      <c r="BI26" s="209">
        <f t="shared" si="45"/>
        <v>0</v>
      </c>
      <c r="BJ26" s="209">
        <f t="shared" si="45"/>
        <v>0</v>
      </c>
      <c r="BK26" s="209">
        <f t="shared" si="45"/>
        <v>0</v>
      </c>
      <c r="BL26" s="209">
        <f t="shared" si="45"/>
        <v>0</v>
      </c>
      <c r="BM26" s="58">
        <f t="shared" si="57"/>
        <v>0</v>
      </c>
      <c r="BN26" s="209">
        <f t="shared" si="57"/>
        <v>0</v>
      </c>
      <c r="BO26" s="209">
        <f t="shared" si="57"/>
        <v>0</v>
      </c>
      <c r="BP26" s="209">
        <f t="shared" si="57"/>
        <v>0</v>
      </c>
      <c r="BQ26" s="209">
        <f t="shared" si="57"/>
        <v>0</v>
      </c>
      <c r="BR26" s="209">
        <f t="shared" si="57"/>
        <v>0</v>
      </c>
      <c r="BS26" s="209">
        <f t="shared" si="57"/>
        <v>0</v>
      </c>
      <c r="BT26" s="209">
        <f t="shared" si="57"/>
        <v>0</v>
      </c>
      <c r="BU26" s="209">
        <f t="shared" si="57"/>
        <v>0</v>
      </c>
      <c r="BV26" s="209">
        <f t="shared" si="57"/>
        <v>0</v>
      </c>
      <c r="BW26" s="65">
        <f t="shared" si="50"/>
        <v>0</v>
      </c>
      <c r="BX26" s="209">
        <f t="shared" si="50"/>
        <v>0</v>
      </c>
      <c r="BY26" s="209">
        <f t="shared" si="58"/>
        <v>0</v>
      </c>
      <c r="BZ26" s="209">
        <f t="shared" si="76"/>
        <v>0</v>
      </c>
      <c r="CA26" s="209">
        <f t="shared" si="76"/>
        <v>0</v>
      </c>
      <c r="CB26" s="209">
        <f t="shared" si="76"/>
        <v>0</v>
      </c>
      <c r="CC26" s="209">
        <f t="shared" si="76"/>
        <v>0</v>
      </c>
      <c r="CD26" s="209">
        <f t="shared" si="76"/>
        <v>0</v>
      </c>
      <c r="CE26" s="209">
        <f t="shared" si="59"/>
        <v>0</v>
      </c>
      <c r="CF26" s="209">
        <f t="shared" si="52"/>
        <v>0</v>
      </c>
      <c r="CG26" s="65">
        <f t="shared" si="77"/>
        <v>0</v>
      </c>
      <c r="CH26" s="209">
        <f t="shared" si="77"/>
        <v>0</v>
      </c>
      <c r="CI26" s="209">
        <f t="shared" si="77"/>
        <v>0</v>
      </c>
      <c r="CJ26" s="209">
        <f t="shared" si="77"/>
        <v>0</v>
      </c>
      <c r="CK26" s="209">
        <f t="shared" si="77"/>
        <v>0</v>
      </c>
      <c r="CL26" s="209">
        <f t="shared" si="77"/>
        <v>0</v>
      </c>
      <c r="CM26" s="209">
        <f t="shared" si="77"/>
        <v>0</v>
      </c>
      <c r="CN26" s="209">
        <f t="shared" si="77"/>
        <v>0</v>
      </c>
      <c r="CO26" s="209">
        <f t="shared" si="77"/>
        <v>0</v>
      </c>
      <c r="CP26" s="209">
        <f t="shared" si="77"/>
        <v>0</v>
      </c>
      <c r="CQ26" s="65">
        <f t="shared" si="68"/>
        <v>0</v>
      </c>
      <c r="CR26" s="210">
        <f t="shared" si="68"/>
        <v>0</v>
      </c>
      <c r="CS26" s="210">
        <f t="shared" si="68"/>
        <v>0</v>
      </c>
      <c r="CT26" s="210">
        <f t="shared" si="68"/>
        <v>0</v>
      </c>
      <c r="CU26" s="210">
        <f t="shared" si="68"/>
        <v>0</v>
      </c>
      <c r="CV26" s="210">
        <f t="shared" si="80"/>
        <v>0</v>
      </c>
      <c r="CW26" s="210">
        <f t="shared" si="80"/>
        <v>0</v>
      </c>
      <c r="CX26" s="65">
        <f t="shared" si="35"/>
        <v>0</v>
      </c>
      <c r="CY26" s="210">
        <f t="shared" si="35"/>
        <v>0</v>
      </c>
      <c r="CZ26" s="210">
        <f t="shared" si="35"/>
        <v>0</v>
      </c>
      <c r="DA26" s="210">
        <f t="shared" si="35"/>
        <v>0</v>
      </c>
      <c r="DB26" s="210">
        <f t="shared" si="35"/>
        <v>0</v>
      </c>
      <c r="DC26" s="210">
        <f t="shared" si="81"/>
        <v>0</v>
      </c>
      <c r="DD26" s="210">
        <f t="shared" si="81"/>
        <v>0</v>
      </c>
      <c r="DE26" s="61">
        <f t="shared" si="69"/>
        <v>0</v>
      </c>
      <c r="DF26" s="210">
        <f t="shared" si="69"/>
        <v>0</v>
      </c>
      <c r="DG26" s="210">
        <f t="shared" si="69"/>
        <v>0</v>
      </c>
      <c r="DH26" s="210">
        <f t="shared" si="69"/>
        <v>0</v>
      </c>
      <c r="DI26" s="210">
        <f t="shared" si="69"/>
        <v>0</v>
      </c>
      <c r="DJ26" s="210">
        <f t="shared" si="82"/>
        <v>0</v>
      </c>
      <c r="DK26" s="210">
        <f t="shared" si="82"/>
        <v>0</v>
      </c>
      <c r="DL26" s="65">
        <f t="shared" si="65"/>
        <v>0</v>
      </c>
      <c r="DM26" s="210">
        <f t="shared" si="65"/>
        <v>0</v>
      </c>
      <c r="DN26" s="210">
        <f t="shared" si="65"/>
        <v>0</v>
      </c>
      <c r="DO26" s="210">
        <f t="shared" si="65"/>
        <v>0</v>
      </c>
      <c r="DP26" s="210">
        <f t="shared" si="65"/>
        <v>0</v>
      </c>
      <c r="DQ26" s="210">
        <f t="shared" si="83"/>
        <v>0</v>
      </c>
      <c r="DR26" s="210">
        <f t="shared" si="83"/>
        <v>0</v>
      </c>
      <c r="DS26" s="210">
        <f t="shared" si="83"/>
        <v>0</v>
      </c>
      <c r="DT26" s="201"/>
    </row>
    <row r="27" spans="1:124" ht="26.25" hidden="1" customHeight="1" outlineLevel="1" collapsed="1" x14ac:dyDescent="0.4">
      <c r="A27" s="347">
        <v>11</v>
      </c>
      <c r="B27" s="347" t="s">
        <v>47</v>
      </c>
      <c r="C27" s="347" t="s">
        <v>347</v>
      </c>
      <c r="D27" s="349" t="s">
        <v>467</v>
      </c>
      <c r="E27" s="349" t="s">
        <v>472</v>
      </c>
      <c r="F27" s="349" t="s">
        <v>473</v>
      </c>
      <c r="G27" s="563" t="s">
        <v>464</v>
      </c>
      <c r="H27" s="449">
        <f t="shared" ref="H27" si="86">SUM(CG27:CP27)</f>
        <v>0</v>
      </c>
      <c r="I27" s="449">
        <f t="shared" ref="I27" si="87">SUM(CG28:CP28)</f>
        <v>0</v>
      </c>
      <c r="J27" s="447"/>
      <c r="K27" s="445"/>
      <c r="L27" s="445"/>
      <c r="M27" s="428"/>
      <c r="N27" s="52" t="s">
        <v>24</v>
      </c>
      <c r="O27" s="190">
        <f t="shared" si="72"/>
        <v>0</v>
      </c>
      <c r="P27" s="190">
        <f>(33)/120</f>
        <v>0.27500000000000002</v>
      </c>
      <c r="Q27" s="190">
        <f t="shared" si="74"/>
        <v>0</v>
      </c>
      <c r="R27" s="190">
        <f t="shared" si="74"/>
        <v>0</v>
      </c>
      <c r="S27" s="190">
        <f>(33)/120</f>
        <v>0.27500000000000002</v>
      </c>
      <c r="T27" s="190">
        <f t="shared" si="74"/>
        <v>0</v>
      </c>
      <c r="U27" s="190">
        <f t="shared" si="74"/>
        <v>0</v>
      </c>
      <c r="V27" s="190">
        <f t="shared" si="74"/>
        <v>0</v>
      </c>
      <c r="W27" s="190">
        <f t="shared" si="74"/>
        <v>0</v>
      </c>
      <c r="X27" s="86">
        <f t="shared" si="74"/>
        <v>0</v>
      </c>
      <c r="Y27" s="190">
        <f t="shared" si="64"/>
        <v>0</v>
      </c>
      <c r="Z27" s="190">
        <f t="shared" si="64"/>
        <v>0</v>
      </c>
      <c r="AA27" s="190">
        <f t="shared" si="64"/>
        <v>0</v>
      </c>
      <c r="AB27" s="190">
        <f t="shared" si="64"/>
        <v>0</v>
      </c>
      <c r="AC27" s="190">
        <f>(2)/157.5</f>
        <v>1.2698412698412698E-2</v>
      </c>
      <c r="AD27" s="190">
        <f t="shared" si="64"/>
        <v>0</v>
      </c>
      <c r="AE27" s="190">
        <f t="shared" si="64"/>
        <v>0</v>
      </c>
      <c r="AF27" s="190">
        <f t="shared" si="64"/>
        <v>0</v>
      </c>
      <c r="AG27" s="190">
        <f t="shared" si="64"/>
        <v>0</v>
      </c>
      <c r="AH27" s="190">
        <f t="shared" si="64"/>
        <v>0</v>
      </c>
      <c r="AI27" s="77">
        <f t="shared" si="56"/>
        <v>0</v>
      </c>
      <c r="AJ27" s="190">
        <f t="shared" si="56"/>
        <v>0</v>
      </c>
      <c r="AK27" s="190">
        <f t="shared" si="56"/>
        <v>0</v>
      </c>
      <c r="AL27" s="190">
        <f t="shared" si="56"/>
        <v>0</v>
      </c>
      <c r="AM27" s="190">
        <f t="shared" si="56"/>
        <v>0</v>
      </c>
      <c r="AN27" s="190">
        <f t="shared" si="56"/>
        <v>0</v>
      </c>
      <c r="AO27" s="190">
        <f t="shared" si="56"/>
        <v>0</v>
      </c>
      <c r="AP27" s="190">
        <f t="shared" si="56"/>
        <v>0</v>
      </c>
      <c r="AQ27" s="190">
        <f t="shared" si="56"/>
        <v>0</v>
      </c>
      <c r="AR27" s="225">
        <f t="shared" si="56"/>
        <v>0</v>
      </c>
      <c r="AS27" s="23">
        <f t="shared" si="44"/>
        <v>0</v>
      </c>
      <c r="AT27" s="190">
        <f t="shared" si="44"/>
        <v>0</v>
      </c>
      <c r="AU27" s="190">
        <f t="shared" si="44"/>
        <v>0</v>
      </c>
      <c r="AV27" s="190">
        <f t="shared" si="44"/>
        <v>0</v>
      </c>
      <c r="AW27" s="190">
        <f t="shared" si="44"/>
        <v>0</v>
      </c>
      <c r="AX27" s="190">
        <f t="shared" si="44"/>
        <v>0</v>
      </c>
      <c r="AY27" s="190">
        <f t="shared" si="44"/>
        <v>0</v>
      </c>
      <c r="AZ27" s="190">
        <f t="shared" si="44"/>
        <v>0</v>
      </c>
      <c r="BA27" s="190">
        <f t="shared" si="44"/>
        <v>0</v>
      </c>
      <c r="BB27" s="225">
        <f t="shared" si="44"/>
        <v>0</v>
      </c>
      <c r="BC27" s="77">
        <f t="shared" si="45"/>
        <v>0</v>
      </c>
      <c r="BD27" s="190">
        <f t="shared" si="45"/>
        <v>0</v>
      </c>
      <c r="BE27" s="190">
        <f t="shared" si="45"/>
        <v>0</v>
      </c>
      <c r="BF27" s="190">
        <f t="shared" si="45"/>
        <v>0</v>
      </c>
      <c r="BG27" s="190">
        <f t="shared" si="45"/>
        <v>0</v>
      </c>
      <c r="BH27" s="190">
        <f t="shared" si="45"/>
        <v>0</v>
      </c>
      <c r="BI27" s="190">
        <f t="shared" si="45"/>
        <v>0</v>
      </c>
      <c r="BJ27" s="190">
        <f t="shared" si="45"/>
        <v>0</v>
      </c>
      <c r="BK27" s="190">
        <f t="shared" si="45"/>
        <v>0</v>
      </c>
      <c r="BL27" s="190">
        <f t="shared" si="45"/>
        <v>0</v>
      </c>
      <c r="BM27" s="77">
        <f t="shared" si="57"/>
        <v>0</v>
      </c>
      <c r="BN27" s="190">
        <f t="shared" si="57"/>
        <v>0</v>
      </c>
      <c r="BO27" s="190">
        <f t="shared" si="57"/>
        <v>0</v>
      </c>
      <c r="BP27" s="190">
        <f t="shared" si="57"/>
        <v>0</v>
      </c>
      <c r="BQ27" s="190">
        <f t="shared" si="57"/>
        <v>0</v>
      </c>
      <c r="BR27" s="190">
        <f t="shared" si="57"/>
        <v>0</v>
      </c>
      <c r="BS27" s="190">
        <f t="shared" si="57"/>
        <v>0</v>
      </c>
      <c r="BT27" s="190">
        <f t="shared" si="57"/>
        <v>0</v>
      </c>
      <c r="BU27" s="190">
        <f t="shared" si="57"/>
        <v>0</v>
      </c>
      <c r="BV27" s="190">
        <f t="shared" si="57"/>
        <v>0</v>
      </c>
      <c r="BW27" s="23">
        <f t="shared" si="50"/>
        <v>0</v>
      </c>
      <c r="BX27" s="190">
        <f t="shared" si="50"/>
        <v>0</v>
      </c>
      <c r="BY27" s="190">
        <f t="shared" si="58"/>
        <v>0</v>
      </c>
      <c r="BZ27" s="190">
        <f t="shared" si="76"/>
        <v>0</v>
      </c>
      <c r="CA27" s="190">
        <f t="shared" si="76"/>
        <v>0</v>
      </c>
      <c r="CB27" s="190">
        <f t="shared" si="76"/>
        <v>0</v>
      </c>
      <c r="CC27" s="190">
        <f t="shared" si="76"/>
        <v>0</v>
      </c>
      <c r="CD27" s="190">
        <f t="shared" si="76"/>
        <v>0</v>
      </c>
      <c r="CE27" s="190">
        <f t="shared" si="59"/>
        <v>0</v>
      </c>
      <c r="CF27" s="190">
        <f t="shared" si="52"/>
        <v>0</v>
      </c>
      <c r="CG27" s="23">
        <f t="shared" si="77"/>
        <v>0</v>
      </c>
      <c r="CH27" s="190">
        <f t="shared" si="77"/>
        <v>0</v>
      </c>
      <c r="CI27" s="190">
        <f t="shared" si="77"/>
        <v>0</v>
      </c>
      <c r="CJ27" s="190">
        <f t="shared" si="77"/>
        <v>0</v>
      </c>
      <c r="CK27" s="190">
        <f t="shared" si="77"/>
        <v>0</v>
      </c>
      <c r="CL27" s="190">
        <f t="shared" si="77"/>
        <v>0</v>
      </c>
      <c r="CM27" s="190">
        <f t="shared" si="77"/>
        <v>0</v>
      </c>
      <c r="CN27" s="190">
        <f t="shared" si="77"/>
        <v>0</v>
      </c>
      <c r="CO27" s="190">
        <f t="shared" si="77"/>
        <v>0</v>
      </c>
      <c r="CP27" s="190">
        <f t="shared" si="77"/>
        <v>0</v>
      </c>
      <c r="CQ27" s="23">
        <f t="shared" si="68"/>
        <v>0</v>
      </c>
      <c r="CR27" s="190">
        <f t="shared" si="68"/>
        <v>0</v>
      </c>
      <c r="CS27" s="190">
        <f t="shared" si="68"/>
        <v>0</v>
      </c>
      <c r="CT27" s="190">
        <f t="shared" si="68"/>
        <v>0</v>
      </c>
      <c r="CU27" s="190">
        <f t="shared" si="68"/>
        <v>0</v>
      </c>
      <c r="CV27" s="190">
        <f t="shared" si="80"/>
        <v>0</v>
      </c>
      <c r="CW27" s="190">
        <f t="shared" si="80"/>
        <v>0</v>
      </c>
      <c r="CX27" s="77">
        <f t="shared" si="35"/>
        <v>0</v>
      </c>
      <c r="CY27" s="190">
        <f t="shared" si="35"/>
        <v>0</v>
      </c>
      <c r="CZ27" s="190">
        <f t="shared" si="35"/>
        <v>0</v>
      </c>
      <c r="DA27" s="190">
        <f t="shared" si="35"/>
        <v>0</v>
      </c>
      <c r="DB27" s="190">
        <f t="shared" si="35"/>
        <v>0</v>
      </c>
      <c r="DC27" s="190">
        <f t="shared" si="81"/>
        <v>0</v>
      </c>
      <c r="DD27" s="190">
        <f t="shared" si="81"/>
        <v>0</v>
      </c>
      <c r="DE27" s="59">
        <f t="shared" si="69"/>
        <v>0</v>
      </c>
      <c r="DF27" s="190">
        <f t="shared" si="69"/>
        <v>0</v>
      </c>
      <c r="DG27" s="190">
        <f t="shared" si="69"/>
        <v>0</v>
      </c>
      <c r="DH27" s="190">
        <f t="shared" si="69"/>
        <v>0</v>
      </c>
      <c r="DI27" s="190">
        <f t="shared" si="69"/>
        <v>0</v>
      </c>
      <c r="DJ27" s="190">
        <f t="shared" si="82"/>
        <v>0</v>
      </c>
      <c r="DK27" s="190">
        <f t="shared" si="82"/>
        <v>0</v>
      </c>
      <c r="DL27" s="23">
        <f t="shared" ref="DL27:DP36" si="88">0/142.5</f>
        <v>0</v>
      </c>
      <c r="DM27" s="190">
        <f t="shared" si="88"/>
        <v>0</v>
      </c>
      <c r="DN27" s="190">
        <f t="shared" si="88"/>
        <v>0</v>
      </c>
      <c r="DO27" s="190">
        <f t="shared" si="88"/>
        <v>0</v>
      </c>
      <c r="DP27" s="190">
        <f t="shared" si="88"/>
        <v>0</v>
      </c>
      <c r="DQ27" s="190">
        <f t="shared" si="83"/>
        <v>0</v>
      </c>
      <c r="DR27" s="190">
        <f t="shared" si="83"/>
        <v>0</v>
      </c>
      <c r="DS27" s="190">
        <f t="shared" si="83"/>
        <v>0</v>
      </c>
      <c r="DT27" s="201"/>
    </row>
    <row r="28" spans="1:124" ht="26.25" hidden="1" customHeight="1" outlineLevel="1" x14ac:dyDescent="0.4">
      <c r="A28" s="348"/>
      <c r="B28" s="348"/>
      <c r="C28" s="348"/>
      <c r="D28" s="350"/>
      <c r="E28" s="350"/>
      <c r="F28" s="350"/>
      <c r="G28" s="565"/>
      <c r="H28" s="450"/>
      <c r="I28" s="450"/>
      <c r="J28" s="448"/>
      <c r="K28" s="446"/>
      <c r="L28" s="446"/>
      <c r="M28" s="429"/>
      <c r="N28" s="43" t="s">
        <v>25</v>
      </c>
      <c r="O28" s="209">
        <f t="shared" si="72"/>
        <v>0</v>
      </c>
      <c r="P28" s="209">
        <f>(4.5+5.5)/120</f>
        <v>8.3333333333333329E-2</v>
      </c>
      <c r="Q28" s="209">
        <f t="shared" si="74"/>
        <v>0</v>
      </c>
      <c r="R28" s="209">
        <f t="shared" si="74"/>
        <v>0</v>
      </c>
      <c r="S28" s="209">
        <f>(6+18)/120</f>
        <v>0.2</v>
      </c>
      <c r="T28" s="209">
        <f t="shared" si="74"/>
        <v>0</v>
      </c>
      <c r="U28" s="209">
        <f t="shared" si="74"/>
        <v>0</v>
      </c>
      <c r="V28" s="209">
        <f t="shared" si="74"/>
        <v>0</v>
      </c>
      <c r="W28" s="209">
        <f t="shared" si="74"/>
        <v>0</v>
      </c>
      <c r="X28" s="53">
        <f>(14+15)/120</f>
        <v>0.24166666666666667</v>
      </c>
      <c r="Y28" s="209">
        <f t="shared" si="64"/>
        <v>0</v>
      </c>
      <c r="Z28" s="209">
        <f t="shared" si="64"/>
        <v>0</v>
      </c>
      <c r="AA28" s="209">
        <f t="shared" si="64"/>
        <v>0</v>
      </c>
      <c r="AB28" s="209">
        <f t="shared" si="64"/>
        <v>0</v>
      </c>
      <c r="AC28" s="209">
        <f>(1)/157.5</f>
        <v>6.3492063492063492E-3</v>
      </c>
      <c r="AD28" s="209">
        <f t="shared" si="64"/>
        <v>0</v>
      </c>
      <c r="AE28" s="209">
        <f t="shared" si="64"/>
        <v>0</v>
      </c>
      <c r="AF28" s="209">
        <f t="shared" si="64"/>
        <v>0</v>
      </c>
      <c r="AG28" s="209">
        <f t="shared" si="64"/>
        <v>0</v>
      </c>
      <c r="AH28" s="209">
        <f t="shared" si="64"/>
        <v>0</v>
      </c>
      <c r="AI28" s="58">
        <f t="shared" si="56"/>
        <v>0</v>
      </c>
      <c r="AJ28" s="209">
        <f t="shared" si="56"/>
        <v>0</v>
      </c>
      <c r="AK28" s="209">
        <f t="shared" si="56"/>
        <v>0</v>
      </c>
      <c r="AL28" s="209">
        <f t="shared" si="56"/>
        <v>0</v>
      </c>
      <c r="AM28" s="209">
        <f t="shared" si="56"/>
        <v>0</v>
      </c>
      <c r="AN28" s="209">
        <f t="shared" si="56"/>
        <v>0</v>
      </c>
      <c r="AO28" s="209">
        <f t="shared" si="56"/>
        <v>0</v>
      </c>
      <c r="AP28" s="209">
        <f t="shared" si="56"/>
        <v>0</v>
      </c>
      <c r="AQ28" s="209">
        <f t="shared" si="56"/>
        <v>0</v>
      </c>
      <c r="AR28" s="53">
        <f t="shared" si="56"/>
        <v>0</v>
      </c>
      <c r="AS28" s="65">
        <f t="shared" si="44"/>
        <v>0</v>
      </c>
      <c r="AT28" s="210">
        <f t="shared" si="44"/>
        <v>0</v>
      </c>
      <c r="AU28" s="210">
        <f t="shared" si="44"/>
        <v>0</v>
      </c>
      <c r="AV28" s="210">
        <f t="shared" si="44"/>
        <v>0</v>
      </c>
      <c r="AW28" s="210">
        <f t="shared" si="44"/>
        <v>0</v>
      </c>
      <c r="AX28" s="210">
        <f t="shared" si="44"/>
        <v>0</v>
      </c>
      <c r="AY28" s="210">
        <f t="shared" si="44"/>
        <v>0</v>
      </c>
      <c r="AZ28" s="210">
        <f t="shared" si="44"/>
        <v>0</v>
      </c>
      <c r="BA28" s="210">
        <f t="shared" si="44"/>
        <v>0</v>
      </c>
      <c r="BB28" s="53">
        <f t="shared" si="44"/>
        <v>0</v>
      </c>
      <c r="BC28" s="58">
        <f t="shared" si="45"/>
        <v>0</v>
      </c>
      <c r="BD28" s="209">
        <f t="shared" si="45"/>
        <v>0</v>
      </c>
      <c r="BE28" s="209">
        <f t="shared" si="45"/>
        <v>0</v>
      </c>
      <c r="BF28" s="209">
        <f t="shared" si="45"/>
        <v>0</v>
      </c>
      <c r="BG28" s="209">
        <f t="shared" si="45"/>
        <v>0</v>
      </c>
      <c r="BH28" s="209">
        <f t="shared" si="45"/>
        <v>0</v>
      </c>
      <c r="BI28" s="209">
        <f t="shared" si="45"/>
        <v>0</v>
      </c>
      <c r="BJ28" s="209">
        <f t="shared" si="45"/>
        <v>0</v>
      </c>
      <c r="BK28" s="209">
        <f t="shared" si="45"/>
        <v>0</v>
      </c>
      <c r="BL28" s="209">
        <f t="shared" si="45"/>
        <v>0</v>
      </c>
      <c r="BM28" s="58">
        <f t="shared" si="57"/>
        <v>0</v>
      </c>
      <c r="BN28" s="209">
        <f t="shared" si="57"/>
        <v>0</v>
      </c>
      <c r="BO28" s="209">
        <f t="shared" si="57"/>
        <v>0</v>
      </c>
      <c r="BP28" s="209">
        <f t="shared" si="57"/>
        <v>0</v>
      </c>
      <c r="BQ28" s="209">
        <f t="shared" si="57"/>
        <v>0</v>
      </c>
      <c r="BR28" s="209">
        <f t="shared" si="57"/>
        <v>0</v>
      </c>
      <c r="BS28" s="209">
        <f t="shared" si="57"/>
        <v>0</v>
      </c>
      <c r="BT28" s="209">
        <f t="shared" si="57"/>
        <v>0</v>
      </c>
      <c r="BU28" s="209">
        <f t="shared" si="57"/>
        <v>0</v>
      </c>
      <c r="BV28" s="209">
        <f t="shared" si="57"/>
        <v>0</v>
      </c>
      <c r="BW28" s="65">
        <f t="shared" si="50"/>
        <v>0</v>
      </c>
      <c r="BX28" s="209">
        <f t="shared" si="50"/>
        <v>0</v>
      </c>
      <c r="BY28" s="209">
        <f t="shared" si="58"/>
        <v>0</v>
      </c>
      <c r="BZ28" s="209">
        <f t="shared" si="76"/>
        <v>0</v>
      </c>
      <c r="CA28" s="209">
        <f t="shared" si="76"/>
        <v>0</v>
      </c>
      <c r="CB28" s="209">
        <f t="shared" si="76"/>
        <v>0</v>
      </c>
      <c r="CC28" s="209">
        <f t="shared" si="76"/>
        <v>0</v>
      </c>
      <c r="CD28" s="209">
        <f t="shared" si="76"/>
        <v>0</v>
      </c>
      <c r="CE28" s="209">
        <f t="shared" si="59"/>
        <v>0</v>
      </c>
      <c r="CF28" s="209">
        <f t="shared" si="52"/>
        <v>0</v>
      </c>
      <c r="CG28" s="65">
        <f t="shared" si="77"/>
        <v>0</v>
      </c>
      <c r="CH28" s="209">
        <f t="shared" si="77"/>
        <v>0</v>
      </c>
      <c r="CI28" s="209">
        <f t="shared" si="77"/>
        <v>0</v>
      </c>
      <c r="CJ28" s="209">
        <f t="shared" si="77"/>
        <v>0</v>
      </c>
      <c r="CK28" s="209">
        <f t="shared" si="77"/>
        <v>0</v>
      </c>
      <c r="CL28" s="209">
        <f t="shared" si="77"/>
        <v>0</v>
      </c>
      <c r="CM28" s="209">
        <f t="shared" si="77"/>
        <v>0</v>
      </c>
      <c r="CN28" s="209">
        <f t="shared" si="77"/>
        <v>0</v>
      </c>
      <c r="CO28" s="209">
        <f t="shared" si="77"/>
        <v>0</v>
      </c>
      <c r="CP28" s="209">
        <f t="shared" si="77"/>
        <v>0</v>
      </c>
      <c r="CQ28" s="65">
        <f t="shared" si="68"/>
        <v>0</v>
      </c>
      <c r="CR28" s="210">
        <f t="shared" si="68"/>
        <v>0</v>
      </c>
      <c r="CS28" s="210">
        <f t="shared" si="68"/>
        <v>0</v>
      </c>
      <c r="CT28" s="210">
        <f t="shared" si="68"/>
        <v>0</v>
      </c>
      <c r="CU28" s="210">
        <f t="shared" si="68"/>
        <v>0</v>
      </c>
      <c r="CV28" s="210">
        <f t="shared" si="80"/>
        <v>0</v>
      </c>
      <c r="CW28" s="210">
        <f t="shared" si="80"/>
        <v>0</v>
      </c>
      <c r="CX28" s="65">
        <f t="shared" si="35"/>
        <v>0</v>
      </c>
      <c r="CY28" s="210">
        <f t="shared" si="35"/>
        <v>0</v>
      </c>
      <c r="CZ28" s="210">
        <f t="shared" si="35"/>
        <v>0</v>
      </c>
      <c r="DA28" s="210">
        <f t="shared" si="35"/>
        <v>0</v>
      </c>
      <c r="DB28" s="210">
        <f t="shared" si="35"/>
        <v>0</v>
      </c>
      <c r="DC28" s="210">
        <f t="shared" si="81"/>
        <v>0</v>
      </c>
      <c r="DD28" s="210">
        <f t="shared" si="81"/>
        <v>0</v>
      </c>
      <c r="DE28" s="61">
        <f t="shared" si="69"/>
        <v>0</v>
      </c>
      <c r="DF28" s="210">
        <f t="shared" si="69"/>
        <v>0</v>
      </c>
      <c r="DG28" s="210">
        <f t="shared" si="69"/>
        <v>0</v>
      </c>
      <c r="DH28" s="210">
        <f t="shared" si="69"/>
        <v>0</v>
      </c>
      <c r="DI28" s="210">
        <f t="shared" si="69"/>
        <v>0</v>
      </c>
      <c r="DJ28" s="210">
        <f t="shared" si="82"/>
        <v>0</v>
      </c>
      <c r="DK28" s="210">
        <f t="shared" si="82"/>
        <v>0</v>
      </c>
      <c r="DL28" s="65">
        <f t="shared" si="88"/>
        <v>0</v>
      </c>
      <c r="DM28" s="210">
        <f t="shared" si="88"/>
        <v>0</v>
      </c>
      <c r="DN28" s="210">
        <f t="shared" si="88"/>
        <v>0</v>
      </c>
      <c r="DO28" s="210">
        <f t="shared" si="88"/>
        <v>0</v>
      </c>
      <c r="DP28" s="210">
        <f t="shared" si="88"/>
        <v>0</v>
      </c>
      <c r="DQ28" s="210">
        <f t="shared" si="83"/>
        <v>0</v>
      </c>
      <c r="DR28" s="210">
        <f t="shared" si="83"/>
        <v>0</v>
      </c>
      <c r="DS28" s="210">
        <f t="shared" si="83"/>
        <v>0</v>
      </c>
      <c r="DT28" s="201"/>
    </row>
    <row r="29" spans="1:124" ht="26.25" hidden="1" customHeight="1" outlineLevel="1" x14ac:dyDescent="0.4">
      <c r="A29" s="347">
        <v>12</v>
      </c>
      <c r="B29" s="347" t="s">
        <v>47</v>
      </c>
      <c r="C29" s="347" t="s">
        <v>14</v>
      </c>
      <c r="D29" s="349" t="s">
        <v>440</v>
      </c>
      <c r="E29" s="349" t="s">
        <v>478</v>
      </c>
      <c r="F29" s="349"/>
      <c r="G29" s="563" t="s">
        <v>479</v>
      </c>
      <c r="H29" s="449">
        <f t="shared" ref="H29" si="89">SUM(CG29:CP29)</f>
        <v>0</v>
      </c>
      <c r="I29" s="449">
        <f t="shared" ref="I29" si="90">SUM(CG30:CP30)</f>
        <v>0</v>
      </c>
      <c r="J29" s="447"/>
      <c r="K29" s="445"/>
      <c r="L29" s="445"/>
      <c r="M29" s="428"/>
      <c r="N29" s="52" t="s">
        <v>24</v>
      </c>
      <c r="O29" s="190">
        <f t="shared" si="72"/>
        <v>0</v>
      </c>
      <c r="P29" s="190">
        <f>(6)/120</f>
        <v>0.05</v>
      </c>
      <c r="Q29" s="190">
        <f t="shared" si="74"/>
        <v>0</v>
      </c>
      <c r="R29" s="190">
        <f t="shared" si="74"/>
        <v>0</v>
      </c>
      <c r="S29" s="190">
        <f t="shared" si="74"/>
        <v>0</v>
      </c>
      <c r="T29" s="190">
        <f t="shared" si="74"/>
        <v>0</v>
      </c>
      <c r="U29" s="190">
        <f t="shared" si="74"/>
        <v>0</v>
      </c>
      <c r="V29" s="190">
        <f>(5)/120</f>
        <v>4.1666666666666664E-2</v>
      </c>
      <c r="W29" s="190">
        <f t="shared" si="74"/>
        <v>0</v>
      </c>
      <c r="X29" s="86">
        <f t="shared" si="74"/>
        <v>0</v>
      </c>
      <c r="Y29" s="190">
        <f t="shared" ref="Y29:AH30" si="91">(0)/150</f>
        <v>0</v>
      </c>
      <c r="Z29" s="190">
        <f t="shared" si="91"/>
        <v>0</v>
      </c>
      <c r="AA29" s="190">
        <f t="shared" si="91"/>
        <v>0</v>
      </c>
      <c r="AB29" s="190">
        <f t="shared" si="91"/>
        <v>0</v>
      </c>
      <c r="AC29" s="190">
        <f t="shared" si="91"/>
        <v>0</v>
      </c>
      <c r="AD29" s="190">
        <f t="shared" si="91"/>
        <v>0</v>
      </c>
      <c r="AE29" s="190">
        <f t="shared" si="91"/>
        <v>0</v>
      </c>
      <c r="AF29" s="190">
        <f t="shared" si="91"/>
        <v>0</v>
      </c>
      <c r="AG29" s="190">
        <f t="shared" si="91"/>
        <v>0</v>
      </c>
      <c r="AH29" s="190">
        <f t="shared" si="91"/>
        <v>0</v>
      </c>
      <c r="AI29" s="77">
        <f t="shared" si="56"/>
        <v>0</v>
      </c>
      <c r="AJ29" s="190">
        <f t="shared" si="56"/>
        <v>0</v>
      </c>
      <c r="AK29" s="190">
        <f t="shared" si="56"/>
        <v>0</v>
      </c>
      <c r="AL29" s="190">
        <f t="shared" si="56"/>
        <v>0</v>
      </c>
      <c r="AM29" s="190">
        <f t="shared" si="56"/>
        <v>0</v>
      </c>
      <c r="AN29" s="190">
        <f t="shared" si="56"/>
        <v>0</v>
      </c>
      <c r="AO29" s="190">
        <f t="shared" si="56"/>
        <v>0</v>
      </c>
      <c r="AP29" s="190">
        <f t="shared" si="56"/>
        <v>0</v>
      </c>
      <c r="AQ29" s="190">
        <f t="shared" si="56"/>
        <v>0</v>
      </c>
      <c r="AR29" s="225">
        <f t="shared" si="56"/>
        <v>0</v>
      </c>
      <c r="AS29" s="23">
        <f t="shared" si="44"/>
        <v>0</v>
      </c>
      <c r="AT29" s="190">
        <f t="shared" si="44"/>
        <v>0</v>
      </c>
      <c r="AU29" s="190">
        <f t="shared" si="44"/>
        <v>0</v>
      </c>
      <c r="AV29" s="190">
        <f t="shared" si="44"/>
        <v>0</v>
      </c>
      <c r="AW29" s="190">
        <f t="shared" si="44"/>
        <v>0</v>
      </c>
      <c r="AX29" s="190">
        <f t="shared" si="44"/>
        <v>0</v>
      </c>
      <c r="AY29" s="190">
        <f t="shared" si="44"/>
        <v>0</v>
      </c>
      <c r="AZ29" s="190">
        <f t="shared" si="44"/>
        <v>0</v>
      </c>
      <c r="BA29" s="190">
        <f t="shared" si="44"/>
        <v>0</v>
      </c>
      <c r="BB29" s="225">
        <f t="shared" si="44"/>
        <v>0</v>
      </c>
      <c r="BC29" s="77">
        <f t="shared" si="45"/>
        <v>0</v>
      </c>
      <c r="BD29" s="190">
        <f t="shared" si="45"/>
        <v>0</v>
      </c>
      <c r="BE29" s="190">
        <f t="shared" si="45"/>
        <v>0</v>
      </c>
      <c r="BF29" s="190">
        <f t="shared" si="45"/>
        <v>0</v>
      </c>
      <c r="BG29" s="190">
        <f t="shared" si="45"/>
        <v>0</v>
      </c>
      <c r="BH29" s="190">
        <f t="shared" si="45"/>
        <v>0</v>
      </c>
      <c r="BI29" s="190">
        <f t="shared" si="45"/>
        <v>0</v>
      </c>
      <c r="BJ29" s="190">
        <f t="shared" si="45"/>
        <v>0</v>
      </c>
      <c r="BK29" s="190">
        <f t="shared" si="45"/>
        <v>0</v>
      </c>
      <c r="BL29" s="190">
        <f t="shared" si="45"/>
        <v>0</v>
      </c>
      <c r="BM29" s="77">
        <f t="shared" si="57"/>
        <v>0</v>
      </c>
      <c r="BN29" s="190">
        <f t="shared" si="57"/>
        <v>0</v>
      </c>
      <c r="BO29" s="190">
        <f t="shared" si="57"/>
        <v>0</v>
      </c>
      <c r="BP29" s="190">
        <f t="shared" si="57"/>
        <v>0</v>
      </c>
      <c r="BQ29" s="190">
        <f t="shared" si="57"/>
        <v>0</v>
      </c>
      <c r="BR29" s="190">
        <f t="shared" si="57"/>
        <v>0</v>
      </c>
      <c r="BS29" s="190">
        <f t="shared" si="57"/>
        <v>0</v>
      </c>
      <c r="BT29" s="190">
        <f t="shared" si="57"/>
        <v>0</v>
      </c>
      <c r="BU29" s="190">
        <f t="shared" si="57"/>
        <v>0</v>
      </c>
      <c r="BV29" s="190">
        <f t="shared" si="57"/>
        <v>0</v>
      </c>
      <c r="BW29" s="23">
        <f t="shared" si="50"/>
        <v>0</v>
      </c>
      <c r="BX29" s="190">
        <f t="shared" si="50"/>
        <v>0</v>
      </c>
      <c r="BY29" s="190">
        <f t="shared" si="58"/>
        <v>0</v>
      </c>
      <c r="BZ29" s="190">
        <f t="shared" si="76"/>
        <v>0</v>
      </c>
      <c r="CA29" s="190">
        <f t="shared" si="76"/>
        <v>0</v>
      </c>
      <c r="CB29" s="190">
        <f t="shared" si="76"/>
        <v>0</v>
      </c>
      <c r="CC29" s="190">
        <f t="shared" si="76"/>
        <v>0</v>
      </c>
      <c r="CD29" s="190">
        <f t="shared" si="76"/>
        <v>0</v>
      </c>
      <c r="CE29" s="190">
        <f t="shared" si="59"/>
        <v>0</v>
      </c>
      <c r="CF29" s="190">
        <f t="shared" si="52"/>
        <v>0</v>
      </c>
      <c r="CG29" s="23">
        <f t="shared" si="77"/>
        <v>0</v>
      </c>
      <c r="CH29" s="190">
        <f t="shared" si="77"/>
        <v>0</v>
      </c>
      <c r="CI29" s="190">
        <f t="shared" si="77"/>
        <v>0</v>
      </c>
      <c r="CJ29" s="190">
        <f t="shared" si="77"/>
        <v>0</v>
      </c>
      <c r="CK29" s="190">
        <f t="shared" si="77"/>
        <v>0</v>
      </c>
      <c r="CL29" s="190">
        <f t="shared" si="77"/>
        <v>0</v>
      </c>
      <c r="CM29" s="190">
        <f t="shared" si="77"/>
        <v>0</v>
      </c>
      <c r="CN29" s="190">
        <f t="shared" si="77"/>
        <v>0</v>
      </c>
      <c r="CO29" s="190">
        <f t="shared" si="77"/>
        <v>0</v>
      </c>
      <c r="CP29" s="190">
        <f t="shared" si="77"/>
        <v>0</v>
      </c>
      <c r="CQ29" s="23">
        <f t="shared" ref="CQ29:CU38" si="92">0/157.5</f>
        <v>0</v>
      </c>
      <c r="CR29" s="190">
        <f t="shared" si="92"/>
        <v>0</v>
      </c>
      <c r="CS29" s="190">
        <f t="shared" si="92"/>
        <v>0</v>
      </c>
      <c r="CT29" s="190">
        <f t="shared" si="92"/>
        <v>0</v>
      </c>
      <c r="CU29" s="190">
        <f t="shared" si="92"/>
        <v>0</v>
      </c>
      <c r="CV29" s="190">
        <f t="shared" si="80"/>
        <v>0</v>
      </c>
      <c r="CW29" s="190">
        <f t="shared" si="80"/>
        <v>0</v>
      </c>
      <c r="CX29" s="77">
        <f t="shared" si="35"/>
        <v>0</v>
      </c>
      <c r="CY29" s="190">
        <f t="shared" si="35"/>
        <v>0</v>
      </c>
      <c r="CZ29" s="190">
        <f t="shared" si="35"/>
        <v>0</v>
      </c>
      <c r="DA29" s="190">
        <f t="shared" si="35"/>
        <v>0</v>
      </c>
      <c r="DB29" s="190">
        <f t="shared" si="35"/>
        <v>0</v>
      </c>
      <c r="DC29" s="190">
        <f t="shared" si="81"/>
        <v>0</v>
      </c>
      <c r="DD29" s="190">
        <f t="shared" si="81"/>
        <v>0</v>
      </c>
      <c r="DE29" s="59">
        <f t="shared" ref="DE29:DI38" si="93">0/127.5</f>
        <v>0</v>
      </c>
      <c r="DF29" s="190">
        <f t="shared" si="93"/>
        <v>0</v>
      </c>
      <c r="DG29" s="190">
        <f t="shared" si="93"/>
        <v>0</v>
      </c>
      <c r="DH29" s="190">
        <f t="shared" si="93"/>
        <v>0</v>
      </c>
      <c r="DI29" s="190">
        <f t="shared" si="93"/>
        <v>0</v>
      </c>
      <c r="DJ29" s="190">
        <f t="shared" si="82"/>
        <v>0</v>
      </c>
      <c r="DK29" s="190">
        <f t="shared" si="82"/>
        <v>0</v>
      </c>
      <c r="DL29" s="23">
        <f t="shared" si="88"/>
        <v>0</v>
      </c>
      <c r="DM29" s="190">
        <f t="shared" si="88"/>
        <v>0</v>
      </c>
      <c r="DN29" s="190">
        <f t="shared" si="88"/>
        <v>0</v>
      </c>
      <c r="DO29" s="190">
        <f t="shared" si="88"/>
        <v>0</v>
      </c>
      <c r="DP29" s="190">
        <f t="shared" si="88"/>
        <v>0</v>
      </c>
      <c r="DQ29" s="190">
        <f t="shared" si="83"/>
        <v>0</v>
      </c>
      <c r="DR29" s="190">
        <f t="shared" si="83"/>
        <v>0</v>
      </c>
      <c r="DS29" s="190">
        <f t="shared" si="83"/>
        <v>0</v>
      </c>
      <c r="DT29" s="201"/>
    </row>
    <row r="30" spans="1:124" ht="26.25" hidden="1" customHeight="1" outlineLevel="1" x14ac:dyDescent="0.4">
      <c r="A30" s="348"/>
      <c r="B30" s="348"/>
      <c r="C30" s="348"/>
      <c r="D30" s="350"/>
      <c r="E30" s="350"/>
      <c r="F30" s="350"/>
      <c r="G30" s="565"/>
      <c r="H30" s="450"/>
      <c r="I30" s="450"/>
      <c r="J30" s="448"/>
      <c r="K30" s="446"/>
      <c r="L30" s="446"/>
      <c r="M30" s="429"/>
      <c r="N30" s="43" t="s">
        <v>25</v>
      </c>
      <c r="O30" s="209">
        <f t="shared" si="72"/>
        <v>0</v>
      </c>
      <c r="P30" s="209">
        <f>(4.5)/120</f>
        <v>3.7499999999999999E-2</v>
      </c>
      <c r="Q30" s="209">
        <f t="shared" si="74"/>
        <v>0</v>
      </c>
      <c r="R30" s="209">
        <f t="shared" si="74"/>
        <v>0</v>
      </c>
      <c r="S30" s="209">
        <f t="shared" si="74"/>
        <v>0</v>
      </c>
      <c r="T30" s="209">
        <f t="shared" si="74"/>
        <v>0</v>
      </c>
      <c r="U30" s="209">
        <f t="shared" si="74"/>
        <v>0</v>
      </c>
      <c r="V30" s="209">
        <f>(4)/120</f>
        <v>3.3333333333333333E-2</v>
      </c>
      <c r="W30" s="209">
        <f t="shared" si="74"/>
        <v>0</v>
      </c>
      <c r="X30" s="53">
        <f t="shared" si="74"/>
        <v>0</v>
      </c>
      <c r="Y30" s="209">
        <f t="shared" si="91"/>
        <v>0</v>
      </c>
      <c r="Z30" s="209">
        <f t="shared" si="91"/>
        <v>0</v>
      </c>
      <c r="AA30" s="209">
        <f t="shared" si="91"/>
        <v>0</v>
      </c>
      <c r="AB30" s="209">
        <f t="shared" si="91"/>
        <v>0</v>
      </c>
      <c r="AC30" s="209">
        <f t="shared" si="91"/>
        <v>0</v>
      </c>
      <c r="AD30" s="209">
        <f t="shared" si="91"/>
        <v>0</v>
      </c>
      <c r="AE30" s="209">
        <f t="shared" si="91"/>
        <v>0</v>
      </c>
      <c r="AF30" s="209">
        <f t="shared" si="91"/>
        <v>0</v>
      </c>
      <c r="AG30" s="209">
        <f t="shared" si="91"/>
        <v>0</v>
      </c>
      <c r="AH30" s="209">
        <f t="shared" si="91"/>
        <v>0</v>
      </c>
      <c r="AI30" s="58">
        <f t="shared" si="56"/>
        <v>0</v>
      </c>
      <c r="AJ30" s="209">
        <f t="shared" si="56"/>
        <v>0</v>
      </c>
      <c r="AK30" s="209">
        <f t="shared" si="56"/>
        <v>0</v>
      </c>
      <c r="AL30" s="209">
        <f t="shared" si="56"/>
        <v>0</v>
      </c>
      <c r="AM30" s="209">
        <f t="shared" si="56"/>
        <v>0</v>
      </c>
      <c r="AN30" s="209">
        <f t="shared" si="56"/>
        <v>0</v>
      </c>
      <c r="AO30" s="209">
        <f t="shared" si="56"/>
        <v>0</v>
      </c>
      <c r="AP30" s="209">
        <f t="shared" si="56"/>
        <v>0</v>
      </c>
      <c r="AQ30" s="209">
        <f t="shared" si="56"/>
        <v>0</v>
      </c>
      <c r="AR30" s="53">
        <f t="shared" si="56"/>
        <v>0</v>
      </c>
      <c r="AS30" s="65">
        <f t="shared" si="44"/>
        <v>0</v>
      </c>
      <c r="AT30" s="210">
        <f t="shared" si="44"/>
        <v>0</v>
      </c>
      <c r="AU30" s="210">
        <f t="shared" si="44"/>
        <v>0</v>
      </c>
      <c r="AV30" s="210">
        <f t="shared" si="44"/>
        <v>0</v>
      </c>
      <c r="AW30" s="210">
        <f t="shared" si="44"/>
        <v>0</v>
      </c>
      <c r="AX30" s="210">
        <f t="shared" si="44"/>
        <v>0</v>
      </c>
      <c r="AY30" s="210">
        <f t="shared" si="44"/>
        <v>0</v>
      </c>
      <c r="AZ30" s="210">
        <f t="shared" si="44"/>
        <v>0</v>
      </c>
      <c r="BA30" s="210">
        <f t="shared" si="44"/>
        <v>0</v>
      </c>
      <c r="BB30" s="53">
        <f t="shared" si="44"/>
        <v>0</v>
      </c>
      <c r="BC30" s="58">
        <f t="shared" si="45"/>
        <v>0</v>
      </c>
      <c r="BD30" s="209">
        <f t="shared" si="45"/>
        <v>0</v>
      </c>
      <c r="BE30" s="209">
        <f t="shared" si="45"/>
        <v>0</v>
      </c>
      <c r="BF30" s="209">
        <f t="shared" si="45"/>
        <v>0</v>
      </c>
      <c r="BG30" s="209">
        <f t="shared" si="45"/>
        <v>0</v>
      </c>
      <c r="BH30" s="209">
        <f t="shared" si="45"/>
        <v>0</v>
      </c>
      <c r="BI30" s="209">
        <f t="shared" si="45"/>
        <v>0</v>
      </c>
      <c r="BJ30" s="209">
        <f t="shared" si="45"/>
        <v>0</v>
      </c>
      <c r="BK30" s="209">
        <f t="shared" si="45"/>
        <v>0</v>
      </c>
      <c r="BL30" s="209">
        <f t="shared" si="45"/>
        <v>0</v>
      </c>
      <c r="BM30" s="58">
        <f t="shared" si="57"/>
        <v>0</v>
      </c>
      <c r="BN30" s="209">
        <f t="shared" si="57"/>
        <v>0</v>
      </c>
      <c r="BO30" s="209">
        <f t="shared" si="57"/>
        <v>0</v>
      </c>
      <c r="BP30" s="209">
        <f t="shared" si="57"/>
        <v>0</v>
      </c>
      <c r="BQ30" s="209">
        <f t="shared" si="57"/>
        <v>0</v>
      </c>
      <c r="BR30" s="209">
        <f t="shared" si="57"/>
        <v>0</v>
      </c>
      <c r="BS30" s="209">
        <f t="shared" si="57"/>
        <v>0</v>
      </c>
      <c r="BT30" s="209">
        <f t="shared" si="57"/>
        <v>0</v>
      </c>
      <c r="BU30" s="209">
        <f t="shared" si="57"/>
        <v>0</v>
      </c>
      <c r="BV30" s="209">
        <f t="shared" si="57"/>
        <v>0</v>
      </c>
      <c r="BW30" s="65">
        <f t="shared" si="50"/>
        <v>0</v>
      </c>
      <c r="BX30" s="209">
        <f t="shared" si="50"/>
        <v>0</v>
      </c>
      <c r="BY30" s="209">
        <f t="shared" si="58"/>
        <v>0</v>
      </c>
      <c r="BZ30" s="209">
        <f t="shared" si="76"/>
        <v>0</v>
      </c>
      <c r="CA30" s="209">
        <f t="shared" si="76"/>
        <v>0</v>
      </c>
      <c r="CB30" s="209">
        <f t="shared" si="76"/>
        <v>0</v>
      </c>
      <c r="CC30" s="209">
        <f t="shared" si="76"/>
        <v>0</v>
      </c>
      <c r="CD30" s="209">
        <f t="shared" si="76"/>
        <v>0</v>
      </c>
      <c r="CE30" s="209">
        <f t="shared" si="59"/>
        <v>0</v>
      </c>
      <c r="CF30" s="209">
        <f t="shared" si="52"/>
        <v>0</v>
      </c>
      <c r="CG30" s="65">
        <f t="shared" si="77"/>
        <v>0</v>
      </c>
      <c r="CH30" s="209">
        <f t="shared" si="77"/>
        <v>0</v>
      </c>
      <c r="CI30" s="209">
        <f t="shared" si="77"/>
        <v>0</v>
      </c>
      <c r="CJ30" s="209">
        <f t="shared" si="77"/>
        <v>0</v>
      </c>
      <c r="CK30" s="209">
        <f t="shared" si="77"/>
        <v>0</v>
      </c>
      <c r="CL30" s="209">
        <f t="shared" si="77"/>
        <v>0</v>
      </c>
      <c r="CM30" s="209">
        <f t="shared" si="77"/>
        <v>0</v>
      </c>
      <c r="CN30" s="209">
        <f t="shared" si="77"/>
        <v>0</v>
      </c>
      <c r="CO30" s="209">
        <f t="shared" si="77"/>
        <v>0</v>
      </c>
      <c r="CP30" s="209">
        <f t="shared" si="77"/>
        <v>0</v>
      </c>
      <c r="CQ30" s="65">
        <f t="shared" si="92"/>
        <v>0</v>
      </c>
      <c r="CR30" s="210">
        <f t="shared" si="92"/>
        <v>0</v>
      </c>
      <c r="CS30" s="210">
        <f t="shared" si="92"/>
        <v>0</v>
      </c>
      <c r="CT30" s="210">
        <f t="shared" si="92"/>
        <v>0</v>
      </c>
      <c r="CU30" s="210">
        <f t="shared" si="92"/>
        <v>0</v>
      </c>
      <c r="CV30" s="210">
        <f t="shared" si="80"/>
        <v>0</v>
      </c>
      <c r="CW30" s="210">
        <f t="shared" si="80"/>
        <v>0</v>
      </c>
      <c r="CX30" s="65">
        <f t="shared" si="35"/>
        <v>0</v>
      </c>
      <c r="CY30" s="210">
        <f t="shared" si="35"/>
        <v>0</v>
      </c>
      <c r="CZ30" s="210">
        <f t="shared" si="35"/>
        <v>0</v>
      </c>
      <c r="DA30" s="210">
        <f t="shared" si="35"/>
        <v>0</v>
      </c>
      <c r="DB30" s="210">
        <f t="shared" si="35"/>
        <v>0</v>
      </c>
      <c r="DC30" s="210">
        <f t="shared" si="81"/>
        <v>0</v>
      </c>
      <c r="DD30" s="210">
        <f t="shared" si="81"/>
        <v>0</v>
      </c>
      <c r="DE30" s="61">
        <f t="shared" si="93"/>
        <v>0</v>
      </c>
      <c r="DF30" s="210">
        <f t="shared" si="93"/>
        <v>0</v>
      </c>
      <c r="DG30" s="210">
        <f t="shared" si="93"/>
        <v>0</v>
      </c>
      <c r="DH30" s="210">
        <f t="shared" si="93"/>
        <v>0</v>
      </c>
      <c r="DI30" s="210">
        <f t="shared" si="93"/>
        <v>0</v>
      </c>
      <c r="DJ30" s="210">
        <f t="shared" si="82"/>
        <v>0</v>
      </c>
      <c r="DK30" s="210">
        <f t="shared" si="82"/>
        <v>0</v>
      </c>
      <c r="DL30" s="65">
        <f t="shared" si="88"/>
        <v>0</v>
      </c>
      <c r="DM30" s="210">
        <f t="shared" si="88"/>
        <v>0</v>
      </c>
      <c r="DN30" s="210">
        <f t="shared" si="88"/>
        <v>0</v>
      </c>
      <c r="DO30" s="210">
        <f t="shared" si="88"/>
        <v>0</v>
      </c>
      <c r="DP30" s="210">
        <f t="shared" si="88"/>
        <v>0</v>
      </c>
      <c r="DQ30" s="210">
        <f t="shared" si="83"/>
        <v>0</v>
      </c>
      <c r="DR30" s="210">
        <f t="shared" si="83"/>
        <v>0</v>
      </c>
      <c r="DS30" s="210">
        <f t="shared" si="83"/>
        <v>0</v>
      </c>
      <c r="DT30" s="201"/>
    </row>
    <row r="31" spans="1:124" ht="26.25" hidden="1" customHeight="1" outlineLevel="1" collapsed="1" x14ac:dyDescent="0.4">
      <c r="A31" s="347">
        <v>13</v>
      </c>
      <c r="B31" s="347" t="s">
        <v>47</v>
      </c>
      <c r="C31" s="347" t="s">
        <v>14</v>
      </c>
      <c r="D31" s="349" t="s">
        <v>489</v>
      </c>
      <c r="E31" s="349" t="s">
        <v>486</v>
      </c>
      <c r="F31" s="349"/>
      <c r="G31" s="563" t="s">
        <v>488</v>
      </c>
      <c r="H31" s="449">
        <f t="shared" ref="H31" si="94">SUM(CG31:CP31)</f>
        <v>0</v>
      </c>
      <c r="I31" s="449">
        <f t="shared" ref="I31" si="95">SUM(CG32:CP32)</f>
        <v>0</v>
      </c>
      <c r="J31" s="447"/>
      <c r="K31" s="445"/>
      <c r="L31" s="445"/>
      <c r="M31" s="428"/>
      <c r="N31" s="52" t="s">
        <v>24</v>
      </c>
      <c r="O31" s="190">
        <f t="shared" ref="O31:X54" si="96">0/127.5</f>
        <v>0</v>
      </c>
      <c r="P31" s="190">
        <f t="shared" si="96"/>
        <v>0</v>
      </c>
      <c r="Q31" s="190">
        <f t="shared" si="96"/>
        <v>0</v>
      </c>
      <c r="R31" s="190">
        <f t="shared" si="96"/>
        <v>0</v>
      </c>
      <c r="S31" s="190">
        <f t="shared" si="96"/>
        <v>0</v>
      </c>
      <c r="T31" s="190">
        <f t="shared" si="96"/>
        <v>0</v>
      </c>
      <c r="U31" s="190">
        <f t="shared" si="96"/>
        <v>0</v>
      </c>
      <c r="V31" s="190">
        <f t="shared" ref="V31:W85" si="97">0/127.5</f>
        <v>0</v>
      </c>
      <c r="W31" s="190">
        <f t="shared" si="97"/>
        <v>0</v>
      </c>
      <c r="X31" s="86">
        <f t="shared" si="96"/>
        <v>0</v>
      </c>
      <c r="Y31" s="190">
        <f>(5)/157.5</f>
        <v>3.1746031746031744E-2</v>
      </c>
      <c r="Z31" s="190">
        <f>(35)/157.5</f>
        <v>0.22222222222222221</v>
      </c>
      <c r="AA31" s="190">
        <f t="shared" ref="Y31:AH38" si="98">(0)/157.5</f>
        <v>0</v>
      </c>
      <c r="AB31" s="190">
        <f t="shared" si="98"/>
        <v>0</v>
      </c>
      <c r="AC31" s="190">
        <f>(15)/157.5</f>
        <v>9.5238095238095233E-2</v>
      </c>
      <c r="AD31" s="190">
        <f t="shared" si="98"/>
        <v>0</v>
      </c>
      <c r="AE31" s="190">
        <f>(10)/157.5</f>
        <v>6.3492063492063489E-2</v>
      </c>
      <c r="AF31" s="190">
        <f>(10)/157.5</f>
        <v>6.3492063492063489E-2</v>
      </c>
      <c r="AG31" s="190">
        <f t="shared" si="98"/>
        <v>0</v>
      </c>
      <c r="AH31" s="190">
        <f t="shared" si="98"/>
        <v>0</v>
      </c>
      <c r="AI31" s="77">
        <f t="shared" si="56"/>
        <v>0</v>
      </c>
      <c r="AJ31" s="190">
        <f>(16.5)/157.5</f>
        <v>0.10476190476190476</v>
      </c>
      <c r="AK31" s="190">
        <f t="shared" si="56"/>
        <v>0</v>
      </c>
      <c r="AL31" s="190">
        <f t="shared" si="56"/>
        <v>0</v>
      </c>
      <c r="AM31" s="190">
        <f t="shared" si="56"/>
        <v>0</v>
      </c>
      <c r="AN31" s="190">
        <f t="shared" si="56"/>
        <v>0</v>
      </c>
      <c r="AO31" s="190">
        <f>(16.5)/157.5</f>
        <v>0.10476190476190476</v>
      </c>
      <c r="AP31" s="190">
        <f t="shared" si="56"/>
        <v>0</v>
      </c>
      <c r="AQ31" s="190">
        <f t="shared" si="56"/>
        <v>0</v>
      </c>
      <c r="AR31" s="225">
        <f t="shared" si="56"/>
        <v>0</v>
      </c>
      <c r="AS31" s="23">
        <f t="shared" si="44"/>
        <v>0</v>
      </c>
      <c r="AT31" s="190">
        <f t="shared" si="44"/>
        <v>0</v>
      </c>
      <c r="AU31" s="190">
        <f t="shared" si="44"/>
        <v>0</v>
      </c>
      <c r="AV31" s="190">
        <f t="shared" si="44"/>
        <v>0</v>
      </c>
      <c r="AW31" s="190">
        <f t="shared" si="44"/>
        <v>0</v>
      </c>
      <c r="AX31" s="190">
        <f t="shared" si="44"/>
        <v>0</v>
      </c>
      <c r="AY31" s="190">
        <f t="shared" si="44"/>
        <v>0</v>
      </c>
      <c r="AZ31" s="190">
        <f t="shared" si="44"/>
        <v>0</v>
      </c>
      <c r="BA31" s="190">
        <f t="shared" si="44"/>
        <v>0</v>
      </c>
      <c r="BB31" s="225">
        <f t="shared" si="44"/>
        <v>0</v>
      </c>
      <c r="BC31" s="77">
        <f t="shared" si="45"/>
        <v>0</v>
      </c>
      <c r="BD31" s="190">
        <f t="shared" si="45"/>
        <v>0</v>
      </c>
      <c r="BE31" s="190">
        <f t="shared" si="45"/>
        <v>0</v>
      </c>
      <c r="BF31" s="190">
        <f t="shared" si="45"/>
        <v>0</v>
      </c>
      <c r="BG31" s="190">
        <f t="shared" si="45"/>
        <v>0</v>
      </c>
      <c r="BH31" s="190">
        <f t="shared" si="45"/>
        <v>0</v>
      </c>
      <c r="BI31" s="190">
        <f t="shared" si="45"/>
        <v>0</v>
      </c>
      <c r="BJ31" s="190">
        <f t="shared" si="45"/>
        <v>0</v>
      </c>
      <c r="BK31" s="190">
        <f t="shared" si="45"/>
        <v>0</v>
      </c>
      <c r="BL31" s="190">
        <f t="shared" si="45"/>
        <v>0</v>
      </c>
      <c r="BM31" s="77">
        <f t="shared" si="57"/>
        <v>0</v>
      </c>
      <c r="BN31" s="190">
        <f t="shared" si="57"/>
        <v>0</v>
      </c>
      <c r="BO31" s="190">
        <f t="shared" si="57"/>
        <v>0</v>
      </c>
      <c r="BP31" s="190">
        <f t="shared" si="57"/>
        <v>0</v>
      </c>
      <c r="BQ31" s="190">
        <f t="shared" si="57"/>
        <v>0</v>
      </c>
      <c r="BR31" s="190">
        <f t="shared" si="57"/>
        <v>0</v>
      </c>
      <c r="BS31" s="190">
        <f t="shared" si="57"/>
        <v>0</v>
      </c>
      <c r="BT31" s="190">
        <f t="shared" si="57"/>
        <v>0</v>
      </c>
      <c r="BU31" s="190">
        <f t="shared" si="57"/>
        <v>0</v>
      </c>
      <c r="BV31" s="190">
        <f t="shared" si="57"/>
        <v>0</v>
      </c>
      <c r="BW31" s="23">
        <f t="shared" ref="BW31:BX50" si="99">(0)/150</f>
        <v>0</v>
      </c>
      <c r="BX31" s="190">
        <f t="shared" si="99"/>
        <v>0</v>
      </c>
      <c r="BY31" s="190">
        <f t="shared" si="58"/>
        <v>0</v>
      </c>
      <c r="BZ31" s="190">
        <f t="shared" ref="BZ31:CD40" si="100">(0)/150</f>
        <v>0</v>
      </c>
      <c r="CA31" s="190">
        <f t="shared" si="100"/>
        <v>0</v>
      </c>
      <c r="CB31" s="190">
        <f t="shared" si="100"/>
        <v>0</v>
      </c>
      <c r="CC31" s="190">
        <f t="shared" si="100"/>
        <v>0</v>
      </c>
      <c r="CD31" s="190">
        <f t="shared" si="100"/>
        <v>0</v>
      </c>
      <c r="CE31" s="190">
        <f t="shared" si="59"/>
        <v>0</v>
      </c>
      <c r="CF31" s="190">
        <f t="shared" si="52"/>
        <v>0</v>
      </c>
      <c r="CG31" s="23">
        <f t="shared" ref="CG31:CP40" si="101">(0)/135</f>
        <v>0</v>
      </c>
      <c r="CH31" s="190">
        <f t="shared" si="101"/>
        <v>0</v>
      </c>
      <c r="CI31" s="190">
        <f t="shared" si="101"/>
        <v>0</v>
      </c>
      <c r="CJ31" s="190">
        <f t="shared" si="101"/>
        <v>0</v>
      </c>
      <c r="CK31" s="190">
        <f t="shared" si="101"/>
        <v>0</v>
      </c>
      <c r="CL31" s="190">
        <f t="shared" si="101"/>
        <v>0</v>
      </c>
      <c r="CM31" s="190">
        <f t="shared" si="101"/>
        <v>0</v>
      </c>
      <c r="CN31" s="190">
        <f t="shared" si="101"/>
        <v>0</v>
      </c>
      <c r="CO31" s="190">
        <f t="shared" si="101"/>
        <v>0</v>
      </c>
      <c r="CP31" s="190">
        <f t="shared" si="101"/>
        <v>0</v>
      </c>
      <c r="CQ31" s="23">
        <f t="shared" si="92"/>
        <v>0</v>
      </c>
      <c r="CR31" s="190">
        <f t="shared" si="92"/>
        <v>0</v>
      </c>
      <c r="CS31" s="190">
        <f t="shared" si="92"/>
        <v>0</v>
      </c>
      <c r="CT31" s="190">
        <f t="shared" si="92"/>
        <v>0</v>
      </c>
      <c r="CU31" s="190">
        <f t="shared" si="92"/>
        <v>0</v>
      </c>
      <c r="CV31" s="190">
        <f t="shared" si="80"/>
        <v>0</v>
      </c>
      <c r="CW31" s="190">
        <f t="shared" si="80"/>
        <v>0</v>
      </c>
      <c r="CX31" s="77">
        <f t="shared" si="35"/>
        <v>0</v>
      </c>
      <c r="CY31" s="190">
        <f t="shared" si="35"/>
        <v>0</v>
      </c>
      <c r="CZ31" s="190">
        <f t="shared" si="35"/>
        <v>0</v>
      </c>
      <c r="DA31" s="190">
        <f t="shared" si="35"/>
        <v>0</v>
      </c>
      <c r="DB31" s="190">
        <f t="shared" si="35"/>
        <v>0</v>
      </c>
      <c r="DC31" s="190">
        <f t="shared" si="81"/>
        <v>0</v>
      </c>
      <c r="DD31" s="190">
        <f t="shared" si="81"/>
        <v>0</v>
      </c>
      <c r="DE31" s="59">
        <f t="shared" si="93"/>
        <v>0</v>
      </c>
      <c r="DF31" s="190">
        <f t="shared" si="93"/>
        <v>0</v>
      </c>
      <c r="DG31" s="190">
        <f t="shared" si="93"/>
        <v>0</v>
      </c>
      <c r="DH31" s="190">
        <f t="shared" si="93"/>
        <v>0</v>
      </c>
      <c r="DI31" s="190">
        <f t="shared" si="93"/>
        <v>0</v>
      </c>
      <c r="DJ31" s="190">
        <f t="shared" si="82"/>
        <v>0</v>
      </c>
      <c r="DK31" s="190">
        <f t="shared" si="82"/>
        <v>0</v>
      </c>
      <c r="DL31" s="23">
        <f t="shared" si="88"/>
        <v>0</v>
      </c>
      <c r="DM31" s="10">
        <f t="shared" si="88"/>
        <v>0</v>
      </c>
      <c r="DN31" s="10">
        <f t="shared" si="88"/>
        <v>0</v>
      </c>
      <c r="DO31" s="10">
        <f t="shared" si="88"/>
        <v>0</v>
      </c>
      <c r="DP31" s="10">
        <f t="shared" si="88"/>
        <v>0</v>
      </c>
      <c r="DQ31" s="190">
        <f t="shared" si="83"/>
        <v>0</v>
      </c>
      <c r="DR31" s="190">
        <f t="shared" si="83"/>
        <v>0</v>
      </c>
      <c r="DS31" s="190">
        <f t="shared" si="83"/>
        <v>0</v>
      </c>
      <c r="DT31" s="54"/>
    </row>
    <row r="32" spans="1:124" ht="26.25" hidden="1" customHeight="1" outlineLevel="1" x14ac:dyDescent="0.4">
      <c r="A32" s="348"/>
      <c r="B32" s="348"/>
      <c r="C32" s="348"/>
      <c r="D32" s="350"/>
      <c r="E32" s="350"/>
      <c r="F32" s="350"/>
      <c r="G32" s="565"/>
      <c r="H32" s="450"/>
      <c r="I32" s="450"/>
      <c r="J32" s="448"/>
      <c r="K32" s="446"/>
      <c r="L32" s="446"/>
      <c r="M32" s="429"/>
      <c r="N32" s="43" t="s">
        <v>25</v>
      </c>
      <c r="O32" s="209">
        <f t="shared" si="96"/>
        <v>0</v>
      </c>
      <c r="P32" s="209">
        <f t="shared" si="96"/>
        <v>0</v>
      </c>
      <c r="Q32" s="209">
        <f t="shared" si="96"/>
        <v>0</v>
      </c>
      <c r="R32" s="209">
        <f t="shared" si="96"/>
        <v>0</v>
      </c>
      <c r="S32" s="209">
        <f t="shared" si="96"/>
        <v>0</v>
      </c>
      <c r="T32" s="209">
        <f t="shared" si="96"/>
        <v>0</v>
      </c>
      <c r="U32" s="209">
        <f t="shared" si="96"/>
        <v>0</v>
      </c>
      <c r="V32" s="209">
        <f t="shared" si="97"/>
        <v>0</v>
      </c>
      <c r="W32" s="209">
        <f t="shared" si="97"/>
        <v>0</v>
      </c>
      <c r="X32" s="53">
        <f t="shared" si="96"/>
        <v>0</v>
      </c>
      <c r="Y32" s="209">
        <f>(2)/157.5</f>
        <v>1.2698412698412698E-2</v>
      </c>
      <c r="Z32" s="209">
        <f>(10.5+18.5+2)/157.5</f>
        <v>0.19682539682539682</v>
      </c>
      <c r="AA32" s="209">
        <f>(0)/157.5</f>
        <v>0</v>
      </c>
      <c r="AB32" s="209">
        <f t="shared" si="98"/>
        <v>0</v>
      </c>
      <c r="AC32" s="209">
        <f>(11)/157.5</f>
        <v>6.9841269841269843E-2</v>
      </c>
      <c r="AD32" s="209">
        <f>(0+0.5)/157.5</f>
        <v>3.1746031746031746E-3</v>
      </c>
      <c r="AE32" s="209">
        <f>(11+1.5)/157.5</f>
        <v>7.9365079365079361E-2</v>
      </c>
      <c r="AF32" s="209">
        <f>(4+1)/157.5</f>
        <v>3.1746031746031744E-2</v>
      </c>
      <c r="AG32" s="209">
        <f t="shared" si="98"/>
        <v>0</v>
      </c>
      <c r="AH32" s="209">
        <f t="shared" si="98"/>
        <v>0</v>
      </c>
      <c r="AI32" s="58">
        <f t="shared" si="56"/>
        <v>0</v>
      </c>
      <c r="AJ32" s="209">
        <f>(4.5+9)/157.5</f>
        <v>8.5714285714285715E-2</v>
      </c>
      <c r="AK32" s="209">
        <f t="shared" si="56"/>
        <v>0</v>
      </c>
      <c r="AL32" s="209">
        <f t="shared" si="56"/>
        <v>0</v>
      </c>
      <c r="AM32" s="209">
        <f t="shared" si="56"/>
        <v>0</v>
      </c>
      <c r="AN32" s="209">
        <f t="shared" si="56"/>
        <v>0</v>
      </c>
      <c r="AO32" s="209">
        <f>(8+10.5)/157.5</f>
        <v>0.11746031746031746</v>
      </c>
      <c r="AP32" s="209">
        <f t="shared" si="56"/>
        <v>0</v>
      </c>
      <c r="AQ32" s="209">
        <f t="shared" si="56"/>
        <v>0</v>
      </c>
      <c r="AR32" s="53">
        <f t="shared" si="56"/>
        <v>0</v>
      </c>
      <c r="AS32" s="65">
        <f t="shared" si="44"/>
        <v>0</v>
      </c>
      <c r="AT32" s="210">
        <f t="shared" si="44"/>
        <v>0</v>
      </c>
      <c r="AU32" s="210">
        <f t="shared" si="44"/>
        <v>0</v>
      </c>
      <c r="AV32" s="210">
        <f t="shared" si="44"/>
        <v>0</v>
      </c>
      <c r="AW32" s="210">
        <f t="shared" si="44"/>
        <v>0</v>
      </c>
      <c r="AX32" s="210">
        <f t="shared" si="44"/>
        <v>0</v>
      </c>
      <c r="AY32" s="210">
        <f t="shared" si="44"/>
        <v>0</v>
      </c>
      <c r="AZ32" s="210">
        <f t="shared" si="44"/>
        <v>0</v>
      </c>
      <c r="BA32" s="210">
        <f t="shared" si="44"/>
        <v>0</v>
      </c>
      <c r="BB32" s="53">
        <f t="shared" si="44"/>
        <v>0</v>
      </c>
      <c r="BC32" s="58">
        <f t="shared" si="45"/>
        <v>0</v>
      </c>
      <c r="BD32" s="209">
        <f t="shared" si="45"/>
        <v>0</v>
      </c>
      <c r="BE32" s="209">
        <f t="shared" si="45"/>
        <v>0</v>
      </c>
      <c r="BF32" s="209">
        <f t="shared" si="45"/>
        <v>0</v>
      </c>
      <c r="BG32" s="209">
        <f t="shared" si="45"/>
        <v>0</v>
      </c>
      <c r="BH32" s="209">
        <f t="shared" si="45"/>
        <v>0</v>
      </c>
      <c r="BI32" s="209">
        <f t="shared" si="45"/>
        <v>0</v>
      </c>
      <c r="BJ32" s="209">
        <f t="shared" si="45"/>
        <v>0</v>
      </c>
      <c r="BK32" s="209">
        <f t="shared" si="45"/>
        <v>0</v>
      </c>
      <c r="BL32" s="209">
        <f t="shared" si="45"/>
        <v>0</v>
      </c>
      <c r="BM32" s="58">
        <f t="shared" si="57"/>
        <v>0</v>
      </c>
      <c r="BN32" s="209">
        <f t="shared" si="57"/>
        <v>0</v>
      </c>
      <c r="BO32" s="209">
        <f t="shared" si="57"/>
        <v>0</v>
      </c>
      <c r="BP32" s="209">
        <f t="shared" si="57"/>
        <v>0</v>
      </c>
      <c r="BQ32" s="209">
        <f t="shared" si="57"/>
        <v>0</v>
      </c>
      <c r="BR32" s="209">
        <f t="shared" si="57"/>
        <v>0</v>
      </c>
      <c r="BS32" s="209">
        <f t="shared" si="57"/>
        <v>0</v>
      </c>
      <c r="BT32" s="209">
        <f t="shared" si="57"/>
        <v>0</v>
      </c>
      <c r="BU32" s="209">
        <f t="shared" si="57"/>
        <v>0</v>
      </c>
      <c r="BV32" s="209">
        <f t="shared" si="57"/>
        <v>0</v>
      </c>
      <c r="BW32" s="65">
        <f t="shared" si="99"/>
        <v>0</v>
      </c>
      <c r="BX32" s="209">
        <f t="shared" si="99"/>
        <v>0</v>
      </c>
      <c r="BY32" s="209">
        <f t="shared" si="58"/>
        <v>0</v>
      </c>
      <c r="BZ32" s="209">
        <f t="shared" si="100"/>
        <v>0</v>
      </c>
      <c r="CA32" s="209">
        <f t="shared" si="100"/>
        <v>0</v>
      </c>
      <c r="CB32" s="209">
        <f t="shared" si="100"/>
        <v>0</v>
      </c>
      <c r="CC32" s="209">
        <f t="shared" si="100"/>
        <v>0</v>
      </c>
      <c r="CD32" s="209">
        <f t="shared" si="100"/>
        <v>0</v>
      </c>
      <c r="CE32" s="209">
        <f t="shared" si="59"/>
        <v>0</v>
      </c>
      <c r="CF32" s="209">
        <f t="shared" si="52"/>
        <v>0</v>
      </c>
      <c r="CG32" s="65">
        <f t="shared" si="101"/>
        <v>0</v>
      </c>
      <c r="CH32" s="209">
        <f t="shared" si="101"/>
        <v>0</v>
      </c>
      <c r="CI32" s="209">
        <f t="shared" si="101"/>
        <v>0</v>
      </c>
      <c r="CJ32" s="209">
        <f t="shared" si="101"/>
        <v>0</v>
      </c>
      <c r="CK32" s="209">
        <f t="shared" si="101"/>
        <v>0</v>
      </c>
      <c r="CL32" s="209">
        <f t="shared" si="101"/>
        <v>0</v>
      </c>
      <c r="CM32" s="209">
        <f t="shared" si="101"/>
        <v>0</v>
      </c>
      <c r="CN32" s="209">
        <f t="shared" si="101"/>
        <v>0</v>
      </c>
      <c r="CO32" s="209">
        <f t="shared" si="101"/>
        <v>0</v>
      </c>
      <c r="CP32" s="209">
        <f t="shared" si="101"/>
        <v>0</v>
      </c>
      <c r="CQ32" s="65">
        <f t="shared" si="92"/>
        <v>0</v>
      </c>
      <c r="CR32" s="210">
        <f t="shared" si="92"/>
        <v>0</v>
      </c>
      <c r="CS32" s="210">
        <f t="shared" si="92"/>
        <v>0</v>
      </c>
      <c r="CT32" s="210">
        <f t="shared" si="92"/>
        <v>0</v>
      </c>
      <c r="CU32" s="210">
        <f t="shared" si="92"/>
        <v>0</v>
      </c>
      <c r="CV32" s="210">
        <f t="shared" si="80"/>
        <v>0</v>
      </c>
      <c r="CW32" s="210">
        <f t="shared" si="80"/>
        <v>0</v>
      </c>
      <c r="CX32" s="65">
        <f t="shared" si="35"/>
        <v>0</v>
      </c>
      <c r="CY32" s="210">
        <f t="shared" si="35"/>
        <v>0</v>
      </c>
      <c r="CZ32" s="210">
        <f t="shared" si="35"/>
        <v>0</v>
      </c>
      <c r="DA32" s="210">
        <f t="shared" si="35"/>
        <v>0</v>
      </c>
      <c r="DB32" s="210">
        <f t="shared" si="35"/>
        <v>0</v>
      </c>
      <c r="DC32" s="210">
        <f t="shared" si="81"/>
        <v>0</v>
      </c>
      <c r="DD32" s="210">
        <f t="shared" si="81"/>
        <v>0</v>
      </c>
      <c r="DE32" s="61">
        <f t="shared" si="93"/>
        <v>0</v>
      </c>
      <c r="DF32" s="210">
        <f t="shared" si="93"/>
        <v>0</v>
      </c>
      <c r="DG32" s="210">
        <f t="shared" si="93"/>
        <v>0</v>
      </c>
      <c r="DH32" s="210">
        <f t="shared" si="93"/>
        <v>0</v>
      </c>
      <c r="DI32" s="210">
        <f t="shared" si="93"/>
        <v>0</v>
      </c>
      <c r="DJ32" s="210">
        <f t="shared" si="82"/>
        <v>0</v>
      </c>
      <c r="DK32" s="210">
        <f t="shared" si="82"/>
        <v>0</v>
      </c>
      <c r="DL32" s="65">
        <f t="shared" si="88"/>
        <v>0</v>
      </c>
      <c r="DM32" s="60">
        <f t="shared" si="88"/>
        <v>0</v>
      </c>
      <c r="DN32" s="60">
        <f t="shared" si="88"/>
        <v>0</v>
      </c>
      <c r="DO32" s="60">
        <f t="shared" si="88"/>
        <v>0</v>
      </c>
      <c r="DP32" s="60">
        <f t="shared" si="88"/>
        <v>0</v>
      </c>
      <c r="DQ32" s="210">
        <f t="shared" si="83"/>
        <v>0</v>
      </c>
      <c r="DR32" s="210">
        <f t="shared" si="83"/>
        <v>0</v>
      </c>
      <c r="DS32" s="210">
        <f t="shared" si="83"/>
        <v>0</v>
      </c>
    </row>
    <row r="33" spans="1:124" ht="26.25" hidden="1" customHeight="1" outlineLevel="1" collapsed="1" x14ac:dyDescent="0.4">
      <c r="A33" s="347">
        <v>14</v>
      </c>
      <c r="B33" s="347" t="s">
        <v>47</v>
      </c>
      <c r="C33" s="347" t="s">
        <v>14</v>
      </c>
      <c r="D33" s="349" t="s">
        <v>503</v>
      </c>
      <c r="E33" s="349" t="s">
        <v>504</v>
      </c>
      <c r="F33" s="349"/>
      <c r="G33" s="563" t="s">
        <v>501</v>
      </c>
      <c r="H33" s="449">
        <f t="shared" ref="H33" si="102">SUM(CG33:CP33)</f>
        <v>0</v>
      </c>
      <c r="I33" s="449">
        <f t="shared" ref="I33" si="103">SUM(CG34:CP34)</f>
        <v>0</v>
      </c>
      <c r="J33" s="447"/>
      <c r="K33" s="445"/>
      <c r="L33" s="445"/>
      <c r="M33" s="428"/>
      <c r="N33" s="52" t="s">
        <v>24</v>
      </c>
      <c r="O33" s="190">
        <f t="shared" si="96"/>
        <v>0</v>
      </c>
      <c r="P33" s="190">
        <f t="shared" si="96"/>
        <v>0</v>
      </c>
      <c r="Q33" s="190">
        <f t="shared" si="96"/>
        <v>0</v>
      </c>
      <c r="R33" s="190">
        <f t="shared" si="96"/>
        <v>0</v>
      </c>
      <c r="S33" s="190">
        <f t="shared" si="96"/>
        <v>0</v>
      </c>
      <c r="T33" s="190">
        <f t="shared" si="96"/>
        <v>0</v>
      </c>
      <c r="U33" s="190">
        <f t="shared" si="96"/>
        <v>0</v>
      </c>
      <c r="V33" s="190">
        <f t="shared" si="97"/>
        <v>0</v>
      </c>
      <c r="W33" s="190">
        <f t="shared" si="97"/>
        <v>0</v>
      </c>
      <c r="X33" s="86">
        <f t="shared" si="96"/>
        <v>0</v>
      </c>
      <c r="Y33" s="190">
        <f t="shared" si="98"/>
        <v>0</v>
      </c>
      <c r="Z33" s="190">
        <f>(35)/157.5</f>
        <v>0.22222222222222221</v>
      </c>
      <c r="AA33" s="190">
        <f t="shared" ref="AA33:AH38" si="104">(0)/157.5</f>
        <v>0</v>
      </c>
      <c r="AB33" s="190">
        <f>(20)/157.5</f>
        <v>0.12698412698412698</v>
      </c>
      <c r="AC33" s="190">
        <f t="shared" si="104"/>
        <v>0</v>
      </c>
      <c r="AD33" s="190">
        <f t="shared" si="104"/>
        <v>0</v>
      </c>
      <c r="AE33" s="190">
        <f t="shared" si="104"/>
        <v>0</v>
      </c>
      <c r="AF33" s="190">
        <f>(35)/157.5</f>
        <v>0.22222222222222221</v>
      </c>
      <c r="AG33" s="190">
        <f>(5)/157.5</f>
        <v>3.1746031746031744E-2</v>
      </c>
      <c r="AH33" s="190">
        <f t="shared" si="104"/>
        <v>0</v>
      </c>
      <c r="AI33" s="77">
        <f t="shared" si="56"/>
        <v>0</v>
      </c>
      <c r="AJ33" s="190">
        <f>(75.25)/157.5</f>
        <v>0.4777777777777778</v>
      </c>
      <c r="AK33" s="190">
        <f>(75.25+22.5)/157.5</f>
        <v>0.62063492063492065</v>
      </c>
      <c r="AL33" s="190">
        <f>(10)/157.5</f>
        <v>6.3492063492063489E-2</v>
      </c>
      <c r="AM33" s="190">
        <f>(75.25)/157.5</f>
        <v>0.4777777777777778</v>
      </c>
      <c r="AN33" s="190">
        <f t="shared" si="56"/>
        <v>0</v>
      </c>
      <c r="AO33" s="190">
        <f>(75.25)/157.5</f>
        <v>0.4777777777777778</v>
      </c>
      <c r="AP33" s="190">
        <f>(75.25)/157.5</f>
        <v>0.4777777777777778</v>
      </c>
      <c r="AQ33" s="190">
        <f>(75.25)/157.5</f>
        <v>0.4777777777777778</v>
      </c>
      <c r="AR33" s="190">
        <f>(32.25)/157.5</f>
        <v>0.20476190476190476</v>
      </c>
      <c r="AS33" s="23">
        <f t="shared" si="44"/>
        <v>0</v>
      </c>
      <c r="AT33" s="190">
        <f>(95)/165</f>
        <v>0.5757575757575758</v>
      </c>
      <c r="AU33" s="190">
        <f>(30)/165</f>
        <v>0.18181818181818182</v>
      </c>
      <c r="AV33" s="190">
        <f t="shared" si="44"/>
        <v>0</v>
      </c>
      <c r="AW33" s="190">
        <f>(18)/165</f>
        <v>0.10909090909090909</v>
      </c>
      <c r="AX33" s="190">
        <f>(60)/165</f>
        <v>0.36363636363636365</v>
      </c>
      <c r="AY33" s="190">
        <f>(95)/165</f>
        <v>0.5757575757575758</v>
      </c>
      <c r="AZ33" s="190">
        <f t="shared" si="44"/>
        <v>0</v>
      </c>
      <c r="BA33" s="190">
        <f>(40)/165</f>
        <v>0.24242424242424243</v>
      </c>
      <c r="BB33" s="225">
        <f>(80)/165</f>
        <v>0.48484848484848486</v>
      </c>
      <c r="BC33" s="77">
        <f t="shared" si="45"/>
        <v>0</v>
      </c>
      <c r="BD33" s="190">
        <f>(100)/157.5</f>
        <v>0.63492063492063489</v>
      </c>
      <c r="BE33" s="190">
        <f>(65)/157.5</f>
        <v>0.41269841269841268</v>
      </c>
      <c r="BF33" s="190">
        <f t="shared" si="45"/>
        <v>0</v>
      </c>
      <c r="BG33" s="190">
        <f t="shared" si="45"/>
        <v>0</v>
      </c>
      <c r="BH33" s="190">
        <f>(100)/157.5</f>
        <v>0.63492063492063489</v>
      </c>
      <c r="BI33" s="190">
        <f>(85)/157.5</f>
        <v>0.53968253968253965</v>
      </c>
      <c r="BJ33" s="190">
        <f>(20)/157.5</f>
        <v>0.12698412698412698</v>
      </c>
      <c r="BK33" s="190">
        <f>(50)/157.5</f>
        <v>0.31746031746031744</v>
      </c>
      <c r="BL33" s="190">
        <f>(100)/157.5</f>
        <v>0.63492063492063489</v>
      </c>
      <c r="BM33" s="77">
        <f t="shared" si="57"/>
        <v>0</v>
      </c>
      <c r="BN33" s="190">
        <f t="shared" si="57"/>
        <v>0</v>
      </c>
      <c r="BO33" s="190">
        <f t="shared" si="57"/>
        <v>0</v>
      </c>
      <c r="BP33" s="190">
        <f t="shared" si="57"/>
        <v>0</v>
      </c>
      <c r="BQ33" s="190">
        <f t="shared" si="57"/>
        <v>0</v>
      </c>
      <c r="BR33" s="190">
        <f t="shared" si="57"/>
        <v>0</v>
      </c>
      <c r="BS33" s="190">
        <f t="shared" si="57"/>
        <v>0</v>
      </c>
      <c r="BT33" s="190">
        <f t="shared" si="57"/>
        <v>0</v>
      </c>
      <c r="BU33" s="190">
        <f t="shared" si="57"/>
        <v>0</v>
      </c>
      <c r="BV33" s="190">
        <f t="shared" si="57"/>
        <v>0</v>
      </c>
      <c r="BW33" s="23">
        <f t="shared" si="99"/>
        <v>0</v>
      </c>
      <c r="BX33" s="190">
        <f t="shared" si="99"/>
        <v>0</v>
      </c>
      <c r="BY33" s="190">
        <f t="shared" si="58"/>
        <v>0</v>
      </c>
      <c r="BZ33" s="190">
        <f t="shared" si="100"/>
        <v>0</v>
      </c>
      <c r="CA33" s="190">
        <f t="shared" si="100"/>
        <v>0</v>
      </c>
      <c r="CB33" s="190">
        <f t="shared" si="100"/>
        <v>0</v>
      </c>
      <c r="CC33" s="190">
        <f t="shared" si="100"/>
        <v>0</v>
      </c>
      <c r="CD33" s="190">
        <f t="shared" si="100"/>
        <v>0</v>
      </c>
      <c r="CE33" s="190">
        <f t="shared" si="59"/>
        <v>0</v>
      </c>
      <c r="CF33" s="190">
        <f t="shared" si="52"/>
        <v>0</v>
      </c>
      <c r="CG33" s="23">
        <f t="shared" si="101"/>
        <v>0</v>
      </c>
      <c r="CH33" s="190">
        <f t="shared" si="101"/>
        <v>0</v>
      </c>
      <c r="CI33" s="190">
        <f t="shared" si="101"/>
        <v>0</v>
      </c>
      <c r="CJ33" s="190">
        <f t="shared" si="101"/>
        <v>0</v>
      </c>
      <c r="CK33" s="190">
        <f t="shared" si="101"/>
        <v>0</v>
      </c>
      <c r="CL33" s="190">
        <f t="shared" si="101"/>
        <v>0</v>
      </c>
      <c r="CM33" s="190">
        <f t="shared" si="101"/>
        <v>0</v>
      </c>
      <c r="CN33" s="190">
        <f t="shared" si="101"/>
        <v>0</v>
      </c>
      <c r="CO33" s="190">
        <f t="shared" si="101"/>
        <v>0</v>
      </c>
      <c r="CP33" s="190">
        <f t="shared" si="101"/>
        <v>0</v>
      </c>
      <c r="CQ33" s="23">
        <f t="shared" si="92"/>
        <v>0</v>
      </c>
      <c r="CR33" s="190">
        <f t="shared" si="92"/>
        <v>0</v>
      </c>
      <c r="CS33" s="190">
        <f t="shared" si="92"/>
        <v>0</v>
      </c>
      <c r="CT33" s="190">
        <f t="shared" si="92"/>
        <v>0</v>
      </c>
      <c r="CU33" s="190">
        <f t="shared" si="92"/>
        <v>0</v>
      </c>
      <c r="CV33" s="190">
        <f t="shared" si="80"/>
        <v>0</v>
      </c>
      <c r="CW33" s="190">
        <f t="shared" si="80"/>
        <v>0</v>
      </c>
      <c r="CX33" s="77">
        <f t="shared" si="35"/>
        <v>0</v>
      </c>
      <c r="CY33" s="190">
        <f t="shared" si="35"/>
        <v>0</v>
      </c>
      <c r="CZ33" s="190">
        <f t="shared" si="35"/>
        <v>0</v>
      </c>
      <c r="DA33" s="190">
        <f t="shared" si="35"/>
        <v>0</v>
      </c>
      <c r="DB33" s="190">
        <f t="shared" si="35"/>
        <v>0</v>
      </c>
      <c r="DC33" s="190">
        <f t="shared" si="81"/>
        <v>0</v>
      </c>
      <c r="DD33" s="190">
        <f t="shared" si="81"/>
        <v>0</v>
      </c>
      <c r="DE33" s="59">
        <f t="shared" si="93"/>
        <v>0</v>
      </c>
      <c r="DF33" s="190">
        <f t="shared" si="93"/>
        <v>0</v>
      </c>
      <c r="DG33" s="190">
        <f t="shared" si="93"/>
        <v>0</v>
      </c>
      <c r="DH33" s="190">
        <f t="shared" si="93"/>
        <v>0</v>
      </c>
      <c r="DI33" s="190">
        <f t="shared" si="93"/>
        <v>0</v>
      </c>
      <c r="DJ33" s="190">
        <f t="shared" si="82"/>
        <v>0</v>
      </c>
      <c r="DK33" s="190">
        <f t="shared" si="82"/>
        <v>0</v>
      </c>
      <c r="DL33" s="23">
        <f t="shared" si="88"/>
        <v>0</v>
      </c>
      <c r="DM33" s="190">
        <f t="shared" si="88"/>
        <v>0</v>
      </c>
      <c r="DN33" s="190">
        <f t="shared" si="88"/>
        <v>0</v>
      </c>
      <c r="DO33" s="190">
        <f t="shared" si="88"/>
        <v>0</v>
      </c>
      <c r="DP33" s="190">
        <f t="shared" si="88"/>
        <v>0</v>
      </c>
      <c r="DQ33" s="190">
        <f t="shared" si="83"/>
        <v>0</v>
      </c>
      <c r="DR33" s="190">
        <f t="shared" si="83"/>
        <v>0</v>
      </c>
      <c r="DS33" s="190">
        <f t="shared" si="83"/>
        <v>0</v>
      </c>
      <c r="DT33" s="201"/>
    </row>
    <row r="34" spans="1:124" ht="26.25" hidden="1" customHeight="1" outlineLevel="1" x14ac:dyDescent="0.4">
      <c r="A34" s="348"/>
      <c r="B34" s="348"/>
      <c r="C34" s="348"/>
      <c r="D34" s="350"/>
      <c r="E34" s="350"/>
      <c r="F34" s="350"/>
      <c r="G34" s="565"/>
      <c r="H34" s="450"/>
      <c r="I34" s="450"/>
      <c r="J34" s="448"/>
      <c r="K34" s="446"/>
      <c r="L34" s="446"/>
      <c r="M34" s="429"/>
      <c r="N34" s="43" t="s">
        <v>25</v>
      </c>
      <c r="O34" s="209">
        <f t="shared" si="96"/>
        <v>0</v>
      </c>
      <c r="P34" s="209">
        <f t="shared" si="96"/>
        <v>0</v>
      </c>
      <c r="Q34" s="209">
        <f t="shared" si="96"/>
        <v>0</v>
      </c>
      <c r="R34" s="209">
        <f t="shared" si="96"/>
        <v>0</v>
      </c>
      <c r="S34" s="209">
        <f t="shared" si="96"/>
        <v>0</v>
      </c>
      <c r="T34" s="209">
        <f t="shared" si="96"/>
        <v>0</v>
      </c>
      <c r="U34" s="209">
        <f t="shared" si="96"/>
        <v>0</v>
      </c>
      <c r="V34" s="209">
        <f t="shared" si="97"/>
        <v>0</v>
      </c>
      <c r="W34" s="209">
        <f t="shared" si="97"/>
        <v>0</v>
      </c>
      <c r="X34" s="53">
        <f t="shared" si="96"/>
        <v>0</v>
      </c>
      <c r="Y34" s="209">
        <f t="shared" si="98"/>
        <v>0</v>
      </c>
      <c r="Z34" s="209">
        <f>(2+13+12.5)/157.5</f>
        <v>0.17460317460317459</v>
      </c>
      <c r="AA34" s="209">
        <f t="shared" si="104"/>
        <v>0</v>
      </c>
      <c r="AB34" s="209">
        <f>(4+2)/157.5</f>
        <v>3.8095238095238099E-2</v>
      </c>
      <c r="AC34" s="209">
        <f>(0+5+3)/157.5</f>
        <v>5.0793650793650794E-2</v>
      </c>
      <c r="AD34" s="209">
        <f t="shared" si="104"/>
        <v>0</v>
      </c>
      <c r="AE34" s="209">
        <f t="shared" si="104"/>
        <v>0</v>
      </c>
      <c r="AF34" s="209">
        <f>(0+34.5+10)/157.5</f>
        <v>0.28253968253968254</v>
      </c>
      <c r="AG34" s="209">
        <f>(0+5.5)/157.5</f>
        <v>3.4920634920634921E-2</v>
      </c>
      <c r="AH34" s="209">
        <f t="shared" si="104"/>
        <v>0</v>
      </c>
      <c r="AI34" s="58">
        <f t="shared" si="56"/>
        <v>0</v>
      </c>
      <c r="AJ34" s="209">
        <f>(16.5+20.5+14.5+13+13)/157.5</f>
        <v>0.49206349206349204</v>
      </c>
      <c r="AK34" s="209">
        <f>(15+27.5+29.5+23.5+17.5)/157.5</f>
        <v>0.71746031746031746</v>
      </c>
      <c r="AL34" s="209">
        <f>(0+4)/157.5</f>
        <v>2.5396825396825397E-2</v>
      </c>
      <c r="AM34" s="209">
        <f>(0+6+29.5+20.5+10)/157.5</f>
        <v>0.41904761904761906</v>
      </c>
      <c r="AN34" s="209">
        <f t="shared" si="56"/>
        <v>0</v>
      </c>
      <c r="AO34" s="209">
        <f>(0+14+17+13+8.5)/157.5</f>
        <v>0.33333333333333331</v>
      </c>
      <c r="AP34" s="209">
        <f>(21+27.5+18.5)/157.5</f>
        <v>0.42539682539682538</v>
      </c>
      <c r="AQ34" s="209">
        <f>(15+19+25.5+29.5+15.5)/157.5</f>
        <v>0.66349206349206347</v>
      </c>
      <c r="AR34" s="53">
        <f>(0+16+14.5)/157.5</f>
        <v>0.19365079365079366</v>
      </c>
      <c r="AS34" s="65">
        <f t="shared" si="44"/>
        <v>0</v>
      </c>
      <c r="AT34" s="210">
        <f>(7+16+26.5+27.5+16+2.5)/165</f>
        <v>0.57878787878787874</v>
      </c>
      <c r="AU34" s="280">
        <f>(12+13)/165</f>
        <v>0.15151515151515152</v>
      </c>
      <c r="AV34" s="210">
        <f t="shared" si="44"/>
        <v>0</v>
      </c>
      <c r="AW34" s="280">
        <f>(6+6)/165</f>
        <v>7.2727272727272724E-2</v>
      </c>
      <c r="AX34" s="280">
        <f>(0+20.5+27+6)/165</f>
        <v>0.32424242424242422</v>
      </c>
      <c r="AY34" s="210">
        <f>(3+19.5+20+25.5+27.5+4.5)/165</f>
        <v>0.60606060606060608</v>
      </c>
      <c r="AZ34" s="210">
        <f t="shared" si="44"/>
        <v>0</v>
      </c>
      <c r="BA34" s="210">
        <f>(6+13+18.5+3)/165</f>
        <v>0.24545454545454545</v>
      </c>
      <c r="BB34" s="53">
        <f>(12+21.5+23+21.5+1)/165</f>
        <v>0.47878787878787876</v>
      </c>
      <c r="BC34" s="58">
        <f t="shared" si="45"/>
        <v>0</v>
      </c>
      <c r="BD34" s="209">
        <f>(24.5+32+28+13.5)/157.5</f>
        <v>0.62222222222222223</v>
      </c>
      <c r="BE34" s="209">
        <f>(0+21+10+4.5)/157.5</f>
        <v>0.2253968253968254</v>
      </c>
      <c r="BF34" s="209">
        <f t="shared" si="45"/>
        <v>0</v>
      </c>
      <c r="BG34" s="209">
        <f t="shared" si="45"/>
        <v>0</v>
      </c>
      <c r="BH34" s="209">
        <f>(27.5+24.5+30+22)/157.5</f>
        <v>0.6603174603174603</v>
      </c>
      <c r="BI34" s="209">
        <f>(21+34.5+23+5.5)/157.5</f>
        <v>0.53333333333333333</v>
      </c>
      <c r="BJ34" s="209">
        <f>(0+15+10)/157.5</f>
        <v>0.15873015873015872</v>
      </c>
      <c r="BK34" s="209">
        <f>(0+19+19+12)/157.5</f>
        <v>0.31746031746031744</v>
      </c>
      <c r="BL34" s="209">
        <f>(28+33+32.5+20+8)/157.5</f>
        <v>0.77142857142857146</v>
      </c>
      <c r="BM34" s="58">
        <f t="shared" si="57"/>
        <v>0</v>
      </c>
      <c r="BN34" s="209">
        <f t="shared" si="57"/>
        <v>0</v>
      </c>
      <c r="BO34" s="209">
        <f t="shared" si="57"/>
        <v>0</v>
      </c>
      <c r="BP34" s="209">
        <f t="shared" si="57"/>
        <v>0</v>
      </c>
      <c r="BQ34" s="209">
        <f t="shared" si="57"/>
        <v>0</v>
      </c>
      <c r="BR34" s="209">
        <f t="shared" si="57"/>
        <v>0</v>
      </c>
      <c r="BS34" s="209">
        <f t="shared" si="57"/>
        <v>0</v>
      </c>
      <c r="BT34" s="209">
        <f t="shared" si="57"/>
        <v>0</v>
      </c>
      <c r="BU34" s="209">
        <f t="shared" si="57"/>
        <v>0</v>
      </c>
      <c r="BV34" s="209">
        <f t="shared" si="57"/>
        <v>0</v>
      </c>
      <c r="BW34" s="65">
        <f t="shared" si="99"/>
        <v>0</v>
      </c>
      <c r="BX34" s="209">
        <f t="shared" si="99"/>
        <v>0</v>
      </c>
      <c r="BY34" s="209">
        <f t="shared" si="58"/>
        <v>0</v>
      </c>
      <c r="BZ34" s="209">
        <f t="shared" si="100"/>
        <v>0</v>
      </c>
      <c r="CA34" s="209">
        <f t="shared" si="100"/>
        <v>0</v>
      </c>
      <c r="CB34" s="209">
        <f t="shared" si="100"/>
        <v>0</v>
      </c>
      <c r="CC34" s="209">
        <f t="shared" si="100"/>
        <v>0</v>
      </c>
      <c r="CD34" s="209">
        <f t="shared" si="100"/>
        <v>0</v>
      </c>
      <c r="CE34" s="209">
        <f t="shared" si="59"/>
        <v>0</v>
      </c>
      <c r="CF34" s="209">
        <f t="shared" si="52"/>
        <v>0</v>
      </c>
      <c r="CG34" s="65">
        <f t="shared" si="101"/>
        <v>0</v>
      </c>
      <c r="CH34" s="209">
        <f t="shared" si="101"/>
        <v>0</v>
      </c>
      <c r="CI34" s="209">
        <f t="shared" si="101"/>
        <v>0</v>
      </c>
      <c r="CJ34" s="209">
        <f t="shared" si="101"/>
        <v>0</v>
      </c>
      <c r="CK34" s="209">
        <f t="shared" si="101"/>
        <v>0</v>
      </c>
      <c r="CL34" s="209">
        <f t="shared" si="101"/>
        <v>0</v>
      </c>
      <c r="CM34" s="209">
        <f t="shared" si="101"/>
        <v>0</v>
      </c>
      <c r="CN34" s="209">
        <f t="shared" si="101"/>
        <v>0</v>
      </c>
      <c r="CO34" s="209">
        <f t="shared" si="101"/>
        <v>0</v>
      </c>
      <c r="CP34" s="209">
        <f t="shared" si="101"/>
        <v>0</v>
      </c>
      <c r="CQ34" s="65">
        <f t="shared" si="92"/>
        <v>0</v>
      </c>
      <c r="CR34" s="210">
        <f t="shared" si="92"/>
        <v>0</v>
      </c>
      <c r="CS34" s="210">
        <f t="shared" si="92"/>
        <v>0</v>
      </c>
      <c r="CT34" s="210">
        <f t="shared" si="92"/>
        <v>0</v>
      </c>
      <c r="CU34" s="210">
        <f t="shared" si="92"/>
        <v>0</v>
      </c>
      <c r="CV34" s="210">
        <f t="shared" si="80"/>
        <v>0</v>
      </c>
      <c r="CW34" s="210">
        <f t="shared" si="80"/>
        <v>0</v>
      </c>
      <c r="CX34" s="65">
        <f t="shared" si="35"/>
        <v>0</v>
      </c>
      <c r="CY34" s="210">
        <f t="shared" si="35"/>
        <v>0</v>
      </c>
      <c r="CZ34" s="210">
        <f t="shared" si="35"/>
        <v>0</v>
      </c>
      <c r="DA34" s="210">
        <f t="shared" si="35"/>
        <v>0</v>
      </c>
      <c r="DB34" s="210">
        <f t="shared" si="35"/>
        <v>0</v>
      </c>
      <c r="DC34" s="210">
        <f t="shared" si="81"/>
        <v>0</v>
      </c>
      <c r="DD34" s="210">
        <f t="shared" si="81"/>
        <v>0</v>
      </c>
      <c r="DE34" s="61">
        <f t="shared" si="93"/>
        <v>0</v>
      </c>
      <c r="DF34" s="210">
        <f t="shared" si="93"/>
        <v>0</v>
      </c>
      <c r="DG34" s="210">
        <f t="shared" si="93"/>
        <v>0</v>
      </c>
      <c r="DH34" s="210">
        <f t="shared" si="93"/>
        <v>0</v>
      </c>
      <c r="DI34" s="210">
        <f t="shared" si="93"/>
        <v>0</v>
      </c>
      <c r="DJ34" s="210">
        <f t="shared" si="82"/>
        <v>0</v>
      </c>
      <c r="DK34" s="210">
        <f t="shared" si="82"/>
        <v>0</v>
      </c>
      <c r="DL34" s="65">
        <f t="shared" si="88"/>
        <v>0</v>
      </c>
      <c r="DM34" s="210">
        <f t="shared" si="88"/>
        <v>0</v>
      </c>
      <c r="DN34" s="210">
        <f t="shared" si="88"/>
        <v>0</v>
      </c>
      <c r="DO34" s="210">
        <f t="shared" si="88"/>
        <v>0</v>
      </c>
      <c r="DP34" s="210">
        <f t="shared" si="88"/>
        <v>0</v>
      </c>
      <c r="DQ34" s="210">
        <f t="shared" si="83"/>
        <v>0</v>
      </c>
      <c r="DR34" s="210">
        <f t="shared" si="83"/>
        <v>0</v>
      </c>
      <c r="DS34" s="210">
        <f t="shared" si="83"/>
        <v>0</v>
      </c>
      <c r="DT34" s="201"/>
    </row>
    <row r="35" spans="1:124" ht="26.25" hidden="1" customHeight="1" outlineLevel="1" collapsed="1" x14ac:dyDescent="0.4">
      <c r="A35" s="347">
        <v>15</v>
      </c>
      <c r="B35" s="347" t="s">
        <v>47</v>
      </c>
      <c r="C35" s="347" t="s">
        <v>14</v>
      </c>
      <c r="D35" s="349" t="s">
        <v>520</v>
      </c>
      <c r="E35" s="349" t="s">
        <v>519</v>
      </c>
      <c r="F35" s="349"/>
      <c r="G35" s="563" t="s">
        <v>514</v>
      </c>
      <c r="H35" s="449">
        <f t="shared" ref="H35" si="105">SUM(CG35:CP35)</f>
        <v>0</v>
      </c>
      <c r="I35" s="449">
        <f t="shared" ref="I35" si="106">SUM(CG36:CP36)</f>
        <v>0</v>
      </c>
      <c r="J35" s="447"/>
      <c r="K35" s="445"/>
      <c r="L35" s="445"/>
      <c r="M35" s="428"/>
      <c r="N35" s="52" t="s">
        <v>24</v>
      </c>
      <c r="O35" s="190">
        <f t="shared" si="96"/>
        <v>0</v>
      </c>
      <c r="P35" s="190">
        <f t="shared" si="96"/>
        <v>0</v>
      </c>
      <c r="Q35" s="190">
        <f t="shared" si="96"/>
        <v>0</v>
      </c>
      <c r="R35" s="190">
        <f t="shared" si="96"/>
        <v>0</v>
      </c>
      <c r="S35" s="190">
        <f t="shared" si="96"/>
        <v>0</v>
      </c>
      <c r="T35" s="190">
        <f t="shared" si="96"/>
        <v>0</v>
      </c>
      <c r="U35" s="190">
        <f t="shared" si="96"/>
        <v>0</v>
      </c>
      <c r="V35" s="190">
        <f t="shared" si="97"/>
        <v>0</v>
      </c>
      <c r="W35" s="190">
        <f t="shared" si="97"/>
        <v>0</v>
      </c>
      <c r="X35" s="86">
        <f t="shared" si="96"/>
        <v>0</v>
      </c>
      <c r="Y35" s="190">
        <f t="shared" si="98"/>
        <v>0</v>
      </c>
      <c r="Z35" s="190">
        <f>(10)/157.5</f>
        <v>6.3492063492063489E-2</v>
      </c>
      <c r="AA35" s="190">
        <f t="shared" si="104"/>
        <v>0</v>
      </c>
      <c r="AB35" s="190">
        <f>(35)/157.5</f>
        <v>0.22222222222222221</v>
      </c>
      <c r="AC35" s="190">
        <f t="shared" si="104"/>
        <v>0</v>
      </c>
      <c r="AD35" s="190">
        <f>(45)/157.5</f>
        <v>0.2857142857142857</v>
      </c>
      <c r="AE35" s="190">
        <f t="shared" si="104"/>
        <v>0</v>
      </c>
      <c r="AF35" s="190">
        <f t="shared" si="104"/>
        <v>0</v>
      </c>
      <c r="AG35" s="190">
        <f t="shared" si="104"/>
        <v>0</v>
      </c>
      <c r="AH35" s="190">
        <f>(10)/157.5</f>
        <v>6.3492063492063489E-2</v>
      </c>
      <c r="AI35" s="77">
        <f t="shared" si="56"/>
        <v>0</v>
      </c>
      <c r="AJ35" s="190">
        <f>(4)/157.5</f>
        <v>2.5396825396825397E-2</v>
      </c>
      <c r="AK35" s="190">
        <f t="shared" si="56"/>
        <v>0</v>
      </c>
      <c r="AL35" s="190">
        <f>(39.8+35.8+29.8+10)/157.5</f>
        <v>0.73269841269841263</v>
      </c>
      <c r="AM35" s="190">
        <f t="shared" si="56"/>
        <v>0</v>
      </c>
      <c r="AN35" s="190">
        <f>(39.8+10)/157.5</f>
        <v>0.31619047619047619</v>
      </c>
      <c r="AO35" s="190">
        <f>(10)/157.5</f>
        <v>6.3492063492063489E-2</v>
      </c>
      <c r="AP35" s="190">
        <f t="shared" si="56"/>
        <v>0</v>
      </c>
      <c r="AQ35" s="190">
        <f t="shared" si="56"/>
        <v>0</v>
      </c>
      <c r="AR35" s="190">
        <f>(19.8)/157.5</f>
        <v>0.12571428571428572</v>
      </c>
      <c r="AS35" s="23">
        <f t="shared" si="44"/>
        <v>0</v>
      </c>
      <c r="AT35" s="190">
        <f>(28)/165</f>
        <v>0.16969696969696971</v>
      </c>
      <c r="AU35" s="190">
        <f t="shared" si="44"/>
        <v>0</v>
      </c>
      <c r="AV35" s="190">
        <f>(28)/165</f>
        <v>0.16969696969696971</v>
      </c>
      <c r="AW35" s="190">
        <f>(28)/165</f>
        <v>0.16969696969696971</v>
      </c>
      <c r="AX35" s="190">
        <f>(28)/165</f>
        <v>0.16969696969696971</v>
      </c>
      <c r="AY35" s="190">
        <f t="shared" si="44"/>
        <v>0</v>
      </c>
      <c r="AZ35" s="190">
        <f t="shared" si="44"/>
        <v>0</v>
      </c>
      <c r="BA35" s="190">
        <f t="shared" si="44"/>
        <v>0</v>
      </c>
      <c r="BB35" s="225">
        <f>(28)/165</f>
        <v>0.16969696969696971</v>
      </c>
      <c r="BC35" s="77">
        <f>(50)/157.5</f>
        <v>0.31746031746031744</v>
      </c>
      <c r="BD35" s="190">
        <f t="shared" si="45"/>
        <v>0</v>
      </c>
      <c r="BE35" s="190">
        <f t="shared" si="45"/>
        <v>0</v>
      </c>
      <c r="BF35" s="190">
        <f>(115)/157.5</f>
        <v>0.73015873015873012</v>
      </c>
      <c r="BG35" s="190">
        <f>(115)/157.5</f>
        <v>0.73015873015873012</v>
      </c>
      <c r="BH35" s="190">
        <f t="shared" si="45"/>
        <v>0</v>
      </c>
      <c r="BI35" s="190">
        <f t="shared" si="45"/>
        <v>0</v>
      </c>
      <c r="BJ35" s="190">
        <f t="shared" si="45"/>
        <v>0</v>
      </c>
      <c r="BK35" s="190">
        <f>(10)/157.5</f>
        <v>6.3492063492063489E-2</v>
      </c>
      <c r="BL35" s="190">
        <f t="shared" si="45"/>
        <v>0</v>
      </c>
      <c r="BM35" s="77">
        <f t="shared" si="57"/>
        <v>0</v>
      </c>
      <c r="BN35" s="190">
        <f t="shared" si="57"/>
        <v>0</v>
      </c>
      <c r="BO35" s="190">
        <f t="shared" si="57"/>
        <v>0</v>
      </c>
      <c r="BP35" s="190">
        <f t="shared" si="57"/>
        <v>0</v>
      </c>
      <c r="BQ35" s="190">
        <f t="shared" si="57"/>
        <v>0</v>
      </c>
      <c r="BR35" s="190">
        <f t="shared" si="57"/>
        <v>0</v>
      </c>
      <c r="BS35" s="190">
        <f t="shared" si="57"/>
        <v>0</v>
      </c>
      <c r="BT35" s="190">
        <f t="shared" si="57"/>
        <v>0</v>
      </c>
      <c r="BU35" s="190">
        <f t="shared" si="57"/>
        <v>0</v>
      </c>
      <c r="BV35" s="190">
        <f t="shared" si="57"/>
        <v>0</v>
      </c>
      <c r="BW35" s="23">
        <f t="shared" si="99"/>
        <v>0</v>
      </c>
      <c r="BX35" s="190">
        <f t="shared" si="99"/>
        <v>0</v>
      </c>
      <c r="BY35" s="190">
        <f t="shared" si="58"/>
        <v>0</v>
      </c>
      <c r="BZ35" s="190">
        <f t="shared" si="100"/>
        <v>0</v>
      </c>
      <c r="CA35" s="190">
        <f t="shared" si="100"/>
        <v>0</v>
      </c>
      <c r="CB35" s="190">
        <f t="shared" si="100"/>
        <v>0</v>
      </c>
      <c r="CC35" s="190">
        <f t="shared" si="100"/>
        <v>0</v>
      </c>
      <c r="CD35" s="190">
        <f t="shared" si="100"/>
        <v>0</v>
      </c>
      <c r="CE35" s="190">
        <f t="shared" si="59"/>
        <v>0</v>
      </c>
      <c r="CF35" s="190">
        <f t="shared" si="52"/>
        <v>0</v>
      </c>
      <c r="CG35" s="23">
        <f t="shared" si="101"/>
        <v>0</v>
      </c>
      <c r="CH35" s="190">
        <f t="shared" si="101"/>
        <v>0</v>
      </c>
      <c r="CI35" s="190">
        <f t="shared" si="101"/>
        <v>0</v>
      </c>
      <c r="CJ35" s="190">
        <f t="shared" si="101"/>
        <v>0</v>
      </c>
      <c r="CK35" s="190">
        <f t="shared" si="101"/>
        <v>0</v>
      </c>
      <c r="CL35" s="190">
        <f t="shared" si="101"/>
        <v>0</v>
      </c>
      <c r="CM35" s="190">
        <f t="shared" si="101"/>
        <v>0</v>
      </c>
      <c r="CN35" s="190">
        <f t="shared" si="101"/>
        <v>0</v>
      </c>
      <c r="CO35" s="190">
        <f t="shared" si="101"/>
        <v>0</v>
      </c>
      <c r="CP35" s="190">
        <f t="shared" si="101"/>
        <v>0</v>
      </c>
      <c r="CQ35" s="23">
        <f t="shared" si="92"/>
        <v>0</v>
      </c>
      <c r="CR35" s="190">
        <f t="shared" si="92"/>
        <v>0</v>
      </c>
      <c r="CS35" s="190">
        <f t="shared" si="92"/>
        <v>0</v>
      </c>
      <c r="CT35" s="190">
        <f t="shared" si="92"/>
        <v>0</v>
      </c>
      <c r="CU35" s="190">
        <f t="shared" si="92"/>
        <v>0</v>
      </c>
      <c r="CV35" s="190">
        <f t="shared" si="80"/>
        <v>0</v>
      </c>
      <c r="CW35" s="190">
        <f t="shared" si="80"/>
        <v>0</v>
      </c>
      <c r="CX35" s="77">
        <f t="shared" si="35"/>
        <v>0</v>
      </c>
      <c r="CY35" s="190">
        <f t="shared" si="35"/>
        <v>0</v>
      </c>
      <c r="CZ35" s="190">
        <f t="shared" si="35"/>
        <v>0</v>
      </c>
      <c r="DA35" s="190">
        <f t="shared" si="35"/>
        <v>0</v>
      </c>
      <c r="DB35" s="190">
        <f t="shared" si="35"/>
        <v>0</v>
      </c>
      <c r="DC35" s="190">
        <f t="shared" si="81"/>
        <v>0</v>
      </c>
      <c r="DD35" s="190">
        <f t="shared" si="81"/>
        <v>0</v>
      </c>
      <c r="DE35" s="59">
        <f t="shared" si="93"/>
        <v>0</v>
      </c>
      <c r="DF35" s="190">
        <f t="shared" si="93"/>
        <v>0</v>
      </c>
      <c r="DG35" s="190">
        <f t="shared" si="93"/>
        <v>0</v>
      </c>
      <c r="DH35" s="190">
        <f t="shared" si="93"/>
        <v>0</v>
      </c>
      <c r="DI35" s="190">
        <f t="shared" si="93"/>
        <v>0</v>
      </c>
      <c r="DJ35" s="190">
        <f t="shared" si="82"/>
        <v>0</v>
      </c>
      <c r="DK35" s="190">
        <f t="shared" si="82"/>
        <v>0</v>
      </c>
      <c r="DL35" s="23">
        <f t="shared" si="88"/>
        <v>0</v>
      </c>
      <c r="DM35" s="190">
        <f t="shared" si="88"/>
        <v>0</v>
      </c>
      <c r="DN35" s="190">
        <f t="shared" si="88"/>
        <v>0</v>
      </c>
      <c r="DO35" s="190">
        <f t="shared" si="88"/>
        <v>0</v>
      </c>
      <c r="DP35" s="190">
        <f t="shared" si="88"/>
        <v>0</v>
      </c>
      <c r="DQ35" s="190">
        <f t="shared" si="83"/>
        <v>0</v>
      </c>
      <c r="DR35" s="190">
        <f t="shared" si="83"/>
        <v>0</v>
      </c>
      <c r="DS35" s="190">
        <f t="shared" si="83"/>
        <v>0</v>
      </c>
      <c r="DT35" s="201"/>
    </row>
    <row r="36" spans="1:124" ht="26.25" hidden="1" customHeight="1" outlineLevel="1" x14ac:dyDescent="0.4">
      <c r="A36" s="348"/>
      <c r="B36" s="348"/>
      <c r="C36" s="348"/>
      <c r="D36" s="350"/>
      <c r="E36" s="350"/>
      <c r="F36" s="350"/>
      <c r="G36" s="565"/>
      <c r="H36" s="450"/>
      <c r="I36" s="450"/>
      <c r="J36" s="448"/>
      <c r="K36" s="446"/>
      <c r="L36" s="446"/>
      <c r="M36" s="429"/>
      <c r="N36" s="43" t="s">
        <v>25</v>
      </c>
      <c r="O36" s="209">
        <f t="shared" si="96"/>
        <v>0</v>
      </c>
      <c r="P36" s="209">
        <f t="shared" si="96"/>
        <v>0</v>
      </c>
      <c r="Q36" s="209">
        <f t="shared" si="96"/>
        <v>0</v>
      </c>
      <c r="R36" s="209">
        <f t="shared" si="96"/>
        <v>0</v>
      </c>
      <c r="S36" s="209">
        <f t="shared" si="96"/>
        <v>0</v>
      </c>
      <c r="T36" s="209">
        <f t="shared" si="96"/>
        <v>0</v>
      </c>
      <c r="U36" s="209">
        <f t="shared" si="96"/>
        <v>0</v>
      </c>
      <c r="V36" s="209">
        <f t="shared" si="97"/>
        <v>0</v>
      </c>
      <c r="W36" s="209">
        <f t="shared" si="97"/>
        <v>0</v>
      </c>
      <c r="X36" s="53">
        <f t="shared" si="96"/>
        <v>0</v>
      </c>
      <c r="Y36" s="209">
        <f t="shared" si="98"/>
        <v>0</v>
      </c>
      <c r="Z36" s="209">
        <f>(6+1)/157.5</f>
        <v>4.4444444444444446E-2</v>
      </c>
      <c r="AA36" s="209">
        <f t="shared" si="104"/>
        <v>0</v>
      </c>
      <c r="AB36" s="209">
        <f>(20+14)/157.5</f>
        <v>0.21587301587301588</v>
      </c>
      <c r="AC36" s="209">
        <f t="shared" si="104"/>
        <v>0</v>
      </c>
      <c r="AD36" s="209">
        <f>(28+13.5)/157.5</f>
        <v>0.2634920634920635</v>
      </c>
      <c r="AE36" s="209">
        <f>(0+5.5)/157.5</f>
        <v>3.4920634920634921E-2</v>
      </c>
      <c r="AF36" s="209">
        <f t="shared" si="104"/>
        <v>0</v>
      </c>
      <c r="AG36" s="209">
        <f t="shared" si="104"/>
        <v>0</v>
      </c>
      <c r="AH36" s="209">
        <f>(5+3.5)/157.5</f>
        <v>5.3968253968253971E-2</v>
      </c>
      <c r="AI36" s="58">
        <f t="shared" si="56"/>
        <v>0</v>
      </c>
      <c r="AJ36" s="209">
        <f>(0+1)/157.5</f>
        <v>6.3492063492063492E-3</v>
      </c>
      <c r="AK36" s="209">
        <f t="shared" si="56"/>
        <v>0</v>
      </c>
      <c r="AL36" s="209">
        <f>(21+28.5+30.5+27.5+13.5)/157.5</f>
        <v>0.7682539682539683</v>
      </c>
      <c r="AM36" s="209">
        <f t="shared" si="56"/>
        <v>0</v>
      </c>
      <c r="AN36" s="209">
        <f>(15+27.5+11.5)/157.5</f>
        <v>0.34285714285714286</v>
      </c>
      <c r="AO36" s="209">
        <f>(7)/157.5</f>
        <v>4.4444444444444446E-2</v>
      </c>
      <c r="AP36" s="209">
        <f t="shared" si="56"/>
        <v>0</v>
      </c>
      <c r="AQ36" s="209">
        <f t="shared" si="56"/>
        <v>0</v>
      </c>
      <c r="AR36" s="275">
        <f>(0+9.5+4)/157.5</f>
        <v>8.5714285714285715E-2</v>
      </c>
      <c r="AS36" s="65">
        <f t="shared" si="44"/>
        <v>0</v>
      </c>
      <c r="AT36" s="210">
        <f>(1)/165</f>
        <v>6.0606060606060606E-3</v>
      </c>
      <c r="AU36" s="210">
        <f t="shared" si="44"/>
        <v>0</v>
      </c>
      <c r="AV36" s="210">
        <f>(8+16.5+10.5+10.5+10+3.5)/165</f>
        <v>0.3575757575757576</v>
      </c>
      <c r="AW36" s="280">
        <f>(0+17.5+17.5+6.5)/165</f>
        <v>0.25151515151515152</v>
      </c>
      <c r="AX36" s="280">
        <f>(0+19.5)/165</f>
        <v>0.11818181818181818</v>
      </c>
      <c r="AY36" s="210">
        <f t="shared" ref="AT36:BB53" si="107">(0)/165</f>
        <v>0</v>
      </c>
      <c r="AZ36" s="210">
        <f t="shared" si="107"/>
        <v>0</v>
      </c>
      <c r="BA36" s="210">
        <f t="shared" si="107"/>
        <v>0</v>
      </c>
      <c r="BB36" s="53">
        <f>(0+23.5)/165</f>
        <v>0.14242424242424243</v>
      </c>
      <c r="BC36" s="58">
        <f>(9+9+6+4.5+3)/157.5</f>
        <v>0.2</v>
      </c>
      <c r="BD36" s="209">
        <f t="shared" si="45"/>
        <v>0</v>
      </c>
      <c r="BE36" s="209">
        <f t="shared" si="45"/>
        <v>0</v>
      </c>
      <c r="BF36" s="209">
        <f>(23+18.5+30+34.5+13.5)/157.5</f>
        <v>0.7587301587301587</v>
      </c>
      <c r="BG36" s="209">
        <f>(56.5+25+23.5+9.5)/157.5</f>
        <v>0.72698412698412695</v>
      </c>
      <c r="BH36" s="209">
        <f t="shared" ref="BE36:BL54" si="108">(0)/157.5</f>
        <v>0</v>
      </c>
      <c r="BI36" s="209">
        <f t="shared" si="108"/>
        <v>0</v>
      </c>
      <c r="BJ36" s="209">
        <f t="shared" si="108"/>
        <v>0</v>
      </c>
      <c r="BK36" s="209">
        <f>(0+4)/157.5</f>
        <v>2.5396825396825397E-2</v>
      </c>
      <c r="BL36" s="209">
        <f t="shared" si="108"/>
        <v>0</v>
      </c>
      <c r="BM36" s="58">
        <f t="shared" si="57"/>
        <v>0</v>
      </c>
      <c r="BN36" s="209">
        <f t="shared" si="57"/>
        <v>0</v>
      </c>
      <c r="BO36" s="209">
        <f t="shared" si="57"/>
        <v>0</v>
      </c>
      <c r="BP36" s="209">
        <f t="shared" si="57"/>
        <v>0</v>
      </c>
      <c r="BQ36" s="209">
        <f t="shared" si="57"/>
        <v>0</v>
      </c>
      <c r="BR36" s="209">
        <f t="shared" ref="BR36:BV67" si="109">(0)/165</f>
        <v>0</v>
      </c>
      <c r="BS36" s="209">
        <f t="shared" si="109"/>
        <v>0</v>
      </c>
      <c r="BT36" s="209">
        <f t="shared" si="109"/>
        <v>0</v>
      </c>
      <c r="BU36" s="209">
        <f t="shared" si="109"/>
        <v>0</v>
      </c>
      <c r="BV36" s="209">
        <f t="shared" si="109"/>
        <v>0</v>
      </c>
      <c r="BW36" s="65">
        <f t="shared" si="99"/>
        <v>0</v>
      </c>
      <c r="BX36" s="209">
        <f t="shared" si="99"/>
        <v>0</v>
      </c>
      <c r="BY36" s="209">
        <f t="shared" si="58"/>
        <v>0</v>
      </c>
      <c r="BZ36" s="209">
        <f t="shared" si="100"/>
        <v>0</v>
      </c>
      <c r="CA36" s="209">
        <f t="shared" si="100"/>
        <v>0</v>
      </c>
      <c r="CB36" s="209">
        <f t="shared" si="100"/>
        <v>0</v>
      </c>
      <c r="CC36" s="209">
        <f t="shared" si="100"/>
        <v>0</v>
      </c>
      <c r="CD36" s="209">
        <f t="shared" si="100"/>
        <v>0</v>
      </c>
      <c r="CE36" s="209">
        <f t="shared" si="59"/>
        <v>0</v>
      </c>
      <c r="CF36" s="209">
        <f t="shared" si="52"/>
        <v>0</v>
      </c>
      <c r="CG36" s="65">
        <f t="shared" si="101"/>
        <v>0</v>
      </c>
      <c r="CH36" s="209">
        <f t="shared" si="101"/>
        <v>0</v>
      </c>
      <c r="CI36" s="209">
        <f t="shared" si="101"/>
        <v>0</v>
      </c>
      <c r="CJ36" s="209">
        <f t="shared" si="101"/>
        <v>0</v>
      </c>
      <c r="CK36" s="209">
        <f t="shared" si="101"/>
        <v>0</v>
      </c>
      <c r="CL36" s="209">
        <f t="shared" si="101"/>
        <v>0</v>
      </c>
      <c r="CM36" s="209">
        <f t="shared" si="101"/>
        <v>0</v>
      </c>
      <c r="CN36" s="209">
        <f t="shared" si="101"/>
        <v>0</v>
      </c>
      <c r="CO36" s="209">
        <f t="shared" si="101"/>
        <v>0</v>
      </c>
      <c r="CP36" s="209">
        <f t="shared" si="101"/>
        <v>0</v>
      </c>
      <c r="CQ36" s="65">
        <f t="shared" si="92"/>
        <v>0</v>
      </c>
      <c r="CR36" s="210">
        <f t="shared" si="92"/>
        <v>0</v>
      </c>
      <c r="CS36" s="210">
        <f t="shared" si="92"/>
        <v>0</v>
      </c>
      <c r="CT36" s="210">
        <f t="shared" si="92"/>
        <v>0</v>
      </c>
      <c r="CU36" s="210">
        <f t="shared" si="92"/>
        <v>0</v>
      </c>
      <c r="CV36" s="210">
        <f t="shared" si="80"/>
        <v>0</v>
      </c>
      <c r="CW36" s="210">
        <f t="shared" si="80"/>
        <v>0</v>
      </c>
      <c r="CX36" s="65">
        <f t="shared" si="35"/>
        <v>0</v>
      </c>
      <c r="CY36" s="210">
        <f t="shared" si="35"/>
        <v>0</v>
      </c>
      <c r="CZ36" s="210">
        <f t="shared" si="35"/>
        <v>0</v>
      </c>
      <c r="DA36" s="210">
        <f t="shared" si="35"/>
        <v>0</v>
      </c>
      <c r="DB36" s="210">
        <f t="shared" si="35"/>
        <v>0</v>
      </c>
      <c r="DC36" s="210">
        <f t="shared" si="81"/>
        <v>0</v>
      </c>
      <c r="DD36" s="210">
        <f t="shared" si="81"/>
        <v>0</v>
      </c>
      <c r="DE36" s="61">
        <f t="shared" si="93"/>
        <v>0</v>
      </c>
      <c r="DF36" s="210">
        <f t="shared" si="93"/>
        <v>0</v>
      </c>
      <c r="DG36" s="210">
        <f t="shared" si="93"/>
        <v>0</v>
      </c>
      <c r="DH36" s="210">
        <f t="shared" si="93"/>
        <v>0</v>
      </c>
      <c r="DI36" s="210">
        <f t="shared" si="93"/>
        <v>0</v>
      </c>
      <c r="DJ36" s="210">
        <f t="shared" si="82"/>
        <v>0</v>
      </c>
      <c r="DK36" s="210">
        <f t="shared" si="82"/>
        <v>0</v>
      </c>
      <c r="DL36" s="65">
        <f t="shared" si="88"/>
        <v>0</v>
      </c>
      <c r="DM36" s="210">
        <f t="shared" si="88"/>
        <v>0</v>
      </c>
      <c r="DN36" s="210">
        <f t="shared" si="88"/>
        <v>0</v>
      </c>
      <c r="DO36" s="210">
        <f t="shared" si="88"/>
        <v>0</v>
      </c>
      <c r="DP36" s="210">
        <f t="shared" si="88"/>
        <v>0</v>
      </c>
      <c r="DQ36" s="210">
        <f t="shared" si="83"/>
        <v>0</v>
      </c>
      <c r="DR36" s="210">
        <f t="shared" si="83"/>
        <v>0</v>
      </c>
      <c r="DS36" s="210">
        <f t="shared" si="83"/>
        <v>0</v>
      </c>
      <c r="DT36" s="201"/>
    </row>
    <row r="37" spans="1:124" ht="26.25" hidden="1" customHeight="1" outlineLevel="1" x14ac:dyDescent="0.4">
      <c r="A37" s="347">
        <v>16</v>
      </c>
      <c r="B37" s="347" t="s">
        <v>47</v>
      </c>
      <c r="C37" s="347" t="s">
        <v>14</v>
      </c>
      <c r="D37" s="349" t="s">
        <v>521</v>
      </c>
      <c r="E37" s="349" t="s">
        <v>512</v>
      </c>
      <c r="F37" s="349"/>
      <c r="G37" s="563" t="s">
        <v>515</v>
      </c>
      <c r="H37" s="449">
        <f t="shared" ref="H37" si="110">SUM(CG37:CP37)</f>
        <v>0</v>
      </c>
      <c r="I37" s="449">
        <f t="shared" ref="I37" si="111">SUM(CG38:CP38)</f>
        <v>0</v>
      </c>
      <c r="J37" s="447"/>
      <c r="K37" s="445"/>
      <c r="L37" s="445"/>
      <c r="M37" s="428"/>
      <c r="N37" s="52" t="s">
        <v>24</v>
      </c>
      <c r="O37" s="190">
        <f t="shared" si="96"/>
        <v>0</v>
      </c>
      <c r="P37" s="190">
        <f t="shared" si="96"/>
        <v>0</v>
      </c>
      <c r="Q37" s="190">
        <f t="shared" si="96"/>
        <v>0</v>
      </c>
      <c r="R37" s="190">
        <f t="shared" si="96"/>
        <v>0</v>
      </c>
      <c r="S37" s="190">
        <f t="shared" si="96"/>
        <v>0</v>
      </c>
      <c r="T37" s="190">
        <f t="shared" si="96"/>
        <v>0</v>
      </c>
      <c r="U37" s="190">
        <f t="shared" si="96"/>
        <v>0</v>
      </c>
      <c r="V37" s="190">
        <f t="shared" si="97"/>
        <v>0</v>
      </c>
      <c r="W37" s="190">
        <f t="shared" si="97"/>
        <v>0</v>
      </c>
      <c r="X37" s="86">
        <f t="shared" si="96"/>
        <v>0</v>
      </c>
      <c r="Y37" s="190">
        <f t="shared" si="98"/>
        <v>0</v>
      </c>
      <c r="Z37" s="190">
        <f>(10)/157.5</f>
        <v>6.3492063492063489E-2</v>
      </c>
      <c r="AA37" s="190">
        <f t="shared" si="104"/>
        <v>0</v>
      </c>
      <c r="AB37" s="190">
        <f t="shared" si="104"/>
        <v>0</v>
      </c>
      <c r="AC37" s="190">
        <f>(20)/157.5</f>
        <v>0.12698412698412698</v>
      </c>
      <c r="AD37" s="190">
        <f t="shared" si="104"/>
        <v>0</v>
      </c>
      <c r="AE37" s="190">
        <f t="shared" si="104"/>
        <v>0</v>
      </c>
      <c r="AF37" s="190">
        <f t="shared" si="104"/>
        <v>0</v>
      </c>
      <c r="AG37" s="190">
        <f t="shared" si="104"/>
        <v>0</v>
      </c>
      <c r="AH37" s="190">
        <f>(20)/157.5</f>
        <v>0.12698412698412698</v>
      </c>
      <c r="AI37" s="77">
        <f t="shared" si="56"/>
        <v>0</v>
      </c>
      <c r="AJ37" s="190">
        <f>(5.67)/157.5</f>
        <v>3.5999999999999997E-2</v>
      </c>
      <c r="AK37" s="190">
        <f t="shared" si="56"/>
        <v>0</v>
      </c>
      <c r="AL37" s="190">
        <f t="shared" si="56"/>
        <v>0</v>
      </c>
      <c r="AM37" s="190">
        <f>(22.67)/157.5</f>
        <v>0.14393650793650795</v>
      </c>
      <c r="AN37" s="190">
        <f t="shared" si="56"/>
        <v>0</v>
      </c>
      <c r="AO37" s="190">
        <f t="shared" si="56"/>
        <v>0</v>
      </c>
      <c r="AP37" s="190">
        <f t="shared" si="56"/>
        <v>0</v>
      </c>
      <c r="AQ37" s="190">
        <f t="shared" si="56"/>
        <v>0</v>
      </c>
      <c r="AR37" s="190">
        <f>(22.67+17)/157.5</f>
        <v>0.25187301587301586</v>
      </c>
      <c r="AS37" s="23">
        <f t="shared" ref="AS37:BA54" si="112">(0)/165</f>
        <v>0</v>
      </c>
      <c r="AT37" s="190">
        <f t="shared" si="112"/>
        <v>0</v>
      </c>
      <c r="AU37" s="190">
        <f t="shared" si="107"/>
        <v>0</v>
      </c>
      <c r="AV37" s="190">
        <f t="shared" si="107"/>
        <v>0</v>
      </c>
      <c r="AW37" s="190">
        <f t="shared" si="107"/>
        <v>0</v>
      </c>
      <c r="AX37" s="190">
        <f t="shared" si="107"/>
        <v>0</v>
      </c>
      <c r="AY37" s="190">
        <f t="shared" si="107"/>
        <v>0</v>
      </c>
      <c r="AZ37" s="190">
        <f t="shared" si="107"/>
        <v>0</v>
      </c>
      <c r="BA37" s="190">
        <f t="shared" si="107"/>
        <v>0</v>
      </c>
      <c r="BB37" s="225">
        <f t="shared" si="107"/>
        <v>0</v>
      </c>
      <c r="BC37" s="77">
        <f t="shared" ref="BC37:BL57" si="113">(0)/157.5</f>
        <v>0</v>
      </c>
      <c r="BD37" s="190">
        <f t="shared" si="113"/>
        <v>0</v>
      </c>
      <c r="BE37" s="190">
        <f t="shared" si="108"/>
        <v>0</v>
      </c>
      <c r="BF37" s="190">
        <f t="shared" si="108"/>
        <v>0</v>
      </c>
      <c r="BG37" s="190">
        <f t="shared" si="108"/>
        <v>0</v>
      </c>
      <c r="BH37" s="190">
        <f t="shared" si="108"/>
        <v>0</v>
      </c>
      <c r="BI37" s="190">
        <f t="shared" si="108"/>
        <v>0</v>
      </c>
      <c r="BJ37" s="190">
        <f t="shared" si="108"/>
        <v>0</v>
      </c>
      <c r="BK37" s="190">
        <f t="shared" si="108"/>
        <v>0</v>
      </c>
      <c r="BL37" s="190">
        <f t="shared" si="108"/>
        <v>0</v>
      </c>
      <c r="BM37" s="77">
        <f t="shared" ref="BM37:BV69" si="114">(0)/165</f>
        <v>0</v>
      </c>
      <c r="BN37" s="190">
        <f t="shared" si="114"/>
        <v>0</v>
      </c>
      <c r="BO37" s="190">
        <f t="shared" si="114"/>
        <v>0</v>
      </c>
      <c r="BP37" s="190">
        <f t="shared" si="114"/>
        <v>0</v>
      </c>
      <c r="BQ37" s="190">
        <f t="shared" si="114"/>
        <v>0</v>
      </c>
      <c r="BR37" s="190">
        <f t="shared" si="109"/>
        <v>0</v>
      </c>
      <c r="BS37" s="190">
        <f t="shared" si="109"/>
        <v>0</v>
      </c>
      <c r="BT37" s="190">
        <f t="shared" si="109"/>
        <v>0</v>
      </c>
      <c r="BU37" s="190">
        <f t="shared" si="109"/>
        <v>0</v>
      </c>
      <c r="BV37" s="190">
        <f t="shared" si="109"/>
        <v>0</v>
      </c>
      <c r="BW37" s="23">
        <f t="shared" si="99"/>
        <v>0</v>
      </c>
      <c r="BX37" s="190">
        <f t="shared" si="99"/>
        <v>0</v>
      </c>
      <c r="BY37" s="190">
        <f t="shared" si="58"/>
        <v>0</v>
      </c>
      <c r="BZ37" s="190">
        <f t="shared" si="100"/>
        <v>0</v>
      </c>
      <c r="CA37" s="190">
        <f t="shared" si="100"/>
        <v>0</v>
      </c>
      <c r="CB37" s="190">
        <f t="shared" si="100"/>
        <v>0</v>
      </c>
      <c r="CC37" s="190">
        <f t="shared" si="100"/>
        <v>0</v>
      </c>
      <c r="CD37" s="190">
        <f t="shared" si="100"/>
        <v>0</v>
      </c>
      <c r="CE37" s="190">
        <f t="shared" si="59"/>
        <v>0</v>
      </c>
      <c r="CF37" s="190">
        <f t="shared" si="52"/>
        <v>0</v>
      </c>
      <c r="CG37" s="23">
        <f t="shared" si="101"/>
        <v>0</v>
      </c>
      <c r="CH37" s="190">
        <f t="shared" si="101"/>
        <v>0</v>
      </c>
      <c r="CI37" s="190">
        <f t="shared" si="101"/>
        <v>0</v>
      </c>
      <c r="CJ37" s="190">
        <f t="shared" si="101"/>
        <v>0</v>
      </c>
      <c r="CK37" s="190">
        <f t="shared" si="101"/>
        <v>0</v>
      </c>
      <c r="CL37" s="190">
        <f t="shared" si="101"/>
        <v>0</v>
      </c>
      <c r="CM37" s="190">
        <f t="shared" si="101"/>
        <v>0</v>
      </c>
      <c r="CN37" s="190">
        <f t="shared" si="101"/>
        <v>0</v>
      </c>
      <c r="CO37" s="190">
        <f t="shared" si="101"/>
        <v>0</v>
      </c>
      <c r="CP37" s="190">
        <f t="shared" si="101"/>
        <v>0</v>
      </c>
      <c r="CQ37" s="23">
        <f t="shared" si="92"/>
        <v>0</v>
      </c>
      <c r="CR37" s="190">
        <f t="shared" si="92"/>
        <v>0</v>
      </c>
      <c r="CS37" s="190">
        <f t="shared" si="92"/>
        <v>0</v>
      </c>
      <c r="CT37" s="190">
        <f t="shared" si="92"/>
        <v>0</v>
      </c>
      <c r="CU37" s="190">
        <f t="shared" si="92"/>
        <v>0</v>
      </c>
      <c r="CV37" s="190">
        <f t="shared" si="80"/>
        <v>0</v>
      </c>
      <c r="CW37" s="190">
        <f t="shared" si="80"/>
        <v>0</v>
      </c>
      <c r="CX37" s="77">
        <f t="shared" si="35"/>
        <v>0</v>
      </c>
      <c r="CY37" s="190">
        <f t="shared" si="35"/>
        <v>0</v>
      </c>
      <c r="CZ37" s="190">
        <f t="shared" si="35"/>
        <v>0</v>
      </c>
      <c r="DA37" s="190">
        <f t="shared" si="35"/>
        <v>0</v>
      </c>
      <c r="DB37" s="190">
        <f t="shared" si="35"/>
        <v>0</v>
      </c>
      <c r="DC37" s="190">
        <f t="shared" si="81"/>
        <v>0</v>
      </c>
      <c r="DD37" s="190">
        <f t="shared" si="81"/>
        <v>0</v>
      </c>
      <c r="DE37" s="59">
        <f t="shared" si="93"/>
        <v>0</v>
      </c>
      <c r="DF37" s="190">
        <f t="shared" si="93"/>
        <v>0</v>
      </c>
      <c r="DG37" s="190">
        <f t="shared" si="93"/>
        <v>0</v>
      </c>
      <c r="DH37" s="190">
        <f t="shared" si="93"/>
        <v>0</v>
      </c>
      <c r="DI37" s="190">
        <f t="shared" si="93"/>
        <v>0</v>
      </c>
      <c r="DJ37" s="190">
        <f t="shared" si="82"/>
        <v>0</v>
      </c>
      <c r="DK37" s="190">
        <f t="shared" si="82"/>
        <v>0</v>
      </c>
      <c r="DL37" s="23">
        <f t="shared" ref="DL37:DP46" si="115">0/142.5</f>
        <v>0</v>
      </c>
      <c r="DM37" s="190">
        <f t="shared" si="115"/>
        <v>0</v>
      </c>
      <c r="DN37" s="190">
        <f t="shared" si="115"/>
        <v>0</v>
      </c>
      <c r="DO37" s="190">
        <f t="shared" si="115"/>
        <v>0</v>
      </c>
      <c r="DP37" s="190">
        <f t="shared" si="115"/>
        <v>0</v>
      </c>
      <c r="DQ37" s="190">
        <f t="shared" si="83"/>
        <v>0</v>
      </c>
      <c r="DR37" s="190">
        <f t="shared" si="83"/>
        <v>0</v>
      </c>
      <c r="DS37" s="190">
        <f t="shared" si="83"/>
        <v>0</v>
      </c>
      <c r="DT37" s="201"/>
    </row>
    <row r="38" spans="1:124" ht="26.25" hidden="1" customHeight="1" outlineLevel="1" x14ac:dyDescent="0.4">
      <c r="A38" s="348"/>
      <c r="B38" s="348"/>
      <c r="C38" s="348"/>
      <c r="D38" s="350"/>
      <c r="E38" s="350"/>
      <c r="F38" s="350"/>
      <c r="G38" s="565"/>
      <c r="H38" s="450"/>
      <c r="I38" s="450"/>
      <c r="J38" s="448"/>
      <c r="K38" s="446"/>
      <c r="L38" s="446"/>
      <c r="M38" s="429"/>
      <c r="N38" s="43" t="s">
        <v>25</v>
      </c>
      <c r="O38" s="209">
        <f t="shared" si="96"/>
        <v>0</v>
      </c>
      <c r="P38" s="209">
        <f t="shared" si="96"/>
        <v>0</v>
      </c>
      <c r="Q38" s="209">
        <f t="shared" si="96"/>
        <v>0</v>
      </c>
      <c r="R38" s="209">
        <f t="shared" si="96"/>
        <v>0</v>
      </c>
      <c r="S38" s="209">
        <f t="shared" si="96"/>
        <v>0</v>
      </c>
      <c r="T38" s="209">
        <f t="shared" si="96"/>
        <v>0</v>
      </c>
      <c r="U38" s="209">
        <f t="shared" si="96"/>
        <v>0</v>
      </c>
      <c r="V38" s="209">
        <f t="shared" si="97"/>
        <v>0</v>
      </c>
      <c r="W38" s="209">
        <f t="shared" si="97"/>
        <v>0</v>
      </c>
      <c r="X38" s="53">
        <f t="shared" si="96"/>
        <v>0</v>
      </c>
      <c r="Y38" s="209">
        <f t="shared" si="98"/>
        <v>0</v>
      </c>
      <c r="Z38" s="209">
        <f>(3)/157.5</f>
        <v>1.9047619047619049E-2</v>
      </c>
      <c r="AA38" s="209">
        <f t="shared" si="104"/>
        <v>0</v>
      </c>
      <c r="AB38" s="209">
        <f t="shared" si="104"/>
        <v>0</v>
      </c>
      <c r="AC38" s="209">
        <f>(13+6)/157.5</f>
        <v>0.12063492063492064</v>
      </c>
      <c r="AD38" s="209">
        <f t="shared" si="104"/>
        <v>0</v>
      </c>
      <c r="AE38" s="209">
        <f t="shared" si="104"/>
        <v>0</v>
      </c>
      <c r="AF38" s="209">
        <f t="shared" si="104"/>
        <v>0</v>
      </c>
      <c r="AG38" s="209">
        <f t="shared" si="104"/>
        <v>0</v>
      </c>
      <c r="AH38" s="209">
        <f>(16+6)/157.5</f>
        <v>0.13968253968253969</v>
      </c>
      <c r="AI38" s="58">
        <f t="shared" si="56"/>
        <v>0</v>
      </c>
      <c r="AJ38" s="209">
        <f>(0+4)/157.5</f>
        <v>2.5396825396825397E-2</v>
      </c>
      <c r="AK38" s="209">
        <f t="shared" si="56"/>
        <v>0</v>
      </c>
      <c r="AL38" s="209">
        <f t="shared" si="56"/>
        <v>0</v>
      </c>
      <c r="AM38" s="209">
        <f>(6+18+4+2.5)/157.5</f>
        <v>0.19365079365079366</v>
      </c>
      <c r="AN38" s="209">
        <f t="shared" si="56"/>
        <v>0</v>
      </c>
      <c r="AO38" s="209">
        <f t="shared" si="56"/>
        <v>0</v>
      </c>
      <c r="AP38" s="209">
        <f t="shared" si="56"/>
        <v>0</v>
      </c>
      <c r="AQ38" s="209">
        <f t="shared" si="56"/>
        <v>0</v>
      </c>
      <c r="AR38" s="275">
        <f>(15+18)/157.5</f>
        <v>0.20952380952380953</v>
      </c>
      <c r="AS38" s="65">
        <f t="shared" si="112"/>
        <v>0</v>
      </c>
      <c r="AT38" s="210">
        <f t="shared" si="112"/>
        <v>0</v>
      </c>
      <c r="AU38" s="210">
        <f t="shared" si="107"/>
        <v>0</v>
      </c>
      <c r="AV38" s="210">
        <f t="shared" si="107"/>
        <v>0</v>
      </c>
      <c r="AW38" s="210">
        <f t="shared" si="107"/>
        <v>0</v>
      </c>
      <c r="AX38" s="210">
        <f t="shared" si="107"/>
        <v>0</v>
      </c>
      <c r="AY38" s="210">
        <f t="shared" si="107"/>
        <v>0</v>
      </c>
      <c r="AZ38" s="210">
        <f t="shared" si="107"/>
        <v>0</v>
      </c>
      <c r="BA38" s="210">
        <f t="shared" si="107"/>
        <v>0</v>
      </c>
      <c r="BB38" s="53">
        <f t="shared" si="107"/>
        <v>0</v>
      </c>
      <c r="BC38" s="58">
        <f t="shared" si="113"/>
        <v>0</v>
      </c>
      <c r="BD38" s="209">
        <f t="shared" si="113"/>
        <v>0</v>
      </c>
      <c r="BE38" s="209">
        <f t="shared" si="108"/>
        <v>0</v>
      </c>
      <c r="BF38" s="209">
        <f t="shared" si="108"/>
        <v>0</v>
      </c>
      <c r="BG38" s="209">
        <f t="shared" si="108"/>
        <v>0</v>
      </c>
      <c r="BH38" s="209">
        <f t="shared" si="108"/>
        <v>0</v>
      </c>
      <c r="BI38" s="209">
        <f t="shared" si="108"/>
        <v>0</v>
      </c>
      <c r="BJ38" s="209">
        <f t="shared" si="108"/>
        <v>0</v>
      </c>
      <c r="BK38" s="209">
        <f t="shared" si="108"/>
        <v>0</v>
      </c>
      <c r="BL38" s="209">
        <f t="shared" si="108"/>
        <v>0</v>
      </c>
      <c r="BM38" s="58">
        <f t="shared" si="114"/>
        <v>0</v>
      </c>
      <c r="BN38" s="209">
        <f t="shared" si="114"/>
        <v>0</v>
      </c>
      <c r="BO38" s="209">
        <f t="shared" si="114"/>
        <v>0</v>
      </c>
      <c r="BP38" s="209">
        <f t="shared" si="114"/>
        <v>0</v>
      </c>
      <c r="BQ38" s="209">
        <f t="shared" si="114"/>
        <v>0</v>
      </c>
      <c r="BR38" s="209">
        <f t="shared" si="109"/>
        <v>0</v>
      </c>
      <c r="BS38" s="209">
        <f t="shared" si="109"/>
        <v>0</v>
      </c>
      <c r="BT38" s="209">
        <f t="shared" si="109"/>
        <v>0</v>
      </c>
      <c r="BU38" s="209">
        <f t="shared" si="109"/>
        <v>0</v>
      </c>
      <c r="BV38" s="209">
        <f t="shared" si="109"/>
        <v>0</v>
      </c>
      <c r="BW38" s="65">
        <f t="shared" si="99"/>
        <v>0</v>
      </c>
      <c r="BX38" s="209">
        <f t="shared" si="99"/>
        <v>0</v>
      </c>
      <c r="BY38" s="209">
        <f t="shared" si="58"/>
        <v>0</v>
      </c>
      <c r="BZ38" s="209">
        <f t="shared" si="100"/>
        <v>0</v>
      </c>
      <c r="CA38" s="209">
        <f t="shared" si="100"/>
        <v>0</v>
      </c>
      <c r="CB38" s="209">
        <f t="shared" si="100"/>
        <v>0</v>
      </c>
      <c r="CC38" s="209">
        <f t="shared" si="100"/>
        <v>0</v>
      </c>
      <c r="CD38" s="209">
        <f t="shared" si="100"/>
        <v>0</v>
      </c>
      <c r="CE38" s="209">
        <f t="shared" si="59"/>
        <v>0</v>
      </c>
      <c r="CF38" s="209">
        <f t="shared" si="52"/>
        <v>0</v>
      </c>
      <c r="CG38" s="65">
        <f t="shared" si="101"/>
        <v>0</v>
      </c>
      <c r="CH38" s="209">
        <f t="shared" si="101"/>
        <v>0</v>
      </c>
      <c r="CI38" s="209">
        <f t="shared" si="101"/>
        <v>0</v>
      </c>
      <c r="CJ38" s="209">
        <f t="shared" si="101"/>
        <v>0</v>
      </c>
      <c r="CK38" s="209">
        <f t="shared" si="101"/>
        <v>0</v>
      </c>
      <c r="CL38" s="209">
        <f t="shared" si="101"/>
        <v>0</v>
      </c>
      <c r="CM38" s="209">
        <f t="shared" si="101"/>
        <v>0</v>
      </c>
      <c r="CN38" s="209">
        <f t="shared" si="101"/>
        <v>0</v>
      </c>
      <c r="CO38" s="209">
        <f t="shared" si="101"/>
        <v>0</v>
      </c>
      <c r="CP38" s="209">
        <f t="shared" si="101"/>
        <v>0</v>
      </c>
      <c r="CQ38" s="65">
        <f t="shared" si="92"/>
        <v>0</v>
      </c>
      <c r="CR38" s="210">
        <f t="shared" si="92"/>
        <v>0</v>
      </c>
      <c r="CS38" s="210">
        <f t="shared" si="92"/>
        <v>0</v>
      </c>
      <c r="CT38" s="210">
        <f t="shared" si="92"/>
        <v>0</v>
      </c>
      <c r="CU38" s="210">
        <f t="shared" si="92"/>
        <v>0</v>
      </c>
      <c r="CV38" s="210">
        <f t="shared" si="80"/>
        <v>0</v>
      </c>
      <c r="CW38" s="210">
        <f t="shared" si="80"/>
        <v>0</v>
      </c>
      <c r="CX38" s="65">
        <f t="shared" si="35"/>
        <v>0</v>
      </c>
      <c r="CY38" s="210">
        <f t="shared" si="35"/>
        <v>0</v>
      </c>
      <c r="CZ38" s="210">
        <f t="shared" si="35"/>
        <v>0</v>
      </c>
      <c r="DA38" s="210">
        <f t="shared" si="35"/>
        <v>0</v>
      </c>
      <c r="DB38" s="210">
        <f t="shared" si="35"/>
        <v>0</v>
      </c>
      <c r="DC38" s="210">
        <f t="shared" si="81"/>
        <v>0</v>
      </c>
      <c r="DD38" s="210">
        <f t="shared" si="81"/>
        <v>0</v>
      </c>
      <c r="DE38" s="61">
        <f t="shared" si="93"/>
        <v>0</v>
      </c>
      <c r="DF38" s="210">
        <f t="shared" si="93"/>
        <v>0</v>
      </c>
      <c r="DG38" s="210">
        <f t="shared" si="93"/>
        <v>0</v>
      </c>
      <c r="DH38" s="210">
        <f t="shared" si="93"/>
        <v>0</v>
      </c>
      <c r="DI38" s="210">
        <f t="shared" si="93"/>
        <v>0</v>
      </c>
      <c r="DJ38" s="210">
        <f t="shared" si="82"/>
        <v>0</v>
      </c>
      <c r="DK38" s="210">
        <f t="shared" si="82"/>
        <v>0</v>
      </c>
      <c r="DL38" s="65">
        <f t="shared" si="115"/>
        <v>0</v>
      </c>
      <c r="DM38" s="210">
        <f t="shared" si="115"/>
        <v>0</v>
      </c>
      <c r="DN38" s="210">
        <f t="shared" si="115"/>
        <v>0</v>
      </c>
      <c r="DO38" s="210">
        <f t="shared" si="115"/>
        <v>0</v>
      </c>
      <c r="DP38" s="210">
        <f t="shared" si="115"/>
        <v>0</v>
      </c>
      <c r="DQ38" s="210">
        <f t="shared" si="83"/>
        <v>0</v>
      </c>
      <c r="DR38" s="210">
        <f t="shared" si="83"/>
        <v>0</v>
      </c>
      <c r="DS38" s="210">
        <f t="shared" si="83"/>
        <v>0</v>
      </c>
      <c r="DT38" s="201"/>
    </row>
    <row r="39" spans="1:124" ht="26.25" hidden="1" customHeight="1" outlineLevel="1" collapsed="1" x14ac:dyDescent="0.4">
      <c r="A39" s="347">
        <v>17</v>
      </c>
      <c r="B39" s="347" t="s">
        <v>47</v>
      </c>
      <c r="C39" s="347" t="s">
        <v>14</v>
      </c>
      <c r="D39" s="349" t="s">
        <v>436</v>
      </c>
      <c r="E39" s="349" t="s">
        <v>537</v>
      </c>
      <c r="F39" s="349"/>
      <c r="G39" s="563" t="s">
        <v>538</v>
      </c>
      <c r="H39" s="449">
        <f t="shared" ref="H39" si="116">SUM(CG39:CP39)</f>
        <v>0</v>
      </c>
      <c r="I39" s="449">
        <f t="shared" ref="I39" si="117">SUM(CG40:CP40)</f>
        <v>0</v>
      </c>
      <c r="J39" s="447"/>
      <c r="K39" s="445"/>
      <c r="L39" s="445"/>
      <c r="M39" s="428"/>
      <c r="N39" s="52" t="s">
        <v>24</v>
      </c>
      <c r="O39" s="190">
        <f t="shared" si="96"/>
        <v>0</v>
      </c>
      <c r="P39" s="190">
        <f t="shared" si="96"/>
        <v>0</v>
      </c>
      <c r="Q39" s="190">
        <f t="shared" si="96"/>
        <v>0</v>
      </c>
      <c r="R39" s="190">
        <f t="shared" si="96"/>
        <v>0</v>
      </c>
      <c r="S39" s="190">
        <f t="shared" si="96"/>
        <v>0</v>
      </c>
      <c r="T39" s="190">
        <f t="shared" si="96"/>
        <v>0</v>
      </c>
      <c r="U39" s="190">
        <f t="shared" si="96"/>
        <v>0</v>
      </c>
      <c r="V39" s="190">
        <f t="shared" si="97"/>
        <v>0</v>
      </c>
      <c r="W39" s="190">
        <f t="shared" si="97"/>
        <v>0</v>
      </c>
      <c r="X39" s="86">
        <f t="shared" si="96"/>
        <v>0</v>
      </c>
      <c r="Y39" s="190">
        <f t="shared" ref="Y39:AD56" si="118">0/142.5</f>
        <v>0</v>
      </c>
      <c r="Z39" s="190">
        <f t="shared" si="118"/>
        <v>0</v>
      </c>
      <c r="AA39" s="190">
        <f t="shared" si="118"/>
        <v>0</v>
      </c>
      <c r="AB39" s="190">
        <f t="shared" si="118"/>
        <v>0</v>
      </c>
      <c r="AC39" s="190">
        <f t="shared" si="118"/>
        <v>0</v>
      </c>
      <c r="AD39" s="190">
        <f t="shared" si="118"/>
        <v>0</v>
      </c>
      <c r="AE39" s="190">
        <f t="shared" ref="AE39:AH57" si="119">0/165</f>
        <v>0</v>
      </c>
      <c r="AF39" s="190"/>
      <c r="AG39" s="190">
        <f t="shared" si="119"/>
        <v>0</v>
      </c>
      <c r="AH39" s="190">
        <f t="shared" si="119"/>
        <v>0</v>
      </c>
      <c r="AI39" s="77">
        <f t="shared" si="56"/>
        <v>0</v>
      </c>
      <c r="AJ39" s="190">
        <f>(10)/157.5</f>
        <v>6.3492063492063489E-2</v>
      </c>
      <c r="AK39" s="190">
        <f t="shared" si="56"/>
        <v>0</v>
      </c>
      <c r="AL39" s="190">
        <f t="shared" si="56"/>
        <v>0</v>
      </c>
      <c r="AM39" s="190">
        <f t="shared" si="56"/>
        <v>0</v>
      </c>
      <c r="AN39" s="190">
        <f t="shared" si="56"/>
        <v>0</v>
      </c>
      <c r="AO39" s="190">
        <f>(8)/157.5</f>
        <v>5.0793650793650794E-2</v>
      </c>
      <c r="AP39" s="190">
        <f t="shared" si="56"/>
        <v>0</v>
      </c>
      <c r="AQ39" s="190">
        <f t="shared" si="56"/>
        <v>0</v>
      </c>
      <c r="AR39" s="225">
        <f>(40)/157.5</f>
        <v>0.25396825396825395</v>
      </c>
      <c r="AS39" s="23">
        <f t="shared" si="112"/>
        <v>0</v>
      </c>
      <c r="AT39" s="190">
        <f t="shared" si="112"/>
        <v>0</v>
      </c>
      <c r="AU39" s="190">
        <f t="shared" si="107"/>
        <v>0</v>
      </c>
      <c r="AV39" s="190">
        <f t="shared" si="107"/>
        <v>0</v>
      </c>
      <c r="AW39" s="190">
        <f t="shared" si="107"/>
        <v>0</v>
      </c>
      <c r="AX39" s="190">
        <f t="shared" si="107"/>
        <v>0</v>
      </c>
      <c r="AY39" s="190">
        <f t="shared" si="107"/>
        <v>0</v>
      </c>
      <c r="AZ39" s="190">
        <f t="shared" si="107"/>
        <v>0</v>
      </c>
      <c r="BA39" s="190">
        <f t="shared" si="107"/>
        <v>0</v>
      </c>
      <c r="BB39" s="225">
        <f t="shared" si="107"/>
        <v>0</v>
      </c>
      <c r="BC39" s="77">
        <f t="shared" si="113"/>
        <v>0</v>
      </c>
      <c r="BD39" s="190">
        <f t="shared" si="113"/>
        <v>0</v>
      </c>
      <c r="BE39" s="190">
        <f t="shared" si="108"/>
        <v>0</v>
      </c>
      <c r="BF39" s="190">
        <f t="shared" si="108"/>
        <v>0</v>
      </c>
      <c r="BG39" s="190">
        <f t="shared" si="108"/>
        <v>0</v>
      </c>
      <c r="BH39" s="190">
        <f t="shared" si="108"/>
        <v>0</v>
      </c>
      <c r="BI39" s="190">
        <f t="shared" si="108"/>
        <v>0</v>
      </c>
      <c r="BJ39" s="190">
        <f t="shared" si="108"/>
        <v>0</v>
      </c>
      <c r="BK39" s="190">
        <f t="shared" si="108"/>
        <v>0</v>
      </c>
      <c r="BL39" s="190">
        <f t="shared" si="108"/>
        <v>0</v>
      </c>
      <c r="BM39" s="77">
        <f t="shared" si="114"/>
        <v>0</v>
      </c>
      <c r="BN39" s="190">
        <f t="shared" si="114"/>
        <v>0</v>
      </c>
      <c r="BO39" s="190">
        <f t="shared" si="114"/>
        <v>0</v>
      </c>
      <c r="BP39" s="190">
        <f t="shared" si="114"/>
        <v>0</v>
      </c>
      <c r="BQ39" s="190">
        <f t="shared" si="114"/>
        <v>0</v>
      </c>
      <c r="BR39" s="190">
        <f t="shared" si="109"/>
        <v>0</v>
      </c>
      <c r="BS39" s="190">
        <f t="shared" si="109"/>
        <v>0</v>
      </c>
      <c r="BT39" s="190">
        <f t="shared" si="109"/>
        <v>0</v>
      </c>
      <c r="BU39" s="190">
        <f t="shared" si="109"/>
        <v>0</v>
      </c>
      <c r="BV39" s="190">
        <f t="shared" si="109"/>
        <v>0</v>
      </c>
      <c r="BW39" s="23">
        <f t="shared" si="99"/>
        <v>0</v>
      </c>
      <c r="BX39" s="190">
        <f t="shared" si="99"/>
        <v>0</v>
      </c>
      <c r="BY39" s="190">
        <f t="shared" si="58"/>
        <v>0</v>
      </c>
      <c r="BZ39" s="190">
        <f t="shared" si="100"/>
        <v>0</v>
      </c>
      <c r="CA39" s="190">
        <f t="shared" si="100"/>
        <v>0</v>
      </c>
      <c r="CB39" s="190">
        <f t="shared" si="100"/>
        <v>0</v>
      </c>
      <c r="CC39" s="190">
        <f t="shared" si="100"/>
        <v>0</v>
      </c>
      <c r="CD39" s="190">
        <f t="shared" si="100"/>
        <v>0</v>
      </c>
      <c r="CE39" s="190">
        <f t="shared" si="59"/>
        <v>0</v>
      </c>
      <c r="CF39" s="190">
        <f t="shared" si="52"/>
        <v>0</v>
      </c>
      <c r="CG39" s="23">
        <f t="shared" si="101"/>
        <v>0</v>
      </c>
      <c r="CH39" s="190">
        <f t="shared" si="101"/>
        <v>0</v>
      </c>
      <c r="CI39" s="190">
        <f t="shared" si="101"/>
        <v>0</v>
      </c>
      <c r="CJ39" s="190">
        <f t="shared" si="101"/>
        <v>0</v>
      </c>
      <c r="CK39" s="190">
        <f t="shared" si="101"/>
        <v>0</v>
      </c>
      <c r="CL39" s="190">
        <f t="shared" si="101"/>
        <v>0</v>
      </c>
      <c r="CM39" s="190">
        <f t="shared" si="101"/>
        <v>0</v>
      </c>
      <c r="CN39" s="190">
        <f t="shared" si="101"/>
        <v>0</v>
      </c>
      <c r="CO39" s="190">
        <f t="shared" si="101"/>
        <v>0</v>
      </c>
      <c r="CP39" s="190">
        <f t="shared" si="101"/>
        <v>0</v>
      </c>
      <c r="CQ39" s="23">
        <f t="shared" ref="CQ39:CU48" si="120">0/157.5</f>
        <v>0</v>
      </c>
      <c r="CR39" s="190">
        <f t="shared" si="120"/>
        <v>0</v>
      </c>
      <c r="CS39" s="190">
        <f t="shared" si="120"/>
        <v>0</v>
      </c>
      <c r="CT39" s="190">
        <f t="shared" si="120"/>
        <v>0</v>
      </c>
      <c r="CU39" s="190">
        <f t="shared" si="120"/>
        <v>0</v>
      </c>
      <c r="CV39" s="190">
        <f t="shared" si="80"/>
        <v>0</v>
      </c>
      <c r="CW39" s="190">
        <f t="shared" si="80"/>
        <v>0</v>
      </c>
      <c r="CX39" s="77">
        <f t="shared" si="35"/>
        <v>0</v>
      </c>
      <c r="CY39" s="190">
        <f t="shared" si="35"/>
        <v>0</v>
      </c>
      <c r="CZ39" s="190">
        <f t="shared" si="35"/>
        <v>0</v>
      </c>
      <c r="DA39" s="190">
        <f t="shared" si="35"/>
        <v>0</v>
      </c>
      <c r="DB39" s="190">
        <f t="shared" si="35"/>
        <v>0</v>
      </c>
      <c r="DC39" s="190">
        <f t="shared" si="81"/>
        <v>0</v>
      </c>
      <c r="DD39" s="190">
        <f t="shared" si="81"/>
        <v>0</v>
      </c>
      <c r="DE39" s="59">
        <f t="shared" ref="DE39:DI48" si="121">0/127.5</f>
        <v>0</v>
      </c>
      <c r="DF39" s="190">
        <f t="shared" si="121"/>
        <v>0</v>
      </c>
      <c r="DG39" s="190">
        <f t="shared" si="121"/>
        <v>0</v>
      </c>
      <c r="DH39" s="190">
        <f t="shared" si="121"/>
        <v>0</v>
      </c>
      <c r="DI39" s="190">
        <f t="shared" si="121"/>
        <v>0</v>
      </c>
      <c r="DJ39" s="190">
        <f t="shared" si="82"/>
        <v>0</v>
      </c>
      <c r="DK39" s="190">
        <f t="shared" si="82"/>
        <v>0</v>
      </c>
      <c r="DL39" s="23">
        <f t="shared" si="115"/>
        <v>0</v>
      </c>
      <c r="DM39" s="190">
        <f t="shared" si="115"/>
        <v>0</v>
      </c>
      <c r="DN39" s="190">
        <f t="shared" si="115"/>
        <v>0</v>
      </c>
      <c r="DO39" s="190">
        <f t="shared" si="115"/>
        <v>0</v>
      </c>
      <c r="DP39" s="190">
        <f t="shared" si="115"/>
        <v>0</v>
      </c>
      <c r="DQ39" s="190">
        <f t="shared" si="83"/>
        <v>0</v>
      </c>
      <c r="DR39" s="190">
        <f t="shared" si="83"/>
        <v>0</v>
      </c>
      <c r="DS39" s="190">
        <f t="shared" si="83"/>
        <v>0</v>
      </c>
      <c r="DT39" s="201"/>
    </row>
    <row r="40" spans="1:124" ht="26.25" hidden="1" customHeight="1" outlineLevel="1" x14ac:dyDescent="0.4">
      <c r="A40" s="348"/>
      <c r="B40" s="348"/>
      <c r="C40" s="348"/>
      <c r="D40" s="350"/>
      <c r="E40" s="350"/>
      <c r="F40" s="350"/>
      <c r="G40" s="565"/>
      <c r="H40" s="450"/>
      <c r="I40" s="450"/>
      <c r="J40" s="448"/>
      <c r="K40" s="446"/>
      <c r="L40" s="446"/>
      <c r="M40" s="429"/>
      <c r="N40" s="43" t="s">
        <v>25</v>
      </c>
      <c r="O40" s="209">
        <f t="shared" si="96"/>
        <v>0</v>
      </c>
      <c r="P40" s="209">
        <f t="shared" si="96"/>
        <v>0</v>
      </c>
      <c r="Q40" s="209">
        <f t="shared" si="96"/>
        <v>0</v>
      </c>
      <c r="R40" s="209">
        <f t="shared" si="96"/>
        <v>0</v>
      </c>
      <c r="S40" s="209">
        <f t="shared" si="96"/>
        <v>0</v>
      </c>
      <c r="T40" s="209">
        <f t="shared" si="96"/>
        <v>0</v>
      </c>
      <c r="U40" s="209">
        <f t="shared" si="96"/>
        <v>0</v>
      </c>
      <c r="V40" s="209">
        <f t="shared" si="97"/>
        <v>0</v>
      </c>
      <c r="W40" s="209">
        <f t="shared" si="97"/>
        <v>0</v>
      </c>
      <c r="X40" s="53">
        <f t="shared" si="96"/>
        <v>0</v>
      </c>
      <c r="Y40" s="209">
        <f t="shared" si="118"/>
        <v>0</v>
      </c>
      <c r="Z40" s="209">
        <f t="shared" si="118"/>
        <v>0</v>
      </c>
      <c r="AA40" s="209">
        <f t="shared" si="118"/>
        <v>0</v>
      </c>
      <c r="AB40" s="209">
        <f t="shared" si="118"/>
        <v>0</v>
      </c>
      <c r="AC40" s="209">
        <f t="shared" si="118"/>
        <v>0</v>
      </c>
      <c r="AD40" s="209">
        <f t="shared" si="118"/>
        <v>0</v>
      </c>
      <c r="AE40" s="209">
        <f t="shared" si="119"/>
        <v>0</v>
      </c>
      <c r="AF40" s="209"/>
      <c r="AG40" s="209">
        <f t="shared" si="119"/>
        <v>0</v>
      </c>
      <c r="AH40" s="209">
        <f t="shared" si="119"/>
        <v>0</v>
      </c>
      <c r="AI40" s="58">
        <f t="shared" ref="AI40:AR42" si="122">(0)/157.5</f>
        <v>0</v>
      </c>
      <c r="AJ40" s="209">
        <f>(8.5+5)/157.5</f>
        <v>8.5714285714285715E-2</v>
      </c>
      <c r="AK40" s="209">
        <f t="shared" si="122"/>
        <v>0</v>
      </c>
      <c r="AL40" s="209">
        <f t="shared" si="122"/>
        <v>0</v>
      </c>
      <c r="AM40" s="209">
        <f t="shared" si="122"/>
        <v>0</v>
      </c>
      <c r="AN40" s="209">
        <f t="shared" si="122"/>
        <v>0</v>
      </c>
      <c r="AO40" s="209">
        <f>(5)/157.5</f>
        <v>3.1746031746031744E-2</v>
      </c>
      <c r="AP40" s="209">
        <f t="shared" si="122"/>
        <v>0</v>
      </c>
      <c r="AQ40" s="209">
        <f t="shared" si="122"/>
        <v>0</v>
      </c>
      <c r="AR40" s="275">
        <f>(25.5+13.5)/157.5</f>
        <v>0.24761904761904763</v>
      </c>
      <c r="AS40" s="65">
        <f t="shared" si="112"/>
        <v>0</v>
      </c>
      <c r="AT40" s="210">
        <f t="shared" si="112"/>
        <v>0</v>
      </c>
      <c r="AU40" s="210">
        <f t="shared" si="107"/>
        <v>0</v>
      </c>
      <c r="AV40" s="210">
        <f t="shared" si="107"/>
        <v>0</v>
      </c>
      <c r="AW40" s="210">
        <f t="shared" si="107"/>
        <v>0</v>
      </c>
      <c r="AX40" s="210">
        <f t="shared" si="107"/>
        <v>0</v>
      </c>
      <c r="AY40" s="210">
        <f t="shared" si="107"/>
        <v>0</v>
      </c>
      <c r="AZ40" s="210">
        <f t="shared" si="107"/>
        <v>0</v>
      </c>
      <c r="BA40" s="210">
        <f t="shared" si="107"/>
        <v>0</v>
      </c>
      <c r="BB40" s="53">
        <f t="shared" si="107"/>
        <v>0</v>
      </c>
      <c r="BC40" s="58">
        <f t="shared" si="113"/>
        <v>0</v>
      </c>
      <c r="BD40" s="209">
        <f t="shared" si="113"/>
        <v>0</v>
      </c>
      <c r="BE40" s="209">
        <f t="shared" si="108"/>
        <v>0</v>
      </c>
      <c r="BF40" s="209">
        <f t="shared" si="108"/>
        <v>0</v>
      </c>
      <c r="BG40" s="209">
        <f t="shared" si="108"/>
        <v>0</v>
      </c>
      <c r="BH40" s="209">
        <f t="shared" si="108"/>
        <v>0</v>
      </c>
      <c r="BI40" s="209">
        <f t="shared" si="108"/>
        <v>0</v>
      </c>
      <c r="BJ40" s="209">
        <f t="shared" si="108"/>
        <v>0</v>
      </c>
      <c r="BK40" s="209">
        <f t="shared" si="108"/>
        <v>0</v>
      </c>
      <c r="BL40" s="209">
        <f t="shared" si="108"/>
        <v>0</v>
      </c>
      <c r="BM40" s="58">
        <f t="shared" si="114"/>
        <v>0</v>
      </c>
      <c r="BN40" s="209">
        <f t="shared" si="114"/>
        <v>0</v>
      </c>
      <c r="BO40" s="209">
        <f t="shared" si="114"/>
        <v>0</v>
      </c>
      <c r="BP40" s="209">
        <f t="shared" si="114"/>
        <v>0</v>
      </c>
      <c r="BQ40" s="209">
        <f t="shared" si="114"/>
        <v>0</v>
      </c>
      <c r="BR40" s="209">
        <f t="shared" si="109"/>
        <v>0</v>
      </c>
      <c r="BS40" s="209">
        <f t="shared" si="109"/>
        <v>0</v>
      </c>
      <c r="BT40" s="209">
        <f t="shared" si="109"/>
        <v>0</v>
      </c>
      <c r="BU40" s="209">
        <f t="shared" si="109"/>
        <v>0</v>
      </c>
      <c r="BV40" s="209">
        <f t="shared" si="109"/>
        <v>0</v>
      </c>
      <c r="BW40" s="65">
        <f t="shared" si="99"/>
        <v>0</v>
      </c>
      <c r="BX40" s="209">
        <f t="shared" si="99"/>
        <v>0</v>
      </c>
      <c r="BY40" s="209">
        <f t="shared" si="58"/>
        <v>0</v>
      </c>
      <c r="BZ40" s="209">
        <f t="shared" si="100"/>
        <v>0</v>
      </c>
      <c r="CA40" s="209">
        <f t="shared" si="100"/>
        <v>0</v>
      </c>
      <c r="CB40" s="209">
        <f t="shared" si="100"/>
        <v>0</v>
      </c>
      <c r="CC40" s="209">
        <f t="shared" si="100"/>
        <v>0</v>
      </c>
      <c r="CD40" s="209">
        <f t="shared" si="100"/>
        <v>0</v>
      </c>
      <c r="CE40" s="209">
        <f t="shared" si="59"/>
        <v>0</v>
      </c>
      <c r="CF40" s="209">
        <f t="shared" si="52"/>
        <v>0</v>
      </c>
      <c r="CG40" s="65">
        <f t="shared" si="101"/>
        <v>0</v>
      </c>
      <c r="CH40" s="209">
        <f t="shared" si="101"/>
        <v>0</v>
      </c>
      <c r="CI40" s="209">
        <f t="shared" si="101"/>
        <v>0</v>
      </c>
      <c r="CJ40" s="209">
        <f t="shared" si="101"/>
        <v>0</v>
      </c>
      <c r="CK40" s="209">
        <f t="shared" si="101"/>
        <v>0</v>
      </c>
      <c r="CL40" s="209">
        <f t="shared" si="101"/>
        <v>0</v>
      </c>
      <c r="CM40" s="209">
        <f t="shared" si="101"/>
        <v>0</v>
      </c>
      <c r="CN40" s="209">
        <f t="shared" si="101"/>
        <v>0</v>
      </c>
      <c r="CO40" s="209">
        <f t="shared" si="101"/>
        <v>0</v>
      </c>
      <c r="CP40" s="209">
        <f t="shared" si="101"/>
        <v>0</v>
      </c>
      <c r="CQ40" s="65">
        <f t="shared" si="120"/>
        <v>0</v>
      </c>
      <c r="CR40" s="210">
        <f t="shared" si="120"/>
        <v>0</v>
      </c>
      <c r="CS40" s="210">
        <f t="shared" si="120"/>
        <v>0</v>
      </c>
      <c r="CT40" s="210">
        <f t="shared" si="120"/>
        <v>0</v>
      </c>
      <c r="CU40" s="210">
        <f t="shared" si="120"/>
        <v>0</v>
      </c>
      <c r="CV40" s="210">
        <f t="shared" si="80"/>
        <v>0</v>
      </c>
      <c r="CW40" s="210">
        <f t="shared" si="80"/>
        <v>0</v>
      </c>
      <c r="CX40" s="65">
        <f t="shared" si="35"/>
        <v>0</v>
      </c>
      <c r="CY40" s="210">
        <f t="shared" si="35"/>
        <v>0</v>
      </c>
      <c r="CZ40" s="210">
        <f t="shared" si="35"/>
        <v>0</v>
      </c>
      <c r="DA40" s="210">
        <f t="shared" si="35"/>
        <v>0</v>
      </c>
      <c r="DB40" s="210">
        <f t="shared" si="35"/>
        <v>0</v>
      </c>
      <c r="DC40" s="210">
        <f t="shared" si="81"/>
        <v>0</v>
      </c>
      <c r="DD40" s="210">
        <f t="shared" si="81"/>
        <v>0</v>
      </c>
      <c r="DE40" s="61">
        <f t="shared" si="121"/>
        <v>0</v>
      </c>
      <c r="DF40" s="210">
        <f t="shared" si="121"/>
        <v>0</v>
      </c>
      <c r="DG40" s="210">
        <f t="shared" si="121"/>
        <v>0</v>
      </c>
      <c r="DH40" s="210">
        <f t="shared" si="121"/>
        <v>0</v>
      </c>
      <c r="DI40" s="210">
        <f t="shared" si="121"/>
        <v>0</v>
      </c>
      <c r="DJ40" s="210">
        <f t="shared" si="82"/>
        <v>0</v>
      </c>
      <c r="DK40" s="210">
        <f t="shared" si="82"/>
        <v>0</v>
      </c>
      <c r="DL40" s="65">
        <f t="shared" si="115"/>
        <v>0</v>
      </c>
      <c r="DM40" s="210">
        <f t="shared" si="115"/>
        <v>0</v>
      </c>
      <c r="DN40" s="210">
        <f t="shared" si="115"/>
        <v>0</v>
      </c>
      <c r="DO40" s="210">
        <f t="shared" si="115"/>
        <v>0</v>
      </c>
      <c r="DP40" s="210">
        <f t="shared" si="115"/>
        <v>0</v>
      </c>
      <c r="DQ40" s="210">
        <f t="shared" si="83"/>
        <v>0</v>
      </c>
      <c r="DR40" s="210">
        <f t="shared" si="83"/>
        <v>0</v>
      </c>
      <c r="DS40" s="210">
        <f t="shared" si="83"/>
        <v>0</v>
      </c>
      <c r="DT40" s="201"/>
    </row>
    <row r="41" spans="1:124" ht="26.25" hidden="1" customHeight="1" outlineLevel="1" collapsed="1" x14ac:dyDescent="0.4">
      <c r="A41" s="347">
        <v>18</v>
      </c>
      <c r="B41" s="347" t="s">
        <v>47</v>
      </c>
      <c r="C41" s="347" t="s">
        <v>14</v>
      </c>
      <c r="D41" s="349" t="s">
        <v>436</v>
      </c>
      <c r="E41" s="349" t="s">
        <v>548</v>
      </c>
      <c r="F41" s="349"/>
      <c r="G41" s="563" t="s">
        <v>541</v>
      </c>
      <c r="H41" s="449">
        <f t="shared" ref="H41" si="123">SUM(CG41:CP41)</f>
        <v>0</v>
      </c>
      <c r="I41" s="449">
        <f t="shared" ref="I41" si="124">SUM(CG42:CP42)</f>
        <v>0</v>
      </c>
      <c r="J41" s="447"/>
      <c r="K41" s="445"/>
      <c r="L41" s="445"/>
      <c r="M41" s="428"/>
      <c r="N41" s="52" t="s">
        <v>24</v>
      </c>
      <c r="O41" s="190">
        <f t="shared" si="96"/>
        <v>0</v>
      </c>
      <c r="P41" s="190">
        <f t="shared" si="96"/>
        <v>0</v>
      </c>
      <c r="Q41" s="190">
        <f t="shared" si="96"/>
        <v>0</v>
      </c>
      <c r="R41" s="190">
        <f t="shared" si="96"/>
        <v>0</v>
      </c>
      <c r="S41" s="190">
        <f t="shared" si="96"/>
        <v>0</v>
      </c>
      <c r="T41" s="190">
        <f t="shared" si="96"/>
        <v>0</v>
      </c>
      <c r="U41" s="190">
        <f t="shared" si="96"/>
        <v>0</v>
      </c>
      <c r="V41" s="190">
        <f t="shared" si="97"/>
        <v>0</v>
      </c>
      <c r="W41" s="190">
        <f t="shared" si="97"/>
        <v>0</v>
      </c>
      <c r="X41" s="86">
        <f t="shared" si="96"/>
        <v>0</v>
      </c>
      <c r="Y41" s="190">
        <f t="shared" si="118"/>
        <v>0</v>
      </c>
      <c r="Z41" s="190">
        <f t="shared" si="118"/>
        <v>0</v>
      </c>
      <c r="AA41" s="190">
        <f t="shared" si="118"/>
        <v>0</v>
      </c>
      <c r="AB41" s="190">
        <f t="shared" si="118"/>
        <v>0</v>
      </c>
      <c r="AC41" s="190">
        <f t="shared" si="118"/>
        <v>0</v>
      </c>
      <c r="AD41" s="190">
        <f t="shared" si="118"/>
        <v>0</v>
      </c>
      <c r="AE41" s="190">
        <f t="shared" si="119"/>
        <v>0</v>
      </c>
      <c r="AF41" s="190"/>
      <c r="AG41" s="190">
        <f t="shared" si="119"/>
        <v>0</v>
      </c>
      <c r="AH41" s="190">
        <f t="shared" si="119"/>
        <v>0</v>
      </c>
      <c r="AI41" s="77">
        <f t="shared" si="122"/>
        <v>0</v>
      </c>
      <c r="AJ41" s="190">
        <f>(42.5)/157.5</f>
        <v>0.26984126984126983</v>
      </c>
      <c r="AK41" s="190">
        <f t="shared" si="122"/>
        <v>0</v>
      </c>
      <c r="AL41" s="190">
        <f t="shared" si="122"/>
        <v>0</v>
      </c>
      <c r="AM41" s="190">
        <f t="shared" si="122"/>
        <v>0</v>
      </c>
      <c r="AN41" s="190">
        <f>(42.5)/157.5</f>
        <v>0.26984126984126983</v>
      </c>
      <c r="AO41" s="190">
        <f>(22.5)/157.5</f>
        <v>0.14285714285714285</v>
      </c>
      <c r="AP41" s="190">
        <f>(42.5+20)/157.5</f>
        <v>0.3968253968253968</v>
      </c>
      <c r="AQ41" s="190">
        <f t="shared" si="122"/>
        <v>0</v>
      </c>
      <c r="AR41" s="225">
        <f t="shared" si="122"/>
        <v>0</v>
      </c>
      <c r="AS41" s="23">
        <f t="shared" si="112"/>
        <v>0</v>
      </c>
      <c r="AT41" s="190">
        <f>(14)/165</f>
        <v>8.4848484848484854E-2</v>
      </c>
      <c r="AU41" s="190">
        <f t="shared" si="107"/>
        <v>0</v>
      </c>
      <c r="AV41" s="190">
        <f t="shared" si="107"/>
        <v>0</v>
      </c>
      <c r="AW41" s="190">
        <f t="shared" si="107"/>
        <v>0</v>
      </c>
      <c r="AX41" s="190">
        <f>(39)/165</f>
        <v>0.23636363636363636</v>
      </c>
      <c r="AY41" s="190">
        <f>(14)/165</f>
        <v>8.4848484848484854E-2</v>
      </c>
      <c r="AZ41" s="190">
        <f>(29)/165</f>
        <v>0.17575757575757575</v>
      </c>
      <c r="BA41" s="190">
        <f t="shared" si="107"/>
        <v>0</v>
      </c>
      <c r="BB41" s="225">
        <f t="shared" si="107"/>
        <v>0</v>
      </c>
      <c r="BC41" s="77">
        <f t="shared" si="113"/>
        <v>0</v>
      </c>
      <c r="BD41" s="190">
        <f t="shared" si="113"/>
        <v>0</v>
      </c>
      <c r="BE41" s="190">
        <f t="shared" si="108"/>
        <v>0</v>
      </c>
      <c r="BF41" s="190">
        <f t="shared" si="108"/>
        <v>0</v>
      </c>
      <c r="BG41" s="190">
        <f t="shared" si="108"/>
        <v>0</v>
      </c>
      <c r="BH41" s="190">
        <f t="shared" si="108"/>
        <v>0</v>
      </c>
      <c r="BI41" s="190">
        <f t="shared" si="108"/>
        <v>0</v>
      </c>
      <c r="BJ41" s="190">
        <f t="shared" si="108"/>
        <v>0</v>
      </c>
      <c r="BK41" s="190">
        <f t="shared" si="108"/>
        <v>0</v>
      </c>
      <c r="BL41" s="190">
        <f t="shared" si="108"/>
        <v>0</v>
      </c>
      <c r="BM41" s="77">
        <f t="shared" si="114"/>
        <v>0</v>
      </c>
      <c r="BN41" s="190">
        <f t="shared" si="114"/>
        <v>0</v>
      </c>
      <c r="BO41" s="190">
        <f t="shared" si="114"/>
        <v>0</v>
      </c>
      <c r="BP41" s="190">
        <f t="shared" si="114"/>
        <v>0</v>
      </c>
      <c r="BQ41" s="190">
        <f t="shared" si="114"/>
        <v>0</v>
      </c>
      <c r="BR41" s="190">
        <f t="shared" si="109"/>
        <v>0</v>
      </c>
      <c r="BS41" s="190">
        <f t="shared" si="109"/>
        <v>0</v>
      </c>
      <c r="BT41" s="190">
        <f t="shared" si="109"/>
        <v>0</v>
      </c>
      <c r="BU41" s="190">
        <f t="shared" si="109"/>
        <v>0</v>
      </c>
      <c r="BV41" s="190">
        <f t="shared" si="109"/>
        <v>0</v>
      </c>
      <c r="BW41" s="23">
        <f t="shared" si="99"/>
        <v>0</v>
      </c>
      <c r="BX41" s="190">
        <f t="shared" si="99"/>
        <v>0</v>
      </c>
      <c r="BY41" s="190">
        <f t="shared" si="58"/>
        <v>0</v>
      </c>
      <c r="BZ41" s="190">
        <f t="shared" ref="BZ41:CD50" si="125">(0)/150</f>
        <v>0</v>
      </c>
      <c r="CA41" s="190">
        <f t="shared" si="125"/>
        <v>0</v>
      </c>
      <c r="CB41" s="190">
        <f t="shared" si="125"/>
        <v>0</v>
      </c>
      <c r="CC41" s="190">
        <f t="shared" si="125"/>
        <v>0</v>
      </c>
      <c r="CD41" s="190">
        <f t="shared" si="125"/>
        <v>0</v>
      </c>
      <c r="CE41" s="190">
        <f t="shared" si="59"/>
        <v>0</v>
      </c>
      <c r="CF41" s="190">
        <f t="shared" si="52"/>
        <v>0</v>
      </c>
      <c r="CG41" s="23">
        <f t="shared" ref="CG41:CV55" si="126">(0)/135</f>
        <v>0</v>
      </c>
      <c r="CH41" s="190">
        <f t="shared" si="126"/>
        <v>0</v>
      </c>
      <c r="CI41" s="190">
        <f t="shared" si="126"/>
        <v>0</v>
      </c>
      <c r="CJ41" s="190">
        <f t="shared" si="126"/>
        <v>0</v>
      </c>
      <c r="CK41" s="190">
        <f t="shared" si="126"/>
        <v>0</v>
      </c>
      <c r="CL41" s="190">
        <f t="shared" si="126"/>
        <v>0</v>
      </c>
      <c r="CM41" s="190">
        <f t="shared" si="126"/>
        <v>0</v>
      </c>
      <c r="CN41" s="190">
        <f t="shared" si="126"/>
        <v>0</v>
      </c>
      <c r="CO41" s="190">
        <f t="shared" si="126"/>
        <v>0</v>
      </c>
      <c r="CP41" s="190">
        <f t="shared" si="126"/>
        <v>0</v>
      </c>
      <c r="CQ41" s="23">
        <f t="shared" si="120"/>
        <v>0</v>
      </c>
      <c r="CR41" s="190">
        <f t="shared" si="120"/>
        <v>0</v>
      </c>
      <c r="CS41" s="190">
        <f t="shared" si="120"/>
        <v>0</v>
      </c>
      <c r="CT41" s="190">
        <f t="shared" si="120"/>
        <v>0</v>
      </c>
      <c r="CU41" s="190">
        <f t="shared" si="120"/>
        <v>0</v>
      </c>
      <c r="CV41" s="190">
        <f t="shared" si="80"/>
        <v>0</v>
      </c>
      <c r="CW41" s="190">
        <f t="shared" si="80"/>
        <v>0</v>
      </c>
      <c r="CX41" s="77">
        <f t="shared" ref="CX41:DB72" si="127">0/157.5</f>
        <v>0</v>
      </c>
      <c r="CY41" s="190">
        <f t="shared" si="127"/>
        <v>0</v>
      </c>
      <c r="CZ41" s="190">
        <f t="shared" si="127"/>
        <v>0</v>
      </c>
      <c r="DA41" s="190">
        <f t="shared" si="127"/>
        <v>0</v>
      </c>
      <c r="DB41" s="190">
        <f t="shared" si="127"/>
        <v>0</v>
      </c>
      <c r="DC41" s="190">
        <f t="shared" si="81"/>
        <v>0</v>
      </c>
      <c r="DD41" s="190">
        <f t="shared" si="81"/>
        <v>0</v>
      </c>
      <c r="DE41" s="59">
        <f t="shared" si="121"/>
        <v>0</v>
      </c>
      <c r="DF41" s="190">
        <f t="shared" si="121"/>
        <v>0</v>
      </c>
      <c r="DG41" s="190">
        <f t="shared" si="121"/>
        <v>0</v>
      </c>
      <c r="DH41" s="190">
        <f t="shared" si="121"/>
        <v>0</v>
      </c>
      <c r="DI41" s="190">
        <f t="shared" si="121"/>
        <v>0</v>
      </c>
      <c r="DJ41" s="190">
        <f t="shared" si="82"/>
        <v>0</v>
      </c>
      <c r="DK41" s="190">
        <f t="shared" si="82"/>
        <v>0</v>
      </c>
      <c r="DL41" s="23">
        <f t="shared" si="115"/>
        <v>0</v>
      </c>
      <c r="DM41" s="190">
        <f t="shared" si="115"/>
        <v>0</v>
      </c>
      <c r="DN41" s="190">
        <f t="shared" si="115"/>
        <v>0</v>
      </c>
      <c r="DO41" s="190">
        <f t="shared" si="115"/>
        <v>0</v>
      </c>
      <c r="DP41" s="190">
        <f t="shared" si="115"/>
        <v>0</v>
      </c>
      <c r="DQ41" s="190">
        <f t="shared" si="83"/>
        <v>0</v>
      </c>
      <c r="DR41" s="190">
        <f t="shared" si="83"/>
        <v>0</v>
      </c>
      <c r="DS41" s="190">
        <f t="shared" si="83"/>
        <v>0</v>
      </c>
      <c r="DT41" s="201"/>
    </row>
    <row r="42" spans="1:124" ht="26.25" hidden="1" customHeight="1" outlineLevel="1" x14ac:dyDescent="0.4">
      <c r="A42" s="348"/>
      <c r="B42" s="348"/>
      <c r="C42" s="348"/>
      <c r="D42" s="350"/>
      <c r="E42" s="350"/>
      <c r="F42" s="350"/>
      <c r="G42" s="565"/>
      <c r="H42" s="450"/>
      <c r="I42" s="450"/>
      <c r="J42" s="448"/>
      <c r="K42" s="446"/>
      <c r="L42" s="446"/>
      <c r="M42" s="429"/>
      <c r="N42" s="43" t="s">
        <v>25</v>
      </c>
      <c r="O42" s="209">
        <f t="shared" si="96"/>
        <v>0</v>
      </c>
      <c r="P42" s="209">
        <f t="shared" si="96"/>
        <v>0</v>
      </c>
      <c r="Q42" s="209">
        <f t="shared" si="96"/>
        <v>0</v>
      </c>
      <c r="R42" s="209">
        <f t="shared" si="96"/>
        <v>0</v>
      </c>
      <c r="S42" s="209">
        <f t="shared" si="96"/>
        <v>0</v>
      </c>
      <c r="T42" s="209">
        <f t="shared" si="96"/>
        <v>0</v>
      </c>
      <c r="U42" s="209">
        <f t="shared" si="96"/>
        <v>0</v>
      </c>
      <c r="V42" s="209">
        <f t="shared" si="97"/>
        <v>0</v>
      </c>
      <c r="W42" s="209">
        <f t="shared" si="97"/>
        <v>0</v>
      </c>
      <c r="X42" s="53">
        <f t="shared" si="96"/>
        <v>0</v>
      </c>
      <c r="Y42" s="209">
        <f t="shared" si="118"/>
        <v>0</v>
      </c>
      <c r="Z42" s="209">
        <f t="shared" si="118"/>
        <v>0</v>
      </c>
      <c r="AA42" s="209">
        <f t="shared" si="118"/>
        <v>0</v>
      </c>
      <c r="AB42" s="209">
        <f t="shared" si="118"/>
        <v>0</v>
      </c>
      <c r="AC42" s="209">
        <f t="shared" si="118"/>
        <v>0</v>
      </c>
      <c r="AD42" s="209">
        <f t="shared" si="118"/>
        <v>0</v>
      </c>
      <c r="AE42" s="209">
        <f t="shared" si="119"/>
        <v>0</v>
      </c>
      <c r="AF42" s="209"/>
      <c r="AG42" s="209">
        <f t="shared" si="119"/>
        <v>0</v>
      </c>
      <c r="AH42" s="209">
        <f t="shared" si="119"/>
        <v>0</v>
      </c>
      <c r="AI42" s="58">
        <f t="shared" si="122"/>
        <v>0</v>
      </c>
      <c r="AJ42" s="209">
        <f>(6.5+11.5+7.5)/157.5</f>
        <v>0.16190476190476191</v>
      </c>
      <c r="AK42" s="209">
        <f t="shared" si="122"/>
        <v>0</v>
      </c>
      <c r="AL42" s="209">
        <f t="shared" si="122"/>
        <v>0</v>
      </c>
      <c r="AM42" s="209">
        <f t="shared" si="122"/>
        <v>0</v>
      </c>
      <c r="AN42" s="209">
        <f>(18+29.5+16.5)/157.5</f>
        <v>0.40634920634920635</v>
      </c>
      <c r="AO42" s="209">
        <f>(0+13+9)/157.5</f>
        <v>0.13968253968253969</v>
      </c>
      <c r="AP42" s="209">
        <f>(14+30.5+12)/157.5</f>
        <v>0.35873015873015873</v>
      </c>
      <c r="AQ42" s="209">
        <f t="shared" si="122"/>
        <v>0</v>
      </c>
      <c r="AR42" s="53">
        <f t="shared" si="122"/>
        <v>0</v>
      </c>
      <c r="AS42" s="65">
        <f t="shared" si="112"/>
        <v>0</v>
      </c>
      <c r="AT42" s="210">
        <f>(4+7+2+1+1)/165</f>
        <v>9.0909090909090912E-2</v>
      </c>
      <c r="AU42" s="210">
        <f t="shared" si="107"/>
        <v>0</v>
      </c>
      <c r="AV42" s="210">
        <f t="shared" si="107"/>
        <v>0</v>
      </c>
      <c r="AW42" s="210">
        <f t="shared" si="107"/>
        <v>0</v>
      </c>
      <c r="AX42" s="210">
        <f>(12+23.5+2+2+4)/165</f>
        <v>0.26363636363636361</v>
      </c>
      <c r="AY42" s="210">
        <f>(8)/165</f>
        <v>4.8484848484848485E-2</v>
      </c>
      <c r="AZ42" s="210">
        <f>(12+16.5)/165</f>
        <v>0.17272727272727273</v>
      </c>
      <c r="BA42" s="210">
        <f t="shared" si="107"/>
        <v>0</v>
      </c>
      <c r="BB42" s="53">
        <f t="shared" si="107"/>
        <v>0</v>
      </c>
      <c r="BC42" s="58">
        <f t="shared" si="113"/>
        <v>0</v>
      </c>
      <c r="BD42" s="209">
        <f t="shared" si="113"/>
        <v>0</v>
      </c>
      <c r="BE42" s="209">
        <f t="shared" si="108"/>
        <v>0</v>
      </c>
      <c r="BF42" s="209">
        <f t="shared" si="108"/>
        <v>0</v>
      </c>
      <c r="BG42" s="209">
        <f t="shared" si="108"/>
        <v>0</v>
      </c>
      <c r="BH42" s="209">
        <f t="shared" si="108"/>
        <v>0</v>
      </c>
      <c r="BI42" s="209">
        <f t="shared" si="108"/>
        <v>0</v>
      </c>
      <c r="BJ42" s="209">
        <f t="shared" si="108"/>
        <v>0</v>
      </c>
      <c r="BK42" s="209">
        <f t="shared" si="108"/>
        <v>0</v>
      </c>
      <c r="BL42" s="209">
        <f t="shared" si="108"/>
        <v>0</v>
      </c>
      <c r="BM42" s="58">
        <f t="shared" si="114"/>
        <v>0</v>
      </c>
      <c r="BN42" s="209">
        <f t="shared" si="114"/>
        <v>0</v>
      </c>
      <c r="BO42" s="209">
        <f t="shared" si="114"/>
        <v>0</v>
      </c>
      <c r="BP42" s="209">
        <f t="shared" si="114"/>
        <v>0</v>
      </c>
      <c r="BQ42" s="209">
        <f t="shared" si="114"/>
        <v>0</v>
      </c>
      <c r="BR42" s="209">
        <f t="shared" si="109"/>
        <v>0</v>
      </c>
      <c r="BS42" s="209">
        <f t="shared" si="109"/>
        <v>0</v>
      </c>
      <c r="BT42" s="209">
        <f t="shared" si="109"/>
        <v>0</v>
      </c>
      <c r="BU42" s="209">
        <f t="shared" si="109"/>
        <v>0</v>
      </c>
      <c r="BV42" s="209">
        <f t="shared" si="109"/>
        <v>0</v>
      </c>
      <c r="BW42" s="65">
        <f t="shared" si="99"/>
        <v>0</v>
      </c>
      <c r="BX42" s="209">
        <f t="shared" si="99"/>
        <v>0</v>
      </c>
      <c r="BY42" s="209">
        <f t="shared" si="58"/>
        <v>0</v>
      </c>
      <c r="BZ42" s="209">
        <f t="shared" si="125"/>
        <v>0</v>
      </c>
      <c r="CA42" s="209">
        <f t="shared" si="125"/>
        <v>0</v>
      </c>
      <c r="CB42" s="209">
        <f t="shared" si="125"/>
        <v>0</v>
      </c>
      <c r="CC42" s="209">
        <f t="shared" si="125"/>
        <v>0</v>
      </c>
      <c r="CD42" s="209">
        <f t="shared" si="125"/>
        <v>0</v>
      </c>
      <c r="CE42" s="209">
        <f t="shared" si="59"/>
        <v>0</v>
      </c>
      <c r="CF42" s="209">
        <f t="shared" si="52"/>
        <v>0</v>
      </c>
      <c r="CG42" s="65">
        <f t="shared" si="126"/>
        <v>0</v>
      </c>
      <c r="CH42" s="209">
        <f t="shared" si="126"/>
        <v>0</v>
      </c>
      <c r="CI42" s="209">
        <f t="shared" si="126"/>
        <v>0</v>
      </c>
      <c r="CJ42" s="209">
        <f t="shared" si="126"/>
        <v>0</v>
      </c>
      <c r="CK42" s="209">
        <f t="shared" si="126"/>
        <v>0</v>
      </c>
      <c r="CL42" s="209">
        <f t="shared" si="126"/>
        <v>0</v>
      </c>
      <c r="CM42" s="209">
        <f t="shared" si="126"/>
        <v>0</v>
      </c>
      <c r="CN42" s="209">
        <f t="shared" si="126"/>
        <v>0</v>
      </c>
      <c r="CO42" s="209">
        <f t="shared" si="126"/>
        <v>0</v>
      </c>
      <c r="CP42" s="209">
        <f t="shared" si="126"/>
        <v>0</v>
      </c>
      <c r="CQ42" s="65">
        <f t="shared" si="120"/>
        <v>0</v>
      </c>
      <c r="CR42" s="210">
        <f t="shared" si="120"/>
        <v>0</v>
      </c>
      <c r="CS42" s="210">
        <f t="shared" si="120"/>
        <v>0</v>
      </c>
      <c r="CT42" s="210">
        <f t="shared" si="120"/>
        <v>0</v>
      </c>
      <c r="CU42" s="210">
        <f t="shared" si="120"/>
        <v>0</v>
      </c>
      <c r="CV42" s="210">
        <f t="shared" si="80"/>
        <v>0</v>
      </c>
      <c r="CW42" s="210">
        <f t="shared" si="80"/>
        <v>0</v>
      </c>
      <c r="CX42" s="65">
        <f t="shared" si="127"/>
        <v>0</v>
      </c>
      <c r="CY42" s="210">
        <f t="shared" si="127"/>
        <v>0</v>
      </c>
      <c r="CZ42" s="210">
        <f t="shared" si="127"/>
        <v>0</v>
      </c>
      <c r="DA42" s="210">
        <f t="shared" si="127"/>
        <v>0</v>
      </c>
      <c r="DB42" s="210">
        <f t="shared" si="127"/>
        <v>0</v>
      </c>
      <c r="DC42" s="210">
        <f t="shared" si="81"/>
        <v>0</v>
      </c>
      <c r="DD42" s="210">
        <f t="shared" si="81"/>
        <v>0</v>
      </c>
      <c r="DE42" s="61">
        <f t="shared" si="121"/>
        <v>0</v>
      </c>
      <c r="DF42" s="210">
        <f t="shared" si="121"/>
        <v>0</v>
      </c>
      <c r="DG42" s="210">
        <f t="shared" si="121"/>
        <v>0</v>
      </c>
      <c r="DH42" s="210">
        <f t="shared" si="121"/>
        <v>0</v>
      </c>
      <c r="DI42" s="210">
        <f t="shared" si="121"/>
        <v>0</v>
      </c>
      <c r="DJ42" s="210">
        <f t="shared" si="82"/>
        <v>0</v>
      </c>
      <c r="DK42" s="210">
        <f t="shared" si="82"/>
        <v>0</v>
      </c>
      <c r="DL42" s="65">
        <f t="shared" si="115"/>
        <v>0</v>
      </c>
      <c r="DM42" s="210">
        <f t="shared" si="115"/>
        <v>0</v>
      </c>
      <c r="DN42" s="210">
        <f t="shared" si="115"/>
        <v>0</v>
      </c>
      <c r="DO42" s="210">
        <f t="shared" si="115"/>
        <v>0</v>
      </c>
      <c r="DP42" s="210">
        <f t="shared" si="115"/>
        <v>0</v>
      </c>
      <c r="DQ42" s="210">
        <f t="shared" si="83"/>
        <v>0</v>
      </c>
      <c r="DR42" s="210">
        <f t="shared" si="83"/>
        <v>0</v>
      </c>
      <c r="DS42" s="210">
        <f t="shared" si="83"/>
        <v>0</v>
      </c>
      <c r="DT42" s="201"/>
    </row>
    <row r="43" spans="1:124" ht="26.25" hidden="1" customHeight="1" outlineLevel="1" collapsed="1" x14ac:dyDescent="0.4">
      <c r="A43" s="347">
        <v>19</v>
      </c>
      <c r="B43" s="347" t="s">
        <v>47</v>
      </c>
      <c r="C43" s="347" t="s">
        <v>14</v>
      </c>
      <c r="D43" s="349" t="s">
        <v>576</v>
      </c>
      <c r="E43" s="349" t="s">
        <v>575</v>
      </c>
      <c r="F43" s="349"/>
      <c r="G43" s="563" t="s">
        <v>577</v>
      </c>
      <c r="H43" s="449">
        <f t="shared" ref="H43" si="128">SUM(CG43:CP43)</f>
        <v>0</v>
      </c>
      <c r="I43" s="449">
        <f t="shared" ref="I43" si="129">SUM(CG44:CP44)</f>
        <v>0</v>
      </c>
      <c r="J43" s="447"/>
      <c r="K43" s="445"/>
      <c r="L43" s="445"/>
      <c r="M43" s="428"/>
      <c r="N43" s="52" t="s">
        <v>24</v>
      </c>
      <c r="O43" s="190">
        <f t="shared" si="96"/>
        <v>0</v>
      </c>
      <c r="P43" s="190">
        <f t="shared" si="96"/>
        <v>0</v>
      </c>
      <c r="Q43" s="190">
        <f t="shared" si="96"/>
        <v>0</v>
      </c>
      <c r="R43" s="190">
        <f t="shared" si="96"/>
        <v>0</v>
      </c>
      <c r="S43" s="190">
        <f t="shared" si="96"/>
        <v>0</v>
      </c>
      <c r="T43" s="190">
        <f t="shared" si="96"/>
        <v>0</v>
      </c>
      <c r="U43" s="190">
        <f t="shared" si="96"/>
        <v>0</v>
      </c>
      <c r="V43" s="190">
        <f t="shared" si="97"/>
        <v>0</v>
      </c>
      <c r="W43" s="190">
        <f t="shared" si="97"/>
        <v>0</v>
      </c>
      <c r="X43" s="86">
        <f t="shared" si="96"/>
        <v>0</v>
      </c>
      <c r="Y43" s="23">
        <f t="shared" si="118"/>
        <v>0</v>
      </c>
      <c r="Z43" s="59">
        <f t="shared" si="118"/>
        <v>0</v>
      </c>
      <c r="AA43" s="59">
        <f t="shared" si="118"/>
        <v>0</v>
      </c>
      <c r="AB43" s="59">
        <f t="shared" si="118"/>
        <v>0</v>
      </c>
      <c r="AC43" s="59">
        <f t="shared" si="118"/>
        <v>0</v>
      </c>
      <c r="AD43" s="59">
        <f t="shared" si="118"/>
        <v>0</v>
      </c>
      <c r="AE43" s="59">
        <f t="shared" si="119"/>
        <v>0</v>
      </c>
      <c r="AF43" s="59"/>
      <c r="AG43" s="59">
        <f t="shared" si="119"/>
        <v>0</v>
      </c>
      <c r="AH43" s="59">
        <f t="shared" si="119"/>
        <v>0</v>
      </c>
      <c r="AI43" s="23">
        <f t="shared" ref="AI43:AR48" si="130">0/165</f>
        <v>0</v>
      </c>
      <c r="AJ43" s="59">
        <f t="shared" si="130"/>
        <v>0</v>
      </c>
      <c r="AK43" s="59">
        <f t="shared" si="130"/>
        <v>0</v>
      </c>
      <c r="AL43" s="59">
        <f t="shared" si="130"/>
        <v>0</v>
      </c>
      <c r="AM43" s="59">
        <f t="shared" si="130"/>
        <v>0</v>
      </c>
      <c r="AN43" s="59">
        <f t="shared" ref="AN43:AO71" si="131">0/165</f>
        <v>0</v>
      </c>
      <c r="AO43" s="59">
        <f t="shared" si="131"/>
        <v>0</v>
      </c>
      <c r="AP43" s="59">
        <f t="shared" si="130"/>
        <v>0</v>
      </c>
      <c r="AQ43" s="59">
        <f t="shared" si="130"/>
        <v>0</v>
      </c>
      <c r="AR43" s="59">
        <f t="shared" si="130"/>
        <v>0</v>
      </c>
      <c r="AS43" s="23">
        <f t="shared" si="112"/>
        <v>0</v>
      </c>
      <c r="AT43" s="190">
        <f t="shared" si="107"/>
        <v>0</v>
      </c>
      <c r="AU43" s="190">
        <f t="shared" si="107"/>
        <v>0</v>
      </c>
      <c r="AV43" s="190">
        <f>(37.5)/165</f>
        <v>0.22727272727272727</v>
      </c>
      <c r="AW43" s="190">
        <f>(37.5)/165</f>
        <v>0.22727272727272727</v>
      </c>
      <c r="AX43" s="190">
        <f t="shared" si="107"/>
        <v>0</v>
      </c>
      <c r="AY43" s="190">
        <f t="shared" si="107"/>
        <v>0</v>
      </c>
      <c r="AZ43" s="190">
        <f t="shared" si="107"/>
        <v>0</v>
      </c>
      <c r="BA43" s="190">
        <f t="shared" si="107"/>
        <v>0</v>
      </c>
      <c r="BB43" s="225">
        <f t="shared" si="107"/>
        <v>0</v>
      </c>
      <c r="BC43" s="77">
        <f>(8)/157.5</f>
        <v>5.0793650793650794E-2</v>
      </c>
      <c r="BD43" s="190">
        <f t="shared" si="113"/>
        <v>0</v>
      </c>
      <c r="BE43" s="190">
        <f t="shared" si="113"/>
        <v>0</v>
      </c>
      <c r="BF43" s="190">
        <f t="shared" si="113"/>
        <v>0</v>
      </c>
      <c r="BG43" s="190">
        <f>(10)/157.5</f>
        <v>6.3492063492063489E-2</v>
      </c>
      <c r="BH43" s="190">
        <f t="shared" si="113"/>
        <v>0</v>
      </c>
      <c r="BI43" s="190">
        <f t="shared" si="113"/>
        <v>0</v>
      </c>
      <c r="BJ43" s="190">
        <f t="shared" si="113"/>
        <v>0</v>
      </c>
      <c r="BK43" s="190">
        <f t="shared" si="113"/>
        <v>0</v>
      </c>
      <c r="BL43" s="190">
        <f t="shared" si="113"/>
        <v>0</v>
      </c>
      <c r="BM43" s="77">
        <f t="shared" si="114"/>
        <v>0</v>
      </c>
      <c r="BN43" s="190">
        <f t="shared" si="114"/>
        <v>0</v>
      </c>
      <c r="BO43" s="190">
        <f t="shared" si="114"/>
        <v>0</v>
      </c>
      <c r="BP43" s="190">
        <f t="shared" si="114"/>
        <v>0</v>
      </c>
      <c r="BQ43" s="190">
        <f t="shared" si="114"/>
        <v>0</v>
      </c>
      <c r="BR43" s="190">
        <f t="shared" si="109"/>
        <v>0</v>
      </c>
      <c r="BS43" s="190">
        <f t="shared" si="109"/>
        <v>0</v>
      </c>
      <c r="BT43" s="190">
        <f t="shared" si="109"/>
        <v>0</v>
      </c>
      <c r="BU43" s="190">
        <f t="shared" si="109"/>
        <v>0</v>
      </c>
      <c r="BV43" s="190">
        <f t="shared" si="109"/>
        <v>0</v>
      </c>
      <c r="BW43" s="23">
        <f t="shared" si="99"/>
        <v>0</v>
      </c>
      <c r="BX43" s="190">
        <f t="shared" si="99"/>
        <v>0</v>
      </c>
      <c r="BY43" s="190">
        <f t="shared" si="58"/>
        <v>0</v>
      </c>
      <c r="BZ43" s="190">
        <f t="shared" si="125"/>
        <v>0</v>
      </c>
      <c r="CA43" s="190">
        <f t="shared" si="125"/>
        <v>0</v>
      </c>
      <c r="CB43" s="190">
        <f t="shared" si="125"/>
        <v>0</v>
      </c>
      <c r="CC43" s="190">
        <f t="shared" si="125"/>
        <v>0</v>
      </c>
      <c r="CD43" s="190">
        <f t="shared" si="125"/>
        <v>0</v>
      </c>
      <c r="CE43" s="190">
        <f t="shared" si="59"/>
        <v>0</v>
      </c>
      <c r="CF43" s="190">
        <f t="shared" si="52"/>
        <v>0</v>
      </c>
      <c r="CG43" s="23">
        <f t="shared" si="126"/>
        <v>0</v>
      </c>
      <c r="CH43" s="190">
        <f t="shared" si="126"/>
        <v>0</v>
      </c>
      <c r="CI43" s="190">
        <f t="shared" si="126"/>
        <v>0</v>
      </c>
      <c r="CJ43" s="190">
        <f t="shared" si="126"/>
        <v>0</v>
      </c>
      <c r="CK43" s="190">
        <f t="shared" si="126"/>
        <v>0</v>
      </c>
      <c r="CL43" s="190">
        <f t="shared" si="126"/>
        <v>0</v>
      </c>
      <c r="CM43" s="190">
        <f t="shared" si="126"/>
        <v>0</v>
      </c>
      <c r="CN43" s="190">
        <f t="shared" si="126"/>
        <v>0</v>
      </c>
      <c r="CO43" s="190">
        <f t="shared" si="126"/>
        <v>0</v>
      </c>
      <c r="CP43" s="190">
        <f t="shared" si="126"/>
        <v>0</v>
      </c>
      <c r="CQ43" s="23">
        <f t="shared" si="120"/>
        <v>0</v>
      </c>
      <c r="CR43" s="190">
        <f t="shared" si="120"/>
        <v>0</v>
      </c>
      <c r="CS43" s="190">
        <f t="shared" si="120"/>
        <v>0</v>
      </c>
      <c r="CT43" s="190">
        <f t="shared" si="120"/>
        <v>0</v>
      </c>
      <c r="CU43" s="190">
        <f t="shared" si="120"/>
        <v>0</v>
      </c>
      <c r="CV43" s="190">
        <f t="shared" si="80"/>
        <v>0</v>
      </c>
      <c r="CW43" s="190">
        <f t="shared" si="80"/>
        <v>0</v>
      </c>
      <c r="CX43" s="77">
        <f t="shared" si="127"/>
        <v>0</v>
      </c>
      <c r="CY43" s="190">
        <f t="shared" si="127"/>
        <v>0</v>
      </c>
      <c r="CZ43" s="190">
        <f t="shared" si="127"/>
        <v>0</v>
      </c>
      <c r="DA43" s="190">
        <f t="shared" si="127"/>
        <v>0</v>
      </c>
      <c r="DB43" s="190">
        <f t="shared" si="127"/>
        <v>0</v>
      </c>
      <c r="DC43" s="190">
        <f t="shared" si="81"/>
        <v>0</v>
      </c>
      <c r="DD43" s="190">
        <f t="shared" si="81"/>
        <v>0</v>
      </c>
      <c r="DE43" s="59">
        <f t="shared" si="121"/>
        <v>0</v>
      </c>
      <c r="DF43" s="190">
        <f t="shared" si="121"/>
        <v>0</v>
      </c>
      <c r="DG43" s="190">
        <f t="shared" si="121"/>
        <v>0</v>
      </c>
      <c r="DH43" s="190">
        <f t="shared" si="121"/>
        <v>0</v>
      </c>
      <c r="DI43" s="190">
        <f t="shared" si="121"/>
        <v>0</v>
      </c>
      <c r="DJ43" s="190">
        <f t="shared" si="82"/>
        <v>0</v>
      </c>
      <c r="DK43" s="190">
        <f t="shared" si="82"/>
        <v>0</v>
      </c>
      <c r="DL43" s="23">
        <f t="shared" si="115"/>
        <v>0</v>
      </c>
      <c r="DM43" s="190">
        <f t="shared" si="115"/>
        <v>0</v>
      </c>
      <c r="DN43" s="190">
        <f t="shared" si="115"/>
        <v>0</v>
      </c>
      <c r="DO43" s="190">
        <f t="shared" si="115"/>
        <v>0</v>
      </c>
      <c r="DP43" s="190">
        <f t="shared" si="115"/>
        <v>0</v>
      </c>
      <c r="DQ43" s="190">
        <f t="shared" si="83"/>
        <v>0</v>
      </c>
      <c r="DR43" s="190">
        <f t="shared" si="83"/>
        <v>0</v>
      </c>
      <c r="DS43" s="190">
        <f t="shared" si="83"/>
        <v>0</v>
      </c>
      <c r="DT43" s="201"/>
    </row>
    <row r="44" spans="1:124" ht="25.9" hidden="1" customHeight="1" outlineLevel="1" x14ac:dyDescent="0.4">
      <c r="A44" s="348"/>
      <c r="B44" s="348"/>
      <c r="C44" s="348"/>
      <c r="D44" s="350"/>
      <c r="E44" s="350"/>
      <c r="F44" s="350"/>
      <c r="G44" s="565"/>
      <c r="H44" s="450"/>
      <c r="I44" s="450"/>
      <c r="J44" s="448"/>
      <c r="K44" s="446"/>
      <c r="L44" s="446"/>
      <c r="M44" s="429"/>
      <c r="N44" s="43" t="s">
        <v>25</v>
      </c>
      <c r="O44" s="209">
        <f t="shared" si="96"/>
        <v>0</v>
      </c>
      <c r="P44" s="209">
        <f t="shared" si="96"/>
        <v>0</v>
      </c>
      <c r="Q44" s="209">
        <f t="shared" si="96"/>
        <v>0</v>
      </c>
      <c r="R44" s="209">
        <f t="shared" si="96"/>
        <v>0</v>
      </c>
      <c r="S44" s="209">
        <f t="shared" si="96"/>
        <v>0</v>
      </c>
      <c r="T44" s="209">
        <f t="shared" si="96"/>
        <v>0</v>
      </c>
      <c r="U44" s="209">
        <f t="shared" si="96"/>
        <v>0</v>
      </c>
      <c r="V44" s="209">
        <f t="shared" si="97"/>
        <v>0</v>
      </c>
      <c r="W44" s="209">
        <f t="shared" si="97"/>
        <v>0</v>
      </c>
      <c r="X44" s="53">
        <f t="shared" si="96"/>
        <v>0</v>
      </c>
      <c r="Y44" s="24">
        <f t="shared" si="118"/>
        <v>0</v>
      </c>
      <c r="Z44" s="56">
        <f t="shared" si="118"/>
        <v>0</v>
      </c>
      <c r="AA44" s="56">
        <f t="shared" si="118"/>
        <v>0</v>
      </c>
      <c r="AB44" s="56">
        <f t="shared" si="118"/>
        <v>0</v>
      </c>
      <c r="AC44" s="56">
        <f t="shared" si="118"/>
        <v>0</v>
      </c>
      <c r="AD44" s="56">
        <f t="shared" si="118"/>
        <v>0</v>
      </c>
      <c r="AE44" s="61">
        <f t="shared" si="119"/>
        <v>0</v>
      </c>
      <c r="AF44" s="61"/>
      <c r="AG44" s="61">
        <f t="shared" si="119"/>
        <v>0</v>
      </c>
      <c r="AH44" s="61">
        <f t="shared" si="119"/>
        <v>0</v>
      </c>
      <c r="AI44" s="65">
        <f t="shared" si="130"/>
        <v>0</v>
      </c>
      <c r="AJ44" s="61">
        <f t="shared" si="130"/>
        <v>0</v>
      </c>
      <c r="AK44" s="61">
        <f t="shared" si="130"/>
        <v>0</v>
      </c>
      <c r="AL44" s="61">
        <f t="shared" si="130"/>
        <v>0</v>
      </c>
      <c r="AM44" s="61">
        <f t="shared" si="130"/>
        <v>0</v>
      </c>
      <c r="AN44" s="61">
        <f t="shared" si="131"/>
        <v>0</v>
      </c>
      <c r="AO44" s="61">
        <f t="shared" si="131"/>
        <v>0</v>
      </c>
      <c r="AP44" s="61">
        <f t="shared" si="130"/>
        <v>0</v>
      </c>
      <c r="AQ44" s="61">
        <f t="shared" si="130"/>
        <v>0</v>
      </c>
      <c r="AR44" s="61">
        <f t="shared" si="130"/>
        <v>0</v>
      </c>
      <c r="AS44" s="65">
        <f t="shared" si="112"/>
        <v>0</v>
      </c>
      <c r="AT44" s="210">
        <f t="shared" si="107"/>
        <v>0</v>
      </c>
      <c r="AU44" s="210">
        <f t="shared" si="107"/>
        <v>0</v>
      </c>
      <c r="AV44" s="210">
        <f>(7+24)/165</f>
        <v>0.18787878787878787</v>
      </c>
      <c r="AW44" s="210">
        <f>(12+25.5+1.5)/165</f>
        <v>0.23636363636363636</v>
      </c>
      <c r="AX44" s="210">
        <f t="shared" si="107"/>
        <v>0</v>
      </c>
      <c r="AY44" s="210">
        <f t="shared" si="107"/>
        <v>0</v>
      </c>
      <c r="AZ44" s="210">
        <f t="shared" si="107"/>
        <v>0</v>
      </c>
      <c r="BA44" s="210">
        <f t="shared" si="107"/>
        <v>0</v>
      </c>
      <c r="BB44" s="53">
        <f t="shared" si="107"/>
        <v>0</v>
      </c>
      <c r="BC44" s="58">
        <f>(0+2)/157.5</f>
        <v>1.2698412698412698E-2</v>
      </c>
      <c r="BD44" s="209">
        <f t="shared" si="113"/>
        <v>0</v>
      </c>
      <c r="BE44" s="209">
        <f t="shared" si="113"/>
        <v>0</v>
      </c>
      <c r="BF44" s="209">
        <f t="shared" si="113"/>
        <v>0</v>
      </c>
      <c r="BG44" s="209">
        <f>(10)/157.5</f>
        <v>6.3492063492063489E-2</v>
      </c>
      <c r="BH44" s="209">
        <f t="shared" si="113"/>
        <v>0</v>
      </c>
      <c r="BI44" s="209">
        <f t="shared" si="113"/>
        <v>0</v>
      </c>
      <c r="BJ44" s="209">
        <f t="shared" si="113"/>
        <v>0</v>
      </c>
      <c r="BK44" s="209">
        <f t="shared" si="113"/>
        <v>0</v>
      </c>
      <c r="BL44" s="209">
        <f t="shared" si="113"/>
        <v>0</v>
      </c>
      <c r="BM44" s="58">
        <f t="shared" si="114"/>
        <v>0</v>
      </c>
      <c r="BN44" s="209">
        <f t="shared" si="114"/>
        <v>0</v>
      </c>
      <c r="BO44" s="209">
        <f t="shared" si="114"/>
        <v>0</v>
      </c>
      <c r="BP44" s="209">
        <f t="shared" si="114"/>
        <v>0</v>
      </c>
      <c r="BQ44" s="209">
        <f t="shared" si="114"/>
        <v>0</v>
      </c>
      <c r="BR44" s="209">
        <f t="shared" si="109"/>
        <v>0</v>
      </c>
      <c r="BS44" s="209">
        <f t="shared" si="109"/>
        <v>0</v>
      </c>
      <c r="BT44" s="209">
        <f t="shared" si="109"/>
        <v>0</v>
      </c>
      <c r="BU44" s="209">
        <f t="shared" si="109"/>
        <v>0</v>
      </c>
      <c r="BV44" s="209">
        <f t="shared" si="109"/>
        <v>0</v>
      </c>
      <c r="BW44" s="65">
        <f t="shared" si="99"/>
        <v>0</v>
      </c>
      <c r="BX44" s="209">
        <f t="shared" si="99"/>
        <v>0</v>
      </c>
      <c r="BY44" s="209">
        <f t="shared" si="58"/>
        <v>0</v>
      </c>
      <c r="BZ44" s="209">
        <f t="shared" si="125"/>
        <v>0</v>
      </c>
      <c r="CA44" s="209">
        <f t="shared" si="125"/>
        <v>0</v>
      </c>
      <c r="CB44" s="209">
        <f t="shared" si="125"/>
        <v>0</v>
      </c>
      <c r="CC44" s="209">
        <f t="shared" si="125"/>
        <v>0</v>
      </c>
      <c r="CD44" s="209">
        <f t="shared" si="125"/>
        <v>0</v>
      </c>
      <c r="CE44" s="209">
        <f t="shared" si="59"/>
        <v>0</v>
      </c>
      <c r="CF44" s="209">
        <f t="shared" si="52"/>
        <v>0</v>
      </c>
      <c r="CG44" s="65">
        <f t="shared" si="126"/>
        <v>0</v>
      </c>
      <c r="CH44" s="209">
        <f t="shared" si="126"/>
        <v>0</v>
      </c>
      <c r="CI44" s="209">
        <f t="shared" si="126"/>
        <v>0</v>
      </c>
      <c r="CJ44" s="209">
        <f t="shared" si="126"/>
        <v>0</v>
      </c>
      <c r="CK44" s="209">
        <f t="shared" si="126"/>
        <v>0</v>
      </c>
      <c r="CL44" s="209">
        <f t="shared" si="126"/>
        <v>0</v>
      </c>
      <c r="CM44" s="209">
        <f t="shared" si="126"/>
        <v>0</v>
      </c>
      <c r="CN44" s="209">
        <f t="shared" si="126"/>
        <v>0</v>
      </c>
      <c r="CO44" s="209">
        <f t="shared" si="126"/>
        <v>0</v>
      </c>
      <c r="CP44" s="209">
        <f t="shared" si="126"/>
        <v>0</v>
      </c>
      <c r="CQ44" s="65">
        <f t="shared" si="120"/>
        <v>0</v>
      </c>
      <c r="CR44" s="210">
        <f t="shared" si="120"/>
        <v>0</v>
      </c>
      <c r="CS44" s="210">
        <f t="shared" si="120"/>
        <v>0</v>
      </c>
      <c r="CT44" s="210">
        <f t="shared" si="120"/>
        <v>0</v>
      </c>
      <c r="CU44" s="210">
        <f t="shared" si="120"/>
        <v>0</v>
      </c>
      <c r="CV44" s="210">
        <f t="shared" si="80"/>
        <v>0</v>
      </c>
      <c r="CW44" s="210">
        <f t="shared" si="80"/>
        <v>0</v>
      </c>
      <c r="CX44" s="65">
        <f t="shared" si="127"/>
        <v>0</v>
      </c>
      <c r="CY44" s="210">
        <f t="shared" si="127"/>
        <v>0</v>
      </c>
      <c r="CZ44" s="210">
        <f t="shared" si="127"/>
        <v>0</v>
      </c>
      <c r="DA44" s="210">
        <f t="shared" si="127"/>
        <v>0</v>
      </c>
      <c r="DB44" s="210">
        <f t="shared" si="127"/>
        <v>0</v>
      </c>
      <c r="DC44" s="210">
        <f t="shared" si="81"/>
        <v>0</v>
      </c>
      <c r="DD44" s="210">
        <f t="shared" si="81"/>
        <v>0</v>
      </c>
      <c r="DE44" s="61">
        <f t="shared" si="121"/>
        <v>0</v>
      </c>
      <c r="DF44" s="210">
        <f t="shared" si="121"/>
        <v>0</v>
      </c>
      <c r="DG44" s="210">
        <f t="shared" si="121"/>
        <v>0</v>
      </c>
      <c r="DH44" s="210">
        <f t="shared" si="121"/>
        <v>0</v>
      </c>
      <c r="DI44" s="210">
        <f t="shared" si="121"/>
        <v>0</v>
      </c>
      <c r="DJ44" s="210">
        <f t="shared" si="82"/>
        <v>0</v>
      </c>
      <c r="DK44" s="210">
        <f t="shared" si="82"/>
        <v>0</v>
      </c>
      <c r="DL44" s="65">
        <f t="shared" si="115"/>
        <v>0</v>
      </c>
      <c r="DM44" s="210">
        <f t="shared" si="115"/>
        <v>0</v>
      </c>
      <c r="DN44" s="210">
        <f t="shared" si="115"/>
        <v>0</v>
      </c>
      <c r="DO44" s="210">
        <f t="shared" si="115"/>
        <v>0</v>
      </c>
      <c r="DP44" s="210">
        <f t="shared" si="115"/>
        <v>0</v>
      </c>
      <c r="DQ44" s="210">
        <f t="shared" si="83"/>
        <v>0</v>
      </c>
      <c r="DR44" s="210">
        <f t="shared" si="83"/>
        <v>0</v>
      </c>
      <c r="DS44" s="210">
        <f t="shared" si="83"/>
        <v>0</v>
      </c>
      <c r="DT44" s="201"/>
    </row>
    <row r="45" spans="1:124" ht="26.25" hidden="1" customHeight="1" outlineLevel="1" collapsed="1" x14ac:dyDescent="0.4">
      <c r="A45" s="347">
        <v>20</v>
      </c>
      <c r="B45" s="347" t="s">
        <v>47</v>
      </c>
      <c r="C45" s="347" t="s">
        <v>14</v>
      </c>
      <c r="D45" s="349" t="s">
        <v>348</v>
      </c>
      <c r="E45" s="349" t="s">
        <v>578</v>
      </c>
      <c r="F45" s="349"/>
      <c r="G45" s="563" t="s">
        <v>579</v>
      </c>
      <c r="H45" s="449">
        <f t="shared" ref="H45" si="132">SUM(CG45:CP45)</f>
        <v>0</v>
      </c>
      <c r="I45" s="449">
        <f t="shared" ref="I45" si="133">SUM(CG46:CP46)</f>
        <v>0</v>
      </c>
      <c r="J45" s="447"/>
      <c r="K45" s="445"/>
      <c r="L45" s="445"/>
      <c r="M45" s="428"/>
      <c r="N45" s="52" t="s">
        <v>24</v>
      </c>
      <c r="O45" s="190">
        <f t="shared" si="96"/>
        <v>0</v>
      </c>
      <c r="P45" s="190">
        <f t="shared" si="96"/>
        <v>0</v>
      </c>
      <c r="Q45" s="190">
        <f t="shared" si="96"/>
        <v>0</v>
      </c>
      <c r="R45" s="190">
        <f t="shared" si="96"/>
        <v>0</v>
      </c>
      <c r="S45" s="190">
        <f t="shared" si="96"/>
        <v>0</v>
      </c>
      <c r="T45" s="190">
        <f t="shared" si="96"/>
        <v>0</v>
      </c>
      <c r="U45" s="190">
        <f t="shared" si="96"/>
        <v>0</v>
      </c>
      <c r="V45" s="190">
        <f t="shared" si="97"/>
        <v>0</v>
      </c>
      <c r="W45" s="190">
        <f t="shared" si="97"/>
        <v>0</v>
      </c>
      <c r="X45" s="86">
        <f t="shared" si="96"/>
        <v>0</v>
      </c>
      <c r="Y45" s="23">
        <f t="shared" si="118"/>
        <v>0</v>
      </c>
      <c r="Z45" s="59">
        <f t="shared" si="118"/>
        <v>0</v>
      </c>
      <c r="AA45" s="59">
        <f t="shared" si="118"/>
        <v>0</v>
      </c>
      <c r="AB45" s="59">
        <f t="shared" si="118"/>
        <v>0</v>
      </c>
      <c r="AC45" s="59">
        <f t="shared" si="118"/>
        <v>0</v>
      </c>
      <c r="AD45" s="59">
        <f t="shared" si="118"/>
        <v>0</v>
      </c>
      <c r="AE45" s="59">
        <f t="shared" si="119"/>
        <v>0</v>
      </c>
      <c r="AF45" s="59"/>
      <c r="AG45" s="59">
        <f t="shared" si="119"/>
        <v>0</v>
      </c>
      <c r="AH45" s="59">
        <f t="shared" si="119"/>
        <v>0</v>
      </c>
      <c r="AI45" s="23">
        <f t="shared" si="130"/>
        <v>0</v>
      </c>
      <c r="AJ45" s="59">
        <f t="shared" si="130"/>
        <v>0</v>
      </c>
      <c r="AK45" s="59">
        <f t="shared" si="130"/>
        <v>0</v>
      </c>
      <c r="AL45" s="59">
        <f t="shared" si="130"/>
        <v>0</v>
      </c>
      <c r="AM45" s="59">
        <f t="shared" si="130"/>
        <v>0</v>
      </c>
      <c r="AN45" s="59">
        <f t="shared" si="131"/>
        <v>0</v>
      </c>
      <c r="AO45" s="59">
        <f t="shared" si="131"/>
        <v>0</v>
      </c>
      <c r="AP45" s="59">
        <f t="shared" si="130"/>
        <v>0</v>
      </c>
      <c r="AQ45" s="59">
        <f t="shared" si="130"/>
        <v>0</v>
      </c>
      <c r="AR45" s="59">
        <f t="shared" si="130"/>
        <v>0</v>
      </c>
      <c r="AS45" s="23">
        <f t="shared" si="112"/>
        <v>0</v>
      </c>
      <c r="AT45" s="190">
        <f t="shared" si="107"/>
        <v>0</v>
      </c>
      <c r="AU45" s="190">
        <f>(32.5)/165</f>
        <v>0.19696969696969696</v>
      </c>
      <c r="AV45" s="190">
        <f t="shared" si="107"/>
        <v>0</v>
      </c>
      <c r="AW45" s="190">
        <f t="shared" si="107"/>
        <v>0</v>
      </c>
      <c r="AX45" s="190">
        <f t="shared" si="107"/>
        <v>0</v>
      </c>
      <c r="AY45" s="190">
        <f t="shared" si="107"/>
        <v>0</v>
      </c>
      <c r="AZ45" s="190">
        <f>(32.5)/165</f>
        <v>0.19696969696969696</v>
      </c>
      <c r="BA45" s="190">
        <f t="shared" si="107"/>
        <v>0</v>
      </c>
      <c r="BB45" s="225">
        <f t="shared" si="107"/>
        <v>0</v>
      </c>
      <c r="BC45" s="77">
        <f t="shared" si="113"/>
        <v>0</v>
      </c>
      <c r="BD45" s="190">
        <f t="shared" si="113"/>
        <v>0</v>
      </c>
      <c r="BE45" s="190">
        <f>(3)/157.5</f>
        <v>1.9047619047619049E-2</v>
      </c>
      <c r="BF45" s="190">
        <f t="shared" si="108"/>
        <v>0</v>
      </c>
      <c r="BG45" s="190">
        <f t="shared" si="108"/>
        <v>0</v>
      </c>
      <c r="BH45" s="190">
        <f t="shared" si="108"/>
        <v>0</v>
      </c>
      <c r="BI45" s="190">
        <f t="shared" si="108"/>
        <v>0</v>
      </c>
      <c r="BJ45" s="190">
        <f t="shared" si="108"/>
        <v>0</v>
      </c>
      <c r="BK45" s="190">
        <f t="shared" si="108"/>
        <v>0</v>
      </c>
      <c r="BL45" s="190">
        <f t="shared" si="108"/>
        <v>0</v>
      </c>
      <c r="BM45" s="77">
        <f t="shared" si="114"/>
        <v>0</v>
      </c>
      <c r="BN45" s="190">
        <f t="shared" si="114"/>
        <v>0</v>
      </c>
      <c r="BO45" s="190">
        <f t="shared" si="114"/>
        <v>0</v>
      </c>
      <c r="BP45" s="190">
        <f t="shared" si="114"/>
        <v>0</v>
      </c>
      <c r="BQ45" s="190">
        <f t="shared" si="114"/>
        <v>0</v>
      </c>
      <c r="BR45" s="190">
        <f t="shared" si="109"/>
        <v>0</v>
      </c>
      <c r="BS45" s="190">
        <f t="shared" si="109"/>
        <v>0</v>
      </c>
      <c r="BT45" s="190">
        <f t="shared" si="109"/>
        <v>0</v>
      </c>
      <c r="BU45" s="190">
        <f t="shared" si="109"/>
        <v>0</v>
      </c>
      <c r="BV45" s="190">
        <f t="shared" si="109"/>
        <v>0</v>
      </c>
      <c r="BW45" s="23">
        <f t="shared" si="99"/>
        <v>0</v>
      </c>
      <c r="BX45" s="190">
        <f t="shared" si="99"/>
        <v>0</v>
      </c>
      <c r="BY45" s="190">
        <f t="shared" si="58"/>
        <v>0</v>
      </c>
      <c r="BZ45" s="190">
        <f t="shared" si="125"/>
        <v>0</v>
      </c>
      <c r="CA45" s="190">
        <f t="shared" si="125"/>
        <v>0</v>
      </c>
      <c r="CB45" s="190">
        <f t="shared" si="125"/>
        <v>0</v>
      </c>
      <c r="CC45" s="190">
        <f t="shared" si="125"/>
        <v>0</v>
      </c>
      <c r="CD45" s="190">
        <f t="shared" si="125"/>
        <v>0</v>
      </c>
      <c r="CE45" s="190">
        <f t="shared" si="59"/>
        <v>0</v>
      </c>
      <c r="CF45" s="190">
        <f t="shared" si="52"/>
        <v>0</v>
      </c>
      <c r="CG45" s="23">
        <f t="shared" si="126"/>
        <v>0</v>
      </c>
      <c r="CH45" s="190">
        <f t="shared" si="126"/>
        <v>0</v>
      </c>
      <c r="CI45" s="190">
        <f t="shared" si="126"/>
        <v>0</v>
      </c>
      <c r="CJ45" s="190">
        <f t="shared" si="126"/>
        <v>0</v>
      </c>
      <c r="CK45" s="190">
        <f t="shared" si="126"/>
        <v>0</v>
      </c>
      <c r="CL45" s="190">
        <f t="shared" si="126"/>
        <v>0</v>
      </c>
      <c r="CM45" s="190">
        <f t="shared" si="126"/>
        <v>0</v>
      </c>
      <c r="CN45" s="190">
        <f t="shared" si="126"/>
        <v>0</v>
      </c>
      <c r="CO45" s="190">
        <f t="shared" si="126"/>
        <v>0</v>
      </c>
      <c r="CP45" s="190">
        <f t="shared" si="126"/>
        <v>0</v>
      </c>
      <c r="CQ45" s="23">
        <f t="shared" si="120"/>
        <v>0</v>
      </c>
      <c r="CR45" s="190">
        <f t="shared" si="120"/>
        <v>0</v>
      </c>
      <c r="CS45" s="190">
        <f t="shared" si="120"/>
        <v>0</v>
      </c>
      <c r="CT45" s="190">
        <f t="shared" si="120"/>
        <v>0</v>
      </c>
      <c r="CU45" s="190">
        <f t="shared" si="120"/>
        <v>0</v>
      </c>
      <c r="CV45" s="190">
        <f t="shared" si="80"/>
        <v>0</v>
      </c>
      <c r="CW45" s="190">
        <f t="shared" si="80"/>
        <v>0</v>
      </c>
      <c r="CX45" s="77">
        <f t="shared" si="127"/>
        <v>0</v>
      </c>
      <c r="CY45" s="190">
        <f t="shared" si="127"/>
        <v>0</v>
      </c>
      <c r="CZ45" s="190">
        <f t="shared" si="127"/>
        <v>0</v>
      </c>
      <c r="DA45" s="190">
        <f t="shared" si="127"/>
        <v>0</v>
      </c>
      <c r="DB45" s="190">
        <f t="shared" si="127"/>
        <v>0</v>
      </c>
      <c r="DC45" s="190">
        <f t="shared" si="81"/>
        <v>0</v>
      </c>
      <c r="DD45" s="190">
        <f t="shared" si="81"/>
        <v>0</v>
      </c>
      <c r="DE45" s="59">
        <f t="shared" si="121"/>
        <v>0</v>
      </c>
      <c r="DF45" s="190">
        <f t="shared" si="121"/>
        <v>0</v>
      </c>
      <c r="DG45" s="190">
        <f t="shared" si="121"/>
        <v>0</v>
      </c>
      <c r="DH45" s="190">
        <f t="shared" si="121"/>
        <v>0</v>
      </c>
      <c r="DI45" s="190">
        <f t="shared" si="121"/>
        <v>0</v>
      </c>
      <c r="DJ45" s="190">
        <f t="shared" si="82"/>
        <v>0</v>
      </c>
      <c r="DK45" s="190">
        <f t="shared" si="82"/>
        <v>0</v>
      </c>
      <c r="DL45" s="23">
        <f t="shared" si="115"/>
        <v>0</v>
      </c>
      <c r="DM45" s="190">
        <f t="shared" si="115"/>
        <v>0</v>
      </c>
      <c r="DN45" s="190">
        <f t="shared" si="115"/>
        <v>0</v>
      </c>
      <c r="DO45" s="190">
        <f t="shared" si="115"/>
        <v>0</v>
      </c>
      <c r="DP45" s="190">
        <f t="shared" si="115"/>
        <v>0</v>
      </c>
      <c r="DQ45" s="190">
        <f t="shared" si="83"/>
        <v>0</v>
      </c>
      <c r="DR45" s="190">
        <f t="shared" si="83"/>
        <v>0</v>
      </c>
      <c r="DS45" s="190">
        <f t="shared" si="83"/>
        <v>0</v>
      </c>
      <c r="DT45" s="201"/>
    </row>
    <row r="46" spans="1:124" ht="26.25" hidden="1" customHeight="1" outlineLevel="1" x14ac:dyDescent="0.4">
      <c r="A46" s="348"/>
      <c r="B46" s="348"/>
      <c r="C46" s="348"/>
      <c r="D46" s="350"/>
      <c r="E46" s="350"/>
      <c r="F46" s="350"/>
      <c r="G46" s="565"/>
      <c r="H46" s="450"/>
      <c r="I46" s="450"/>
      <c r="J46" s="448"/>
      <c r="K46" s="446"/>
      <c r="L46" s="446"/>
      <c r="M46" s="429"/>
      <c r="N46" s="43" t="s">
        <v>25</v>
      </c>
      <c r="O46" s="209">
        <f t="shared" si="96"/>
        <v>0</v>
      </c>
      <c r="P46" s="209">
        <f t="shared" si="96"/>
        <v>0</v>
      </c>
      <c r="Q46" s="209">
        <f t="shared" si="96"/>
        <v>0</v>
      </c>
      <c r="R46" s="209">
        <f t="shared" si="96"/>
        <v>0</v>
      </c>
      <c r="S46" s="209">
        <f t="shared" si="96"/>
        <v>0</v>
      </c>
      <c r="T46" s="209">
        <f t="shared" si="96"/>
        <v>0</v>
      </c>
      <c r="U46" s="209">
        <f t="shared" si="96"/>
        <v>0</v>
      </c>
      <c r="V46" s="209">
        <f t="shared" si="97"/>
        <v>0</v>
      </c>
      <c r="W46" s="209">
        <f t="shared" si="97"/>
        <v>0</v>
      </c>
      <c r="X46" s="53">
        <f t="shared" si="96"/>
        <v>0</v>
      </c>
      <c r="Y46" s="24">
        <f t="shared" si="118"/>
        <v>0</v>
      </c>
      <c r="Z46" s="56">
        <f t="shared" si="118"/>
        <v>0</v>
      </c>
      <c r="AA46" s="56">
        <f t="shared" si="118"/>
        <v>0</v>
      </c>
      <c r="AB46" s="56">
        <f t="shared" si="118"/>
        <v>0</v>
      </c>
      <c r="AC46" s="56">
        <f t="shared" si="118"/>
        <v>0</v>
      </c>
      <c r="AD46" s="56">
        <f t="shared" si="118"/>
        <v>0</v>
      </c>
      <c r="AE46" s="61">
        <f t="shared" si="119"/>
        <v>0</v>
      </c>
      <c r="AF46" s="61"/>
      <c r="AG46" s="61">
        <f t="shared" si="119"/>
        <v>0</v>
      </c>
      <c r="AH46" s="61">
        <f t="shared" si="119"/>
        <v>0</v>
      </c>
      <c r="AI46" s="65">
        <f t="shared" si="130"/>
        <v>0</v>
      </c>
      <c r="AJ46" s="61">
        <f t="shared" si="130"/>
        <v>0</v>
      </c>
      <c r="AK46" s="61">
        <f t="shared" si="130"/>
        <v>0</v>
      </c>
      <c r="AL46" s="61">
        <f t="shared" si="130"/>
        <v>0</v>
      </c>
      <c r="AM46" s="61">
        <f t="shared" si="130"/>
        <v>0</v>
      </c>
      <c r="AN46" s="61">
        <f t="shared" si="131"/>
        <v>0</v>
      </c>
      <c r="AO46" s="61">
        <f t="shared" si="131"/>
        <v>0</v>
      </c>
      <c r="AP46" s="61">
        <f t="shared" si="130"/>
        <v>0</v>
      </c>
      <c r="AQ46" s="61">
        <f t="shared" si="130"/>
        <v>0</v>
      </c>
      <c r="AR46" s="61">
        <f t="shared" si="130"/>
        <v>0</v>
      </c>
      <c r="AS46" s="65">
        <f t="shared" si="112"/>
        <v>0</v>
      </c>
      <c r="AT46" s="210">
        <f t="shared" si="107"/>
        <v>0</v>
      </c>
      <c r="AU46" s="210">
        <f>(2.5+5.5+6+3.5)/165</f>
        <v>0.10606060606060606</v>
      </c>
      <c r="AV46" s="210">
        <f t="shared" si="107"/>
        <v>0</v>
      </c>
      <c r="AW46" s="210">
        <f t="shared" si="107"/>
        <v>0</v>
      </c>
      <c r="AX46" s="210">
        <f t="shared" si="107"/>
        <v>0</v>
      </c>
      <c r="AY46" s="210">
        <f t="shared" si="107"/>
        <v>0</v>
      </c>
      <c r="AZ46" s="210">
        <f>(7+20.5+10+4)/165</f>
        <v>0.25151515151515152</v>
      </c>
      <c r="BA46" s="210">
        <f t="shared" si="107"/>
        <v>0</v>
      </c>
      <c r="BB46" s="53">
        <f t="shared" si="107"/>
        <v>0</v>
      </c>
      <c r="BC46" s="58">
        <f t="shared" si="113"/>
        <v>0</v>
      </c>
      <c r="BD46" s="209">
        <f t="shared" si="113"/>
        <v>0</v>
      </c>
      <c r="BE46" s="209">
        <f>(2.5)/157.5</f>
        <v>1.5873015873015872E-2</v>
      </c>
      <c r="BF46" s="209">
        <f t="shared" si="108"/>
        <v>0</v>
      </c>
      <c r="BG46" s="209">
        <f t="shared" si="108"/>
        <v>0</v>
      </c>
      <c r="BH46" s="209">
        <f t="shared" si="108"/>
        <v>0</v>
      </c>
      <c r="BI46" s="209">
        <f t="shared" si="108"/>
        <v>0</v>
      </c>
      <c r="BJ46" s="209">
        <f t="shared" si="108"/>
        <v>0</v>
      </c>
      <c r="BK46" s="209">
        <f t="shared" si="108"/>
        <v>0</v>
      </c>
      <c r="BL46" s="209">
        <f t="shared" si="108"/>
        <v>0</v>
      </c>
      <c r="BM46" s="58">
        <f t="shared" si="114"/>
        <v>0</v>
      </c>
      <c r="BN46" s="209">
        <f t="shared" si="114"/>
        <v>0</v>
      </c>
      <c r="BO46" s="209">
        <f t="shared" si="114"/>
        <v>0</v>
      </c>
      <c r="BP46" s="209">
        <f t="shared" si="114"/>
        <v>0</v>
      </c>
      <c r="BQ46" s="209">
        <f t="shared" si="114"/>
        <v>0</v>
      </c>
      <c r="BR46" s="209">
        <f t="shared" si="109"/>
        <v>0</v>
      </c>
      <c r="BS46" s="209">
        <f t="shared" si="109"/>
        <v>0</v>
      </c>
      <c r="BT46" s="209">
        <f t="shared" si="109"/>
        <v>0</v>
      </c>
      <c r="BU46" s="209">
        <f t="shared" si="109"/>
        <v>0</v>
      </c>
      <c r="BV46" s="209">
        <f t="shared" si="109"/>
        <v>0</v>
      </c>
      <c r="BW46" s="65">
        <f t="shared" si="99"/>
        <v>0</v>
      </c>
      <c r="BX46" s="209">
        <f t="shared" si="99"/>
        <v>0</v>
      </c>
      <c r="BY46" s="209">
        <f t="shared" si="58"/>
        <v>0</v>
      </c>
      <c r="BZ46" s="209">
        <f t="shared" si="125"/>
        <v>0</v>
      </c>
      <c r="CA46" s="209">
        <f t="shared" si="125"/>
        <v>0</v>
      </c>
      <c r="CB46" s="209">
        <f t="shared" si="125"/>
        <v>0</v>
      </c>
      <c r="CC46" s="209">
        <f t="shared" si="125"/>
        <v>0</v>
      </c>
      <c r="CD46" s="209">
        <f t="shared" si="125"/>
        <v>0</v>
      </c>
      <c r="CE46" s="209">
        <f t="shared" si="59"/>
        <v>0</v>
      </c>
      <c r="CF46" s="209">
        <f t="shared" si="52"/>
        <v>0</v>
      </c>
      <c r="CG46" s="65">
        <f t="shared" si="126"/>
        <v>0</v>
      </c>
      <c r="CH46" s="209">
        <f t="shared" si="126"/>
        <v>0</v>
      </c>
      <c r="CI46" s="209">
        <f t="shared" si="126"/>
        <v>0</v>
      </c>
      <c r="CJ46" s="209">
        <f t="shared" si="126"/>
        <v>0</v>
      </c>
      <c r="CK46" s="209">
        <f t="shared" si="126"/>
        <v>0</v>
      </c>
      <c r="CL46" s="209">
        <f t="shared" si="126"/>
        <v>0</v>
      </c>
      <c r="CM46" s="209">
        <f t="shared" si="126"/>
        <v>0</v>
      </c>
      <c r="CN46" s="209">
        <f t="shared" si="126"/>
        <v>0</v>
      </c>
      <c r="CO46" s="209">
        <f t="shared" si="126"/>
        <v>0</v>
      </c>
      <c r="CP46" s="209">
        <f t="shared" si="126"/>
        <v>0</v>
      </c>
      <c r="CQ46" s="65">
        <f t="shared" si="120"/>
        <v>0</v>
      </c>
      <c r="CR46" s="210">
        <f t="shared" si="120"/>
        <v>0</v>
      </c>
      <c r="CS46" s="210">
        <f t="shared" si="120"/>
        <v>0</v>
      </c>
      <c r="CT46" s="210">
        <f t="shared" si="120"/>
        <v>0</v>
      </c>
      <c r="CU46" s="210">
        <f t="shared" si="120"/>
        <v>0</v>
      </c>
      <c r="CV46" s="210">
        <f t="shared" si="80"/>
        <v>0</v>
      </c>
      <c r="CW46" s="210">
        <f t="shared" si="80"/>
        <v>0</v>
      </c>
      <c r="CX46" s="65">
        <f t="shared" si="127"/>
        <v>0</v>
      </c>
      <c r="CY46" s="210">
        <f t="shared" si="127"/>
        <v>0</v>
      </c>
      <c r="CZ46" s="210">
        <f t="shared" si="127"/>
        <v>0</v>
      </c>
      <c r="DA46" s="210">
        <f t="shared" si="127"/>
        <v>0</v>
      </c>
      <c r="DB46" s="210">
        <f t="shared" si="127"/>
        <v>0</v>
      </c>
      <c r="DC46" s="210">
        <f t="shared" si="81"/>
        <v>0</v>
      </c>
      <c r="DD46" s="210">
        <f t="shared" si="81"/>
        <v>0</v>
      </c>
      <c r="DE46" s="61">
        <f t="shared" si="121"/>
        <v>0</v>
      </c>
      <c r="DF46" s="210">
        <f t="shared" si="121"/>
        <v>0</v>
      </c>
      <c r="DG46" s="210">
        <f t="shared" si="121"/>
        <v>0</v>
      </c>
      <c r="DH46" s="210">
        <f t="shared" si="121"/>
        <v>0</v>
      </c>
      <c r="DI46" s="210">
        <f t="shared" si="121"/>
        <v>0</v>
      </c>
      <c r="DJ46" s="210">
        <f t="shared" si="82"/>
        <v>0</v>
      </c>
      <c r="DK46" s="210">
        <f t="shared" si="82"/>
        <v>0</v>
      </c>
      <c r="DL46" s="65">
        <f t="shared" si="115"/>
        <v>0</v>
      </c>
      <c r="DM46" s="210">
        <f t="shared" si="115"/>
        <v>0</v>
      </c>
      <c r="DN46" s="210">
        <f t="shared" si="115"/>
        <v>0</v>
      </c>
      <c r="DO46" s="210">
        <f t="shared" si="115"/>
        <v>0</v>
      </c>
      <c r="DP46" s="210">
        <f t="shared" si="115"/>
        <v>0</v>
      </c>
      <c r="DQ46" s="210">
        <f t="shared" si="83"/>
        <v>0</v>
      </c>
      <c r="DR46" s="210">
        <f t="shared" si="83"/>
        <v>0</v>
      </c>
      <c r="DS46" s="210">
        <f t="shared" si="83"/>
        <v>0</v>
      </c>
      <c r="DT46" s="201"/>
    </row>
    <row r="47" spans="1:124" ht="26.25" hidden="1" customHeight="1" outlineLevel="1" collapsed="1" x14ac:dyDescent="0.4">
      <c r="A47" s="347">
        <v>21</v>
      </c>
      <c r="B47" s="347" t="s">
        <v>47</v>
      </c>
      <c r="C47" s="347" t="s">
        <v>14</v>
      </c>
      <c r="D47" s="349" t="s">
        <v>392</v>
      </c>
      <c r="E47" s="349" t="s">
        <v>598</v>
      </c>
      <c r="F47" s="349"/>
      <c r="G47" s="563" t="s">
        <v>597</v>
      </c>
      <c r="H47" s="449">
        <f t="shared" ref="H47" si="134">SUM(CG47:CP47)</f>
        <v>0</v>
      </c>
      <c r="I47" s="449">
        <f t="shared" ref="I47" si="135">SUM(CG48:CP48)</f>
        <v>0</v>
      </c>
      <c r="J47" s="447"/>
      <c r="K47" s="445"/>
      <c r="L47" s="445"/>
      <c r="M47" s="428"/>
      <c r="N47" s="52" t="s">
        <v>24</v>
      </c>
      <c r="O47" s="190">
        <f t="shared" si="96"/>
        <v>0</v>
      </c>
      <c r="P47" s="190">
        <f t="shared" si="96"/>
        <v>0</v>
      </c>
      <c r="Q47" s="190">
        <f t="shared" si="96"/>
        <v>0</v>
      </c>
      <c r="R47" s="190">
        <f t="shared" si="96"/>
        <v>0</v>
      </c>
      <c r="S47" s="190">
        <f t="shared" si="96"/>
        <v>0</v>
      </c>
      <c r="T47" s="190">
        <f t="shared" si="96"/>
        <v>0</v>
      </c>
      <c r="U47" s="190">
        <f t="shared" si="96"/>
        <v>0</v>
      </c>
      <c r="V47" s="190">
        <f t="shared" si="97"/>
        <v>0</v>
      </c>
      <c r="W47" s="190">
        <f t="shared" si="97"/>
        <v>0</v>
      </c>
      <c r="X47" s="86">
        <f t="shared" si="96"/>
        <v>0</v>
      </c>
      <c r="Y47" s="23">
        <f t="shared" si="118"/>
        <v>0</v>
      </c>
      <c r="Z47" s="59">
        <f t="shared" si="118"/>
        <v>0</v>
      </c>
      <c r="AA47" s="59">
        <f t="shared" si="118"/>
        <v>0</v>
      </c>
      <c r="AB47" s="59">
        <f t="shared" si="118"/>
        <v>0</v>
      </c>
      <c r="AC47" s="59">
        <f t="shared" si="118"/>
        <v>0</v>
      </c>
      <c r="AD47" s="59">
        <f t="shared" si="118"/>
        <v>0</v>
      </c>
      <c r="AE47" s="59">
        <f t="shared" si="119"/>
        <v>0</v>
      </c>
      <c r="AF47" s="59"/>
      <c r="AG47" s="59">
        <f t="shared" si="119"/>
        <v>0</v>
      </c>
      <c r="AH47" s="59">
        <f t="shared" si="119"/>
        <v>0</v>
      </c>
      <c r="AI47" s="23">
        <f t="shared" si="130"/>
        <v>0</v>
      </c>
      <c r="AJ47" s="59">
        <f t="shared" si="130"/>
        <v>0</v>
      </c>
      <c r="AK47" s="59">
        <f t="shared" si="130"/>
        <v>0</v>
      </c>
      <c r="AL47" s="59">
        <f t="shared" si="130"/>
        <v>0</v>
      </c>
      <c r="AM47" s="59">
        <f t="shared" si="130"/>
        <v>0</v>
      </c>
      <c r="AN47" s="59">
        <f t="shared" si="131"/>
        <v>0</v>
      </c>
      <c r="AO47" s="59">
        <f t="shared" si="131"/>
        <v>0</v>
      </c>
      <c r="AP47" s="59">
        <f t="shared" si="130"/>
        <v>0</v>
      </c>
      <c r="AQ47" s="59">
        <f t="shared" si="130"/>
        <v>0</v>
      </c>
      <c r="AR47" s="59">
        <f t="shared" si="130"/>
        <v>0</v>
      </c>
      <c r="AS47" s="23">
        <f t="shared" si="112"/>
        <v>0</v>
      </c>
      <c r="AT47" s="190">
        <f t="shared" si="107"/>
        <v>0</v>
      </c>
      <c r="AU47" s="190">
        <f>(16)/165</f>
        <v>9.696969696969697E-2</v>
      </c>
      <c r="AV47" s="190">
        <f t="shared" si="107"/>
        <v>0</v>
      </c>
      <c r="AW47" s="190">
        <f t="shared" si="107"/>
        <v>0</v>
      </c>
      <c r="AX47" s="190">
        <f>(11)/165</f>
        <v>6.6666666666666666E-2</v>
      </c>
      <c r="AY47" s="190">
        <f>(11)/165</f>
        <v>6.6666666666666666E-2</v>
      </c>
      <c r="AZ47" s="190">
        <f>(6)/165</f>
        <v>3.6363636363636362E-2</v>
      </c>
      <c r="BA47" s="190">
        <f t="shared" si="107"/>
        <v>0</v>
      </c>
      <c r="BB47" s="225">
        <f t="shared" si="107"/>
        <v>0</v>
      </c>
      <c r="BC47" s="77">
        <f>(3)/157.5</f>
        <v>1.9047619047619049E-2</v>
      </c>
      <c r="BD47" s="190">
        <f t="shared" si="113"/>
        <v>0</v>
      </c>
      <c r="BE47" s="190">
        <f>(40)/157.5</f>
        <v>0.25396825396825395</v>
      </c>
      <c r="BF47" s="190">
        <f t="shared" si="108"/>
        <v>0</v>
      </c>
      <c r="BG47" s="190">
        <f t="shared" si="108"/>
        <v>0</v>
      </c>
      <c r="BH47" s="190">
        <f t="shared" si="108"/>
        <v>0</v>
      </c>
      <c r="BI47" s="190">
        <f t="shared" si="108"/>
        <v>0</v>
      </c>
      <c r="BJ47" s="190">
        <f>(40)/157.5</f>
        <v>0.25396825396825395</v>
      </c>
      <c r="BK47" s="190">
        <f>(17)/157.5</f>
        <v>0.10793650793650794</v>
      </c>
      <c r="BL47" s="190">
        <f t="shared" si="108"/>
        <v>0</v>
      </c>
      <c r="BM47" s="77">
        <f t="shared" si="114"/>
        <v>0</v>
      </c>
      <c r="BN47" s="190">
        <f t="shared" si="114"/>
        <v>0</v>
      </c>
      <c r="BO47" s="190">
        <f t="shared" si="114"/>
        <v>0</v>
      </c>
      <c r="BP47" s="190">
        <f t="shared" si="114"/>
        <v>0</v>
      </c>
      <c r="BQ47" s="190">
        <f t="shared" si="114"/>
        <v>0</v>
      </c>
      <c r="BR47" s="190">
        <f t="shared" si="109"/>
        <v>0</v>
      </c>
      <c r="BS47" s="190">
        <f t="shared" si="109"/>
        <v>0</v>
      </c>
      <c r="BT47" s="190">
        <f t="shared" si="109"/>
        <v>0</v>
      </c>
      <c r="BU47" s="190">
        <f t="shared" si="109"/>
        <v>0</v>
      </c>
      <c r="BV47" s="190">
        <f t="shared" si="109"/>
        <v>0</v>
      </c>
      <c r="BW47" s="23">
        <f t="shared" si="99"/>
        <v>0</v>
      </c>
      <c r="BX47" s="190">
        <f t="shared" si="99"/>
        <v>0</v>
      </c>
      <c r="BY47" s="190">
        <f t="shared" si="58"/>
        <v>0</v>
      </c>
      <c r="BZ47" s="190">
        <f t="shared" si="125"/>
        <v>0</v>
      </c>
      <c r="CA47" s="190">
        <f t="shared" si="125"/>
        <v>0</v>
      </c>
      <c r="CB47" s="190">
        <f t="shared" si="125"/>
        <v>0</v>
      </c>
      <c r="CC47" s="190">
        <f t="shared" si="125"/>
        <v>0</v>
      </c>
      <c r="CD47" s="190">
        <f t="shared" si="125"/>
        <v>0</v>
      </c>
      <c r="CE47" s="190">
        <f t="shared" si="59"/>
        <v>0</v>
      </c>
      <c r="CF47" s="190">
        <f t="shared" si="52"/>
        <v>0</v>
      </c>
      <c r="CG47" s="23">
        <f t="shared" si="126"/>
        <v>0</v>
      </c>
      <c r="CH47" s="190">
        <f t="shared" si="126"/>
        <v>0</v>
      </c>
      <c r="CI47" s="190">
        <f t="shared" si="126"/>
        <v>0</v>
      </c>
      <c r="CJ47" s="190">
        <f t="shared" si="126"/>
        <v>0</v>
      </c>
      <c r="CK47" s="190">
        <f t="shared" si="126"/>
        <v>0</v>
      </c>
      <c r="CL47" s="190">
        <f t="shared" si="126"/>
        <v>0</v>
      </c>
      <c r="CM47" s="190">
        <f t="shared" si="126"/>
        <v>0</v>
      </c>
      <c r="CN47" s="190">
        <f t="shared" si="126"/>
        <v>0</v>
      </c>
      <c r="CO47" s="190">
        <f t="shared" si="126"/>
        <v>0</v>
      </c>
      <c r="CP47" s="190">
        <f t="shared" si="126"/>
        <v>0</v>
      </c>
      <c r="CQ47" s="23">
        <f t="shared" si="120"/>
        <v>0</v>
      </c>
      <c r="CR47" s="190">
        <f t="shared" si="120"/>
        <v>0</v>
      </c>
      <c r="CS47" s="190">
        <f t="shared" si="120"/>
        <v>0</v>
      </c>
      <c r="CT47" s="190">
        <f t="shared" si="120"/>
        <v>0</v>
      </c>
      <c r="CU47" s="190">
        <f t="shared" si="120"/>
        <v>0</v>
      </c>
      <c r="CV47" s="190">
        <f t="shared" si="80"/>
        <v>0</v>
      </c>
      <c r="CW47" s="190">
        <f t="shared" si="80"/>
        <v>0</v>
      </c>
      <c r="CX47" s="77">
        <f t="shared" si="127"/>
        <v>0</v>
      </c>
      <c r="CY47" s="190">
        <f t="shared" si="127"/>
        <v>0</v>
      </c>
      <c r="CZ47" s="190">
        <f t="shared" si="127"/>
        <v>0</v>
      </c>
      <c r="DA47" s="190">
        <f t="shared" si="127"/>
        <v>0</v>
      </c>
      <c r="DB47" s="190">
        <f t="shared" si="127"/>
        <v>0</v>
      </c>
      <c r="DC47" s="190">
        <f t="shared" si="81"/>
        <v>0</v>
      </c>
      <c r="DD47" s="190">
        <f t="shared" si="81"/>
        <v>0</v>
      </c>
      <c r="DE47" s="59">
        <f t="shared" si="121"/>
        <v>0</v>
      </c>
      <c r="DF47" s="190">
        <f t="shared" si="121"/>
        <v>0</v>
      </c>
      <c r="DG47" s="190">
        <f t="shared" si="121"/>
        <v>0</v>
      </c>
      <c r="DH47" s="190">
        <f t="shared" si="121"/>
        <v>0</v>
      </c>
      <c r="DI47" s="190">
        <f t="shared" si="121"/>
        <v>0</v>
      </c>
      <c r="DJ47" s="190">
        <f t="shared" si="82"/>
        <v>0</v>
      </c>
      <c r="DK47" s="190">
        <f t="shared" si="82"/>
        <v>0</v>
      </c>
      <c r="DL47" s="23">
        <f t="shared" ref="DL47:DP56" si="136">0/142.5</f>
        <v>0</v>
      </c>
      <c r="DM47" s="190">
        <f t="shared" si="136"/>
        <v>0</v>
      </c>
      <c r="DN47" s="190">
        <f t="shared" si="136"/>
        <v>0</v>
      </c>
      <c r="DO47" s="190">
        <f t="shared" si="136"/>
        <v>0</v>
      </c>
      <c r="DP47" s="190">
        <f t="shared" si="136"/>
        <v>0</v>
      </c>
      <c r="DQ47" s="190">
        <f t="shared" si="83"/>
        <v>0</v>
      </c>
      <c r="DR47" s="190">
        <f t="shared" si="83"/>
        <v>0</v>
      </c>
      <c r="DS47" s="190">
        <f t="shared" si="83"/>
        <v>0</v>
      </c>
      <c r="DT47" s="201"/>
    </row>
    <row r="48" spans="1:124" ht="26.25" hidden="1" customHeight="1" outlineLevel="1" x14ac:dyDescent="0.4">
      <c r="A48" s="348"/>
      <c r="B48" s="348"/>
      <c r="C48" s="348"/>
      <c r="D48" s="350"/>
      <c r="E48" s="350"/>
      <c r="F48" s="350"/>
      <c r="G48" s="565"/>
      <c r="H48" s="450"/>
      <c r="I48" s="450"/>
      <c r="J48" s="448"/>
      <c r="K48" s="446"/>
      <c r="L48" s="446"/>
      <c r="M48" s="429"/>
      <c r="N48" s="43" t="s">
        <v>25</v>
      </c>
      <c r="O48" s="209">
        <f t="shared" si="96"/>
        <v>0</v>
      </c>
      <c r="P48" s="209">
        <f t="shared" si="96"/>
        <v>0</v>
      </c>
      <c r="Q48" s="209">
        <f t="shared" si="96"/>
        <v>0</v>
      </c>
      <c r="R48" s="209">
        <f t="shared" si="96"/>
        <v>0</v>
      </c>
      <c r="S48" s="209">
        <f t="shared" si="96"/>
        <v>0</v>
      </c>
      <c r="T48" s="209">
        <f t="shared" si="96"/>
        <v>0</v>
      </c>
      <c r="U48" s="209">
        <f t="shared" si="96"/>
        <v>0</v>
      </c>
      <c r="V48" s="209">
        <f t="shared" si="97"/>
        <v>0</v>
      </c>
      <c r="W48" s="209">
        <f t="shared" si="97"/>
        <v>0</v>
      </c>
      <c r="X48" s="53">
        <f t="shared" si="96"/>
        <v>0</v>
      </c>
      <c r="Y48" s="24">
        <f t="shared" si="118"/>
        <v>0</v>
      </c>
      <c r="Z48" s="56">
        <f t="shared" si="118"/>
        <v>0</v>
      </c>
      <c r="AA48" s="56">
        <f t="shared" si="118"/>
        <v>0</v>
      </c>
      <c r="AB48" s="56">
        <f t="shared" si="118"/>
        <v>0</v>
      </c>
      <c r="AC48" s="56">
        <f t="shared" si="118"/>
        <v>0</v>
      </c>
      <c r="AD48" s="56">
        <f t="shared" si="118"/>
        <v>0</v>
      </c>
      <c r="AE48" s="61">
        <f t="shared" si="119"/>
        <v>0</v>
      </c>
      <c r="AF48" s="61"/>
      <c r="AG48" s="61">
        <f t="shared" si="119"/>
        <v>0</v>
      </c>
      <c r="AH48" s="61">
        <f t="shared" si="119"/>
        <v>0</v>
      </c>
      <c r="AI48" s="65">
        <f t="shared" si="130"/>
        <v>0</v>
      </c>
      <c r="AJ48" s="61">
        <f t="shared" si="130"/>
        <v>0</v>
      </c>
      <c r="AK48" s="61">
        <f t="shared" si="130"/>
        <v>0</v>
      </c>
      <c r="AL48" s="61">
        <f t="shared" si="130"/>
        <v>0</v>
      </c>
      <c r="AM48" s="61">
        <f t="shared" si="130"/>
        <v>0</v>
      </c>
      <c r="AN48" s="61">
        <f t="shared" si="131"/>
        <v>0</v>
      </c>
      <c r="AO48" s="61">
        <f t="shared" si="131"/>
        <v>0</v>
      </c>
      <c r="AP48" s="61">
        <f t="shared" si="130"/>
        <v>0</v>
      </c>
      <c r="AQ48" s="61">
        <f t="shared" si="130"/>
        <v>0</v>
      </c>
      <c r="AR48" s="61">
        <f t="shared" si="130"/>
        <v>0</v>
      </c>
      <c r="AS48" s="65">
        <f t="shared" si="112"/>
        <v>0</v>
      </c>
      <c r="AT48" s="210">
        <f t="shared" si="107"/>
        <v>0</v>
      </c>
      <c r="AU48" s="210">
        <f>(9+6+4.5+1.5)/165</f>
        <v>0.12727272727272726</v>
      </c>
      <c r="AV48" s="210">
        <f t="shared" si="107"/>
        <v>0</v>
      </c>
      <c r="AW48" s="210">
        <f t="shared" si="107"/>
        <v>0</v>
      </c>
      <c r="AX48" s="210">
        <f>(6+3)/165</f>
        <v>5.4545454545454543E-2</v>
      </c>
      <c r="AY48" s="210">
        <f>(6+2)/165</f>
        <v>4.8484848484848485E-2</v>
      </c>
      <c r="AZ48" s="210">
        <f>(0+5.5)/165</f>
        <v>3.3333333333333333E-2</v>
      </c>
      <c r="BA48" s="210">
        <f t="shared" si="107"/>
        <v>0</v>
      </c>
      <c r="BB48" s="53">
        <f t="shared" si="107"/>
        <v>0</v>
      </c>
      <c r="BC48" s="58">
        <f>(1)/157.5</f>
        <v>6.3492063492063492E-3</v>
      </c>
      <c r="BD48" s="209">
        <f t="shared" si="113"/>
        <v>0</v>
      </c>
      <c r="BE48" s="209">
        <f>(9.5+10.5+7+3+1)/157.5</f>
        <v>0.19682539682539682</v>
      </c>
      <c r="BF48" s="209">
        <f t="shared" si="108"/>
        <v>0</v>
      </c>
      <c r="BG48" s="209">
        <f t="shared" si="108"/>
        <v>0</v>
      </c>
      <c r="BH48" s="209">
        <f t="shared" si="108"/>
        <v>0</v>
      </c>
      <c r="BI48" s="209">
        <f t="shared" si="108"/>
        <v>0</v>
      </c>
      <c r="BJ48" s="209">
        <f>(0+24.5+15+2+1)/157.5</f>
        <v>0.26984126984126983</v>
      </c>
      <c r="BK48" s="209">
        <f>(14+3.5+6+4.5)/157.5</f>
        <v>0.17777777777777778</v>
      </c>
      <c r="BL48" s="209">
        <f t="shared" si="108"/>
        <v>0</v>
      </c>
      <c r="BM48" s="58">
        <f t="shared" si="114"/>
        <v>0</v>
      </c>
      <c r="BN48" s="209">
        <f t="shared" si="114"/>
        <v>0</v>
      </c>
      <c r="BO48" s="209">
        <f t="shared" si="114"/>
        <v>0</v>
      </c>
      <c r="BP48" s="209">
        <f t="shared" si="114"/>
        <v>0</v>
      </c>
      <c r="BQ48" s="209">
        <f t="shared" si="114"/>
        <v>0</v>
      </c>
      <c r="BR48" s="209">
        <f t="shared" si="109"/>
        <v>0</v>
      </c>
      <c r="BS48" s="209">
        <f t="shared" si="109"/>
        <v>0</v>
      </c>
      <c r="BT48" s="209">
        <f t="shared" si="109"/>
        <v>0</v>
      </c>
      <c r="BU48" s="209">
        <f t="shared" si="109"/>
        <v>0</v>
      </c>
      <c r="BV48" s="209">
        <f t="shared" si="109"/>
        <v>0</v>
      </c>
      <c r="BW48" s="65">
        <f t="shared" si="99"/>
        <v>0</v>
      </c>
      <c r="BX48" s="209">
        <f t="shared" si="99"/>
        <v>0</v>
      </c>
      <c r="BY48" s="209">
        <f t="shared" si="58"/>
        <v>0</v>
      </c>
      <c r="BZ48" s="209">
        <f t="shared" si="125"/>
        <v>0</v>
      </c>
      <c r="CA48" s="209">
        <f t="shared" si="125"/>
        <v>0</v>
      </c>
      <c r="CB48" s="209">
        <f t="shared" si="125"/>
        <v>0</v>
      </c>
      <c r="CC48" s="209">
        <f t="shared" si="125"/>
        <v>0</v>
      </c>
      <c r="CD48" s="209">
        <f t="shared" si="125"/>
        <v>0</v>
      </c>
      <c r="CE48" s="209">
        <f t="shared" si="59"/>
        <v>0</v>
      </c>
      <c r="CF48" s="209">
        <f t="shared" si="52"/>
        <v>0</v>
      </c>
      <c r="CG48" s="65">
        <f t="shared" si="126"/>
        <v>0</v>
      </c>
      <c r="CH48" s="209">
        <f t="shared" si="126"/>
        <v>0</v>
      </c>
      <c r="CI48" s="209">
        <f t="shared" si="126"/>
        <v>0</v>
      </c>
      <c r="CJ48" s="209">
        <f t="shared" si="126"/>
        <v>0</v>
      </c>
      <c r="CK48" s="209">
        <f t="shared" si="126"/>
        <v>0</v>
      </c>
      <c r="CL48" s="209">
        <f t="shared" si="126"/>
        <v>0</v>
      </c>
      <c r="CM48" s="209">
        <f t="shared" si="126"/>
        <v>0</v>
      </c>
      <c r="CN48" s="209">
        <f t="shared" si="126"/>
        <v>0</v>
      </c>
      <c r="CO48" s="209">
        <f t="shared" si="126"/>
        <v>0</v>
      </c>
      <c r="CP48" s="209">
        <f t="shared" si="126"/>
        <v>0</v>
      </c>
      <c r="CQ48" s="65">
        <f t="shared" si="120"/>
        <v>0</v>
      </c>
      <c r="CR48" s="210">
        <f t="shared" si="120"/>
        <v>0</v>
      </c>
      <c r="CS48" s="210">
        <f t="shared" si="120"/>
        <v>0</v>
      </c>
      <c r="CT48" s="210">
        <f t="shared" si="120"/>
        <v>0</v>
      </c>
      <c r="CU48" s="210">
        <f t="shared" si="120"/>
        <v>0</v>
      </c>
      <c r="CV48" s="210">
        <f t="shared" si="80"/>
        <v>0</v>
      </c>
      <c r="CW48" s="210">
        <f t="shared" si="80"/>
        <v>0</v>
      </c>
      <c r="CX48" s="65">
        <f t="shared" si="127"/>
        <v>0</v>
      </c>
      <c r="CY48" s="210">
        <f t="shared" si="127"/>
        <v>0</v>
      </c>
      <c r="CZ48" s="210">
        <f t="shared" si="127"/>
        <v>0</v>
      </c>
      <c r="DA48" s="210">
        <f t="shared" si="127"/>
        <v>0</v>
      </c>
      <c r="DB48" s="210">
        <f t="shared" si="127"/>
        <v>0</v>
      </c>
      <c r="DC48" s="210">
        <f t="shared" si="81"/>
        <v>0</v>
      </c>
      <c r="DD48" s="210">
        <f t="shared" si="81"/>
        <v>0</v>
      </c>
      <c r="DE48" s="61">
        <f t="shared" si="121"/>
        <v>0</v>
      </c>
      <c r="DF48" s="210">
        <f t="shared" si="121"/>
        <v>0</v>
      </c>
      <c r="DG48" s="210">
        <f t="shared" si="121"/>
        <v>0</v>
      </c>
      <c r="DH48" s="210">
        <f t="shared" si="121"/>
        <v>0</v>
      </c>
      <c r="DI48" s="210">
        <f t="shared" si="121"/>
        <v>0</v>
      </c>
      <c r="DJ48" s="210">
        <f t="shared" si="82"/>
        <v>0</v>
      </c>
      <c r="DK48" s="210">
        <f t="shared" si="82"/>
        <v>0</v>
      </c>
      <c r="DL48" s="65">
        <f t="shared" si="136"/>
        <v>0</v>
      </c>
      <c r="DM48" s="210">
        <f t="shared" si="136"/>
        <v>0</v>
      </c>
      <c r="DN48" s="210">
        <f t="shared" si="136"/>
        <v>0</v>
      </c>
      <c r="DO48" s="210">
        <f t="shared" si="136"/>
        <v>0</v>
      </c>
      <c r="DP48" s="210">
        <f t="shared" si="136"/>
        <v>0</v>
      </c>
      <c r="DQ48" s="210">
        <f t="shared" si="83"/>
        <v>0</v>
      </c>
      <c r="DR48" s="210">
        <f t="shared" si="83"/>
        <v>0</v>
      </c>
      <c r="DS48" s="210">
        <f t="shared" si="83"/>
        <v>0</v>
      </c>
      <c r="DT48" s="201"/>
    </row>
    <row r="49" spans="1:124" ht="26.25" customHeight="1" collapsed="1" x14ac:dyDescent="0.4">
      <c r="A49" s="347">
        <v>22</v>
      </c>
      <c r="B49" s="347" t="s">
        <v>47</v>
      </c>
      <c r="C49" s="347" t="s">
        <v>14</v>
      </c>
      <c r="D49" s="349" t="s">
        <v>489</v>
      </c>
      <c r="E49" s="349" t="s">
        <v>601</v>
      </c>
      <c r="F49" s="349"/>
      <c r="G49" s="563" t="s">
        <v>600</v>
      </c>
      <c r="H49" s="449">
        <f t="shared" ref="H49" si="137">SUM(DE49:DK49)</f>
        <v>0.10196078431372549</v>
      </c>
      <c r="I49" s="449">
        <f t="shared" ref="I49" si="138">SUM(DE50:DK50)</f>
        <v>7.0588235294117646E-2</v>
      </c>
      <c r="J49" s="447"/>
      <c r="K49" s="445"/>
      <c r="L49" s="445"/>
      <c r="M49" s="428"/>
      <c r="N49" s="52" t="s">
        <v>24</v>
      </c>
      <c r="O49" s="190">
        <f t="shared" si="96"/>
        <v>0</v>
      </c>
      <c r="P49" s="190">
        <f t="shared" si="96"/>
        <v>0</v>
      </c>
      <c r="Q49" s="190">
        <f t="shared" si="96"/>
        <v>0</v>
      </c>
      <c r="R49" s="190">
        <f t="shared" si="96"/>
        <v>0</v>
      </c>
      <c r="S49" s="190">
        <f t="shared" si="96"/>
        <v>0</v>
      </c>
      <c r="T49" s="190">
        <f t="shared" si="96"/>
        <v>0</v>
      </c>
      <c r="U49" s="190">
        <f t="shared" si="96"/>
        <v>0</v>
      </c>
      <c r="V49" s="190">
        <f t="shared" si="97"/>
        <v>0</v>
      </c>
      <c r="W49" s="190">
        <f t="shared" si="97"/>
        <v>0</v>
      </c>
      <c r="X49" s="86">
        <f t="shared" si="96"/>
        <v>0</v>
      </c>
      <c r="Y49" s="23">
        <f t="shared" si="118"/>
        <v>0</v>
      </c>
      <c r="Z49" s="59">
        <f t="shared" si="118"/>
        <v>0</v>
      </c>
      <c r="AA49" s="59">
        <f t="shared" si="118"/>
        <v>0</v>
      </c>
      <c r="AB49" s="59">
        <f t="shared" si="118"/>
        <v>0</v>
      </c>
      <c r="AC49" s="59">
        <f t="shared" si="118"/>
        <v>0</v>
      </c>
      <c r="AD49" s="59">
        <f t="shared" si="118"/>
        <v>0</v>
      </c>
      <c r="AE49" s="59">
        <f t="shared" si="119"/>
        <v>0</v>
      </c>
      <c r="AF49" s="59"/>
      <c r="AG49" s="59">
        <f t="shared" si="119"/>
        <v>0</v>
      </c>
      <c r="AH49" s="59">
        <f t="shared" si="119"/>
        <v>0</v>
      </c>
      <c r="AI49" s="23">
        <f t="shared" ref="AI49:AR80" si="139">0/165</f>
        <v>0</v>
      </c>
      <c r="AJ49" s="59">
        <f t="shared" si="139"/>
        <v>0</v>
      </c>
      <c r="AK49" s="59">
        <f t="shared" si="139"/>
        <v>0</v>
      </c>
      <c r="AL49" s="59">
        <f t="shared" si="139"/>
        <v>0</v>
      </c>
      <c r="AM49" s="59">
        <f t="shared" si="139"/>
        <v>0</v>
      </c>
      <c r="AN49" s="59">
        <f t="shared" si="131"/>
        <v>0</v>
      </c>
      <c r="AO49" s="59">
        <f t="shared" si="131"/>
        <v>0</v>
      </c>
      <c r="AP49" s="59">
        <f t="shared" si="139"/>
        <v>0</v>
      </c>
      <c r="AQ49" s="59">
        <f t="shared" si="139"/>
        <v>0</v>
      </c>
      <c r="AR49" s="59">
        <f t="shared" si="139"/>
        <v>0</v>
      </c>
      <c r="AS49" s="23">
        <f t="shared" si="112"/>
        <v>0</v>
      </c>
      <c r="AT49" s="190">
        <f>(35)/165</f>
        <v>0.21212121212121213</v>
      </c>
      <c r="AU49" s="190">
        <f t="shared" si="107"/>
        <v>0</v>
      </c>
      <c r="AV49" s="190">
        <f t="shared" si="107"/>
        <v>0</v>
      </c>
      <c r="AW49" s="190">
        <f t="shared" si="107"/>
        <v>0</v>
      </c>
      <c r="AX49" s="190">
        <f t="shared" si="107"/>
        <v>0</v>
      </c>
      <c r="AY49" s="190">
        <f t="shared" si="107"/>
        <v>0</v>
      </c>
      <c r="AZ49" s="190">
        <f t="shared" si="107"/>
        <v>0</v>
      </c>
      <c r="BA49" s="190">
        <f>(35)/165</f>
        <v>0.21212121212121213</v>
      </c>
      <c r="BB49" s="225">
        <f>(10)/165</f>
        <v>6.0606060606060608E-2</v>
      </c>
      <c r="BC49" s="77">
        <f>(4)/157.5</f>
        <v>2.5396825396825397E-2</v>
      </c>
      <c r="BD49" s="190">
        <f>(13)/157.5</f>
        <v>8.2539682539682538E-2</v>
      </c>
      <c r="BE49" s="190">
        <f t="shared" si="113"/>
        <v>0</v>
      </c>
      <c r="BF49" s="190">
        <f t="shared" si="113"/>
        <v>0</v>
      </c>
      <c r="BG49" s="190">
        <f t="shared" si="113"/>
        <v>0</v>
      </c>
      <c r="BH49" s="190">
        <f t="shared" si="113"/>
        <v>0</v>
      </c>
      <c r="BI49" s="190">
        <f t="shared" si="113"/>
        <v>0</v>
      </c>
      <c r="BJ49" s="190">
        <f t="shared" si="113"/>
        <v>0</v>
      </c>
      <c r="BK49" s="190">
        <f>(13)/157.5</f>
        <v>8.2539682539682538E-2</v>
      </c>
      <c r="BL49" s="190">
        <f t="shared" si="113"/>
        <v>0</v>
      </c>
      <c r="BM49" s="77">
        <f t="shared" si="114"/>
        <v>0</v>
      </c>
      <c r="BN49" s="190">
        <f t="shared" si="114"/>
        <v>0</v>
      </c>
      <c r="BO49" s="190">
        <f t="shared" si="114"/>
        <v>0</v>
      </c>
      <c r="BP49" s="190">
        <f t="shared" si="114"/>
        <v>0</v>
      </c>
      <c r="BQ49" s="190">
        <f t="shared" si="114"/>
        <v>0</v>
      </c>
      <c r="BR49" s="190">
        <f t="shared" si="109"/>
        <v>0</v>
      </c>
      <c r="BS49" s="190">
        <f t="shared" si="109"/>
        <v>0</v>
      </c>
      <c r="BT49" s="190">
        <f t="shared" si="109"/>
        <v>0</v>
      </c>
      <c r="BU49" s="190">
        <f t="shared" si="109"/>
        <v>0</v>
      </c>
      <c r="BV49" s="190">
        <f t="shared" si="109"/>
        <v>0</v>
      </c>
      <c r="BW49" s="23">
        <f t="shared" si="99"/>
        <v>0</v>
      </c>
      <c r="BX49" s="190">
        <f t="shared" si="99"/>
        <v>0</v>
      </c>
      <c r="BY49" s="190">
        <f t="shared" si="58"/>
        <v>0</v>
      </c>
      <c r="BZ49" s="190">
        <f t="shared" si="125"/>
        <v>0</v>
      </c>
      <c r="CA49" s="190">
        <f t="shared" si="125"/>
        <v>0</v>
      </c>
      <c r="CB49" s="190">
        <f t="shared" si="125"/>
        <v>0</v>
      </c>
      <c r="CC49" s="190">
        <f t="shared" si="125"/>
        <v>0</v>
      </c>
      <c r="CD49" s="190">
        <f t="shared" si="125"/>
        <v>0</v>
      </c>
      <c r="CE49" s="190">
        <f t="shared" si="59"/>
        <v>0</v>
      </c>
      <c r="CF49" s="190">
        <f t="shared" si="52"/>
        <v>0</v>
      </c>
      <c r="CG49" s="23">
        <f>(10)/135</f>
        <v>7.407407407407407E-2</v>
      </c>
      <c r="CH49" s="190">
        <f>(25)/135</f>
        <v>0.18518518518518517</v>
      </c>
      <c r="CI49" s="190">
        <f t="shared" si="126"/>
        <v>0</v>
      </c>
      <c r="CJ49" s="190">
        <f t="shared" si="126"/>
        <v>0</v>
      </c>
      <c r="CK49" s="190">
        <f t="shared" si="126"/>
        <v>0</v>
      </c>
      <c r="CL49" s="190">
        <f t="shared" si="126"/>
        <v>0</v>
      </c>
      <c r="CM49" s="190">
        <f t="shared" si="126"/>
        <v>0</v>
      </c>
      <c r="CN49" s="190">
        <f t="shared" si="126"/>
        <v>0</v>
      </c>
      <c r="CO49" s="190">
        <f>(25)/135</f>
        <v>0.18518518518518517</v>
      </c>
      <c r="CP49" s="190">
        <f t="shared" si="126"/>
        <v>0</v>
      </c>
      <c r="CQ49" s="23">
        <f>(11)/150</f>
        <v>7.3333333333333334E-2</v>
      </c>
      <c r="CR49" s="190">
        <f>(20)/150</f>
        <v>0.13333333333333333</v>
      </c>
      <c r="CS49" s="190">
        <f t="shared" ref="CS49:CV50" si="140">(0)/150</f>
        <v>0</v>
      </c>
      <c r="CT49" s="190">
        <f t="shared" si="140"/>
        <v>0</v>
      </c>
      <c r="CU49" s="190">
        <f t="shared" si="140"/>
        <v>0</v>
      </c>
      <c r="CV49" s="190">
        <f t="shared" si="140"/>
        <v>0</v>
      </c>
      <c r="CW49" s="190">
        <f>(20)/150</f>
        <v>0.13333333333333333</v>
      </c>
      <c r="CX49" s="77">
        <f>(7)/157.5</f>
        <v>4.4444444444444446E-2</v>
      </c>
      <c r="CY49" s="190">
        <f>(7)/157.5</f>
        <v>4.4444444444444446E-2</v>
      </c>
      <c r="CZ49" s="190">
        <f t="shared" ref="CZ49:DC50" si="141">(0)/157.5</f>
        <v>0</v>
      </c>
      <c r="DA49" s="190">
        <f t="shared" si="141"/>
        <v>0</v>
      </c>
      <c r="DB49" s="190">
        <f t="shared" si="141"/>
        <v>0</v>
      </c>
      <c r="DC49" s="190">
        <f t="shared" si="141"/>
        <v>0</v>
      </c>
      <c r="DD49" s="190">
        <f>(5)/157.5</f>
        <v>3.1746031746031744E-2</v>
      </c>
      <c r="DE49" s="23">
        <f>(5)/127.5</f>
        <v>3.9215686274509803E-2</v>
      </c>
      <c r="DF49" s="190">
        <f>(8)/127.5</f>
        <v>6.2745098039215685E-2</v>
      </c>
      <c r="DG49" s="190">
        <f t="shared" ref="DG49:DK50" si="142">(0)/127.5</f>
        <v>0</v>
      </c>
      <c r="DH49" s="190">
        <f t="shared" si="142"/>
        <v>0</v>
      </c>
      <c r="DI49" s="190">
        <f t="shared" si="142"/>
        <v>0</v>
      </c>
      <c r="DJ49" s="190">
        <f t="shared" si="142"/>
        <v>0</v>
      </c>
      <c r="DK49" s="190">
        <f t="shared" si="142"/>
        <v>0</v>
      </c>
      <c r="DL49" s="23">
        <f t="shared" si="136"/>
        <v>0</v>
      </c>
      <c r="DM49" s="190">
        <f t="shared" si="136"/>
        <v>0</v>
      </c>
      <c r="DN49" s="190">
        <f t="shared" si="136"/>
        <v>0</v>
      </c>
      <c r="DO49" s="190">
        <f t="shared" si="136"/>
        <v>0</v>
      </c>
      <c r="DP49" s="190">
        <f t="shared" si="136"/>
        <v>0</v>
      </c>
      <c r="DQ49" s="190">
        <f t="shared" si="83"/>
        <v>0</v>
      </c>
      <c r="DR49" s="190">
        <f t="shared" si="83"/>
        <v>0</v>
      </c>
      <c r="DS49" s="190">
        <f t="shared" si="83"/>
        <v>0</v>
      </c>
      <c r="DT49" s="201"/>
    </row>
    <row r="50" spans="1:124" ht="26.25" customHeight="1" x14ac:dyDescent="0.4">
      <c r="A50" s="348"/>
      <c r="B50" s="348"/>
      <c r="C50" s="348"/>
      <c r="D50" s="350"/>
      <c r="E50" s="350"/>
      <c r="F50" s="350"/>
      <c r="G50" s="565"/>
      <c r="H50" s="450"/>
      <c r="I50" s="450"/>
      <c r="J50" s="448"/>
      <c r="K50" s="446"/>
      <c r="L50" s="446"/>
      <c r="M50" s="429"/>
      <c r="N50" s="43" t="s">
        <v>25</v>
      </c>
      <c r="O50" s="209">
        <f t="shared" si="96"/>
        <v>0</v>
      </c>
      <c r="P50" s="209">
        <f t="shared" si="96"/>
        <v>0</v>
      </c>
      <c r="Q50" s="209">
        <f t="shared" si="96"/>
        <v>0</v>
      </c>
      <c r="R50" s="209">
        <f t="shared" si="96"/>
        <v>0</v>
      </c>
      <c r="S50" s="209">
        <f t="shared" si="96"/>
        <v>0</v>
      </c>
      <c r="T50" s="209">
        <f t="shared" si="96"/>
        <v>0</v>
      </c>
      <c r="U50" s="209">
        <f t="shared" si="96"/>
        <v>0</v>
      </c>
      <c r="V50" s="209">
        <f t="shared" si="97"/>
        <v>0</v>
      </c>
      <c r="W50" s="209">
        <f t="shared" si="97"/>
        <v>0</v>
      </c>
      <c r="X50" s="53">
        <f t="shared" si="96"/>
        <v>0</v>
      </c>
      <c r="Y50" s="24">
        <f t="shared" si="118"/>
        <v>0</v>
      </c>
      <c r="Z50" s="56">
        <f t="shared" si="118"/>
        <v>0</v>
      </c>
      <c r="AA50" s="56">
        <f t="shared" si="118"/>
        <v>0</v>
      </c>
      <c r="AB50" s="56">
        <f t="shared" si="118"/>
        <v>0</v>
      </c>
      <c r="AC50" s="56">
        <f t="shared" si="118"/>
        <v>0</v>
      </c>
      <c r="AD50" s="56">
        <f t="shared" si="118"/>
        <v>0</v>
      </c>
      <c r="AE50" s="61">
        <f t="shared" si="119"/>
        <v>0</v>
      </c>
      <c r="AF50" s="61"/>
      <c r="AG50" s="61">
        <f t="shared" si="119"/>
        <v>0</v>
      </c>
      <c r="AH50" s="61">
        <f t="shared" si="119"/>
        <v>0</v>
      </c>
      <c r="AI50" s="65">
        <f t="shared" si="139"/>
        <v>0</v>
      </c>
      <c r="AJ50" s="61">
        <f t="shared" si="139"/>
        <v>0</v>
      </c>
      <c r="AK50" s="61">
        <f t="shared" si="139"/>
        <v>0</v>
      </c>
      <c r="AL50" s="61">
        <f t="shared" si="139"/>
        <v>0</v>
      </c>
      <c r="AM50" s="61">
        <f t="shared" si="139"/>
        <v>0</v>
      </c>
      <c r="AN50" s="61">
        <f t="shared" si="131"/>
        <v>0</v>
      </c>
      <c r="AO50" s="61">
        <f t="shared" si="131"/>
        <v>0</v>
      </c>
      <c r="AP50" s="61">
        <f t="shared" si="139"/>
        <v>0</v>
      </c>
      <c r="AQ50" s="61">
        <f t="shared" si="139"/>
        <v>0</v>
      </c>
      <c r="AR50" s="61">
        <f t="shared" si="139"/>
        <v>0</v>
      </c>
      <c r="AS50" s="65">
        <f t="shared" si="112"/>
        <v>0</v>
      </c>
      <c r="AT50" s="210">
        <f>(6+6+11.5+3)/165</f>
        <v>0.16060606060606061</v>
      </c>
      <c r="AU50" s="210">
        <f t="shared" si="107"/>
        <v>0</v>
      </c>
      <c r="AV50" s="210">
        <f t="shared" si="107"/>
        <v>0</v>
      </c>
      <c r="AW50" s="210">
        <f t="shared" si="107"/>
        <v>0</v>
      </c>
      <c r="AX50" s="210">
        <f t="shared" si="107"/>
        <v>0</v>
      </c>
      <c r="AY50" s="210">
        <f t="shared" si="107"/>
        <v>0</v>
      </c>
      <c r="AZ50" s="210">
        <f t="shared" si="107"/>
        <v>0</v>
      </c>
      <c r="BA50" s="210">
        <f>(3+16.5+22+3.5)/165</f>
        <v>0.27272727272727271</v>
      </c>
      <c r="BB50" s="53">
        <f>(4.5+2)/165</f>
        <v>3.9393939393939391E-2</v>
      </c>
      <c r="BC50" s="58">
        <f>(1)/157.5</f>
        <v>6.3492063492063492E-3</v>
      </c>
      <c r="BD50" s="209">
        <f>(13.5)/157.5</f>
        <v>8.5714285714285715E-2</v>
      </c>
      <c r="BE50" s="209">
        <f t="shared" si="113"/>
        <v>0</v>
      </c>
      <c r="BF50" s="209">
        <f t="shared" si="113"/>
        <v>0</v>
      </c>
      <c r="BG50" s="209">
        <f t="shared" si="113"/>
        <v>0</v>
      </c>
      <c r="BH50" s="209">
        <f t="shared" si="113"/>
        <v>0</v>
      </c>
      <c r="BI50" s="209">
        <f t="shared" si="113"/>
        <v>0</v>
      </c>
      <c r="BJ50" s="209">
        <f t="shared" si="113"/>
        <v>0</v>
      </c>
      <c r="BK50" s="209">
        <f>(13.5)/157.5</f>
        <v>8.5714285714285715E-2</v>
      </c>
      <c r="BL50" s="209">
        <f t="shared" si="113"/>
        <v>0</v>
      </c>
      <c r="BM50" s="58">
        <f t="shared" si="114"/>
        <v>0</v>
      </c>
      <c r="BN50" s="209">
        <f t="shared" si="114"/>
        <v>0</v>
      </c>
      <c r="BO50" s="209">
        <f t="shared" si="114"/>
        <v>0</v>
      </c>
      <c r="BP50" s="209">
        <f t="shared" si="114"/>
        <v>0</v>
      </c>
      <c r="BQ50" s="209">
        <f t="shared" si="114"/>
        <v>0</v>
      </c>
      <c r="BR50" s="209">
        <f t="shared" si="109"/>
        <v>0</v>
      </c>
      <c r="BS50" s="209">
        <f t="shared" si="109"/>
        <v>0</v>
      </c>
      <c r="BT50" s="209">
        <f t="shared" si="109"/>
        <v>0</v>
      </c>
      <c r="BU50" s="209">
        <f t="shared" si="109"/>
        <v>0</v>
      </c>
      <c r="BV50" s="209">
        <f t="shared" si="109"/>
        <v>0</v>
      </c>
      <c r="BW50" s="65">
        <f t="shared" si="99"/>
        <v>0</v>
      </c>
      <c r="BX50" s="209">
        <f t="shared" si="99"/>
        <v>0</v>
      </c>
      <c r="BY50" s="209">
        <f t="shared" si="58"/>
        <v>0</v>
      </c>
      <c r="BZ50" s="209">
        <f t="shared" si="125"/>
        <v>0</v>
      </c>
      <c r="CA50" s="209">
        <f t="shared" si="125"/>
        <v>0</v>
      </c>
      <c r="CB50" s="209">
        <f t="shared" si="125"/>
        <v>0</v>
      </c>
      <c r="CC50" s="209">
        <f t="shared" si="125"/>
        <v>0</v>
      </c>
      <c r="CD50" s="209">
        <f t="shared" si="125"/>
        <v>0</v>
      </c>
      <c r="CE50" s="209">
        <f t="shared" si="59"/>
        <v>0</v>
      </c>
      <c r="CF50" s="209">
        <f t="shared" si="52"/>
        <v>0</v>
      </c>
      <c r="CG50" s="65">
        <f>(7)/135</f>
        <v>5.185185185185185E-2</v>
      </c>
      <c r="CH50" s="209">
        <f>(22)/135</f>
        <v>0.16296296296296298</v>
      </c>
      <c r="CI50" s="209">
        <f t="shared" si="126"/>
        <v>0</v>
      </c>
      <c r="CJ50" s="209">
        <f t="shared" si="126"/>
        <v>0</v>
      </c>
      <c r="CK50" s="209">
        <f t="shared" si="126"/>
        <v>0</v>
      </c>
      <c r="CL50" s="209">
        <f t="shared" si="126"/>
        <v>0</v>
      </c>
      <c r="CM50" s="209">
        <f t="shared" si="126"/>
        <v>0</v>
      </c>
      <c r="CN50" s="209">
        <f t="shared" si="126"/>
        <v>0</v>
      </c>
      <c r="CO50" s="209">
        <f>(22.5)/135</f>
        <v>0.16666666666666666</v>
      </c>
      <c r="CP50" s="209">
        <f t="shared" si="126"/>
        <v>0</v>
      </c>
      <c r="CQ50" s="65">
        <f>(3+3+1)/150</f>
        <v>4.6666666666666669E-2</v>
      </c>
      <c r="CR50" s="209">
        <f>(2+7+4.5+5.5)/150</f>
        <v>0.12666666666666668</v>
      </c>
      <c r="CS50" s="209">
        <f t="shared" si="140"/>
        <v>0</v>
      </c>
      <c r="CT50" s="209">
        <f t="shared" si="140"/>
        <v>0</v>
      </c>
      <c r="CU50" s="209">
        <f t="shared" si="140"/>
        <v>0</v>
      </c>
      <c r="CV50" s="209">
        <f t="shared" si="140"/>
        <v>0</v>
      </c>
      <c r="CW50" s="209">
        <f>(3+15+4)/150</f>
        <v>0.14666666666666667</v>
      </c>
      <c r="CX50" s="65">
        <f>(1+3+3)/157.5</f>
        <v>4.4444444444444446E-2</v>
      </c>
      <c r="CY50" s="210">
        <f>(0+4.5+1.5)/157.5</f>
        <v>3.8095238095238099E-2</v>
      </c>
      <c r="CZ50" s="210">
        <f t="shared" si="141"/>
        <v>0</v>
      </c>
      <c r="DA50" s="210">
        <f t="shared" si="141"/>
        <v>0</v>
      </c>
      <c r="DB50" s="210">
        <f t="shared" si="141"/>
        <v>0</v>
      </c>
      <c r="DC50" s="210">
        <f t="shared" si="141"/>
        <v>0</v>
      </c>
      <c r="DD50" s="209">
        <f>(0+5)/157.5</f>
        <v>3.1746031746031744E-2</v>
      </c>
      <c r="DE50" s="65">
        <f>(2)/127.5</f>
        <v>1.5686274509803921E-2</v>
      </c>
      <c r="DF50" s="210">
        <f>(7)/127.5</f>
        <v>5.4901960784313725E-2</v>
      </c>
      <c r="DG50" s="210">
        <f t="shared" si="142"/>
        <v>0</v>
      </c>
      <c r="DH50" s="210">
        <f t="shared" si="142"/>
        <v>0</v>
      </c>
      <c r="DI50" s="210">
        <f t="shared" si="142"/>
        <v>0</v>
      </c>
      <c r="DJ50" s="210">
        <f t="shared" si="142"/>
        <v>0</v>
      </c>
      <c r="DK50" s="210">
        <f t="shared" si="142"/>
        <v>0</v>
      </c>
      <c r="DL50" s="65">
        <f t="shared" si="136"/>
        <v>0</v>
      </c>
      <c r="DM50" s="210">
        <f t="shared" si="136"/>
        <v>0</v>
      </c>
      <c r="DN50" s="210">
        <f t="shared" si="136"/>
        <v>0</v>
      </c>
      <c r="DO50" s="210">
        <f t="shared" si="136"/>
        <v>0</v>
      </c>
      <c r="DP50" s="210">
        <f t="shared" si="136"/>
        <v>0</v>
      </c>
      <c r="DQ50" s="210">
        <f t="shared" si="83"/>
        <v>0</v>
      </c>
      <c r="DR50" s="210">
        <f t="shared" si="83"/>
        <v>0</v>
      </c>
      <c r="DS50" s="210">
        <f t="shared" si="83"/>
        <v>0</v>
      </c>
      <c r="DT50" s="201"/>
    </row>
    <row r="51" spans="1:124" ht="26.25" hidden="1" customHeight="1" outlineLevel="1" collapsed="1" x14ac:dyDescent="0.4">
      <c r="A51" s="347">
        <v>23</v>
      </c>
      <c r="B51" s="347" t="s">
        <v>47</v>
      </c>
      <c r="C51" s="347" t="s">
        <v>347</v>
      </c>
      <c r="D51" s="349" t="s">
        <v>348</v>
      </c>
      <c r="E51" s="349" t="s">
        <v>604</v>
      </c>
      <c r="F51" s="349" t="s">
        <v>605</v>
      </c>
      <c r="G51" s="563" t="s">
        <v>606</v>
      </c>
      <c r="H51" s="449">
        <f t="shared" ref="H51" si="143">SUM(DE51:DK51)</f>
        <v>0</v>
      </c>
      <c r="I51" s="449">
        <f t="shared" ref="I51" si="144">SUM(DE52:DK52)</f>
        <v>0</v>
      </c>
      <c r="J51" s="447"/>
      <c r="K51" s="445"/>
      <c r="L51" s="445"/>
      <c r="M51" s="428"/>
      <c r="N51" s="52" t="s">
        <v>24</v>
      </c>
      <c r="O51" s="190">
        <f t="shared" si="96"/>
        <v>0</v>
      </c>
      <c r="P51" s="190">
        <f t="shared" si="96"/>
        <v>0</v>
      </c>
      <c r="Q51" s="190">
        <f t="shared" si="96"/>
        <v>0</v>
      </c>
      <c r="R51" s="190">
        <f t="shared" si="96"/>
        <v>0</v>
      </c>
      <c r="S51" s="190">
        <f t="shared" si="96"/>
        <v>0</v>
      </c>
      <c r="T51" s="190">
        <f t="shared" si="96"/>
        <v>0</v>
      </c>
      <c r="U51" s="190">
        <f t="shared" si="96"/>
        <v>0</v>
      </c>
      <c r="V51" s="190">
        <f t="shared" si="97"/>
        <v>0</v>
      </c>
      <c r="W51" s="190">
        <f t="shared" si="97"/>
        <v>0</v>
      </c>
      <c r="X51" s="86">
        <f t="shared" si="96"/>
        <v>0</v>
      </c>
      <c r="Y51" s="23">
        <f t="shared" si="118"/>
        <v>0</v>
      </c>
      <c r="Z51" s="59">
        <f t="shared" si="118"/>
        <v>0</v>
      </c>
      <c r="AA51" s="59">
        <f t="shared" si="118"/>
        <v>0</v>
      </c>
      <c r="AB51" s="59">
        <f t="shared" si="118"/>
        <v>0</v>
      </c>
      <c r="AC51" s="59">
        <f t="shared" si="118"/>
        <v>0</v>
      </c>
      <c r="AD51" s="59">
        <f t="shared" si="118"/>
        <v>0</v>
      </c>
      <c r="AE51" s="59">
        <f t="shared" si="119"/>
        <v>0</v>
      </c>
      <c r="AF51" s="59"/>
      <c r="AG51" s="59">
        <f t="shared" si="119"/>
        <v>0</v>
      </c>
      <c r="AH51" s="59">
        <f t="shared" si="119"/>
        <v>0</v>
      </c>
      <c r="AI51" s="23">
        <f t="shared" si="139"/>
        <v>0</v>
      </c>
      <c r="AJ51" s="59">
        <f t="shared" si="139"/>
        <v>0</v>
      </c>
      <c r="AK51" s="59">
        <f t="shared" si="139"/>
        <v>0</v>
      </c>
      <c r="AL51" s="59">
        <f t="shared" si="139"/>
        <v>0</v>
      </c>
      <c r="AM51" s="59">
        <f t="shared" si="139"/>
        <v>0</v>
      </c>
      <c r="AN51" s="59">
        <f t="shared" si="131"/>
        <v>0</v>
      </c>
      <c r="AO51" s="59">
        <f t="shared" si="131"/>
        <v>0</v>
      </c>
      <c r="AP51" s="59">
        <f t="shared" si="139"/>
        <v>0</v>
      </c>
      <c r="AQ51" s="59">
        <f t="shared" si="139"/>
        <v>0</v>
      </c>
      <c r="AR51" s="59">
        <f t="shared" si="139"/>
        <v>0</v>
      </c>
      <c r="AS51" s="23">
        <f t="shared" si="112"/>
        <v>0</v>
      </c>
      <c r="AT51" s="190">
        <f t="shared" si="107"/>
        <v>0</v>
      </c>
      <c r="AU51" s="190">
        <f t="shared" si="107"/>
        <v>0</v>
      </c>
      <c r="AV51" s="190">
        <f t="shared" si="107"/>
        <v>0</v>
      </c>
      <c r="AW51" s="190">
        <f>(14)/165</f>
        <v>8.4848484848484854E-2</v>
      </c>
      <c r="AX51" s="190">
        <f t="shared" si="107"/>
        <v>0</v>
      </c>
      <c r="AY51" s="190">
        <f t="shared" si="107"/>
        <v>0</v>
      </c>
      <c r="AZ51" s="190">
        <f t="shared" si="107"/>
        <v>0</v>
      </c>
      <c r="BA51" s="190">
        <f t="shared" si="107"/>
        <v>0</v>
      </c>
      <c r="BB51" s="225">
        <f>(14)/165</f>
        <v>8.4848484848484854E-2</v>
      </c>
      <c r="BC51" s="77">
        <f t="shared" si="113"/>
        <v>0</v>
      </c>
      <c r="BD51" s="190">
        <f t="shared" si="113"/>
        <v>0</v>
      </c>
      <c r="BE51" s="190">
        <f t="shared" si="108"/>
        <v>0</v>
      </c>
      <c r="BF51" s="190">
        <f t="shared" si="108"/>
        <v>0</v>
      </c>
      <c r="BG51" s="190">
        <f t="shared" si="108"/>
        <v>0</v>
      </c>
      <c r="BH51" s="190">
        <f t="shared" si="108"/>
        <v>0</v>
      </c>
      <c r="BI51" s="190">
        <f t="shared" si="108"/>
        <v>0</v>
      </c>
      <c r="BJ51" s="190">
        <f t="shared" si="108"/>
        <v>0</v>
      </c>
      <c r="BK51" s="190">
        <f t="shared" si="108"/>
        <v>0</v>
      </c>
      <c r="BL51" s="190">
        <f t="shared" si="108"/>
        <v>0</v>
      </c>
      <c r="BM51" s="77">
        <f t="shared" si="114"/>
        <v>0</v>
      </c>
      <c r="BN51" s="190">
        <f t="shared" si="114"/>
        <v>0</v>
      </c>
      <c r="BO51" s="190">
        <f t="shared" si="114"/>
        <v>0</v>
      </c>
      <c r="BP51" s="190">
        <f t="shared" si="114"/>
        <v>0</v>
      </c>
      <c r="BQ51" s="190">
        <f t="shared" si="114"/>
        <v>0</v>
      </c>
      <c r="BR51" s="190">
        <f t="shared" si="109"/>
        <v>0</v>
      </c>
      <c r="BS51" s="190">
        <f t="shared" si="109"/>
        <v>0</v>
      </c>
      <c r="BT51" s="190">
        <f t="shared" si="109"/>
        <v>0</v>
      </c>
      <c r="BU51" s="190">
        <f t="shared" si="109"/>
        <v>0</v>
      </c>
      <c r="BV51" s="190">
        <f t="shared" si="109"/>
        <v>0</v>
      </c>
      <c r="BW51" s="23">
        <f t="shared" ref="BW51:BX58" si="145">(0)/150</f>
        <v>0</v>
      </c>
      <c r="BX51" s="190">
        <f t="shared" si="145"/>
        <v>0</v>
      </c>
      <c r="BY51" s="190">
        <f t="shared" si="58"/>
        <v>0</v>
      </c>
      <c r="BZ51" s="190">
        <f t="shared" ref="BZ51:CD56" si="146">(0)/150</f>
        <v>0</v>
      </c>
      <c r="CA51" s="190">
        <f t="shared" si="146"/>
        <v>0</v>
      </c>
      <c r="CB51" s="190">
        <f t="shared" si="146"/>
        <v>0</v>
      </c>
      <c r="CC51" s="190">
        <f t="shared" si="146"/>
        <v>0</v>
      </c>
      <c r="CD51" s="190">
        <f t="shared" si="146"/>
        <v>0</v>
      </c>
      <c r="CE51" s="190">
        <f t="shared" si="59"/>
        <v>0</v>
      </c>
      <c r="CF51" s="190">
        <f t="shared" si="52"/>
        <v>0</v>
      </c>
      <c r="CG51" s="23">
        <f t="shared" ref="CG51:CP60" si="147">(0)/135</f>
        <v>0</v>
      </c>
      <c r="CH51" s="190">
        <f t="shared" si="147"/>
        <v>0</v>
      </c>
      <c r="CI51" s="190">
        <f t="shared" si="147"/>
        <v>0</v>
      </c>
      <c r="CJ51" s="190">
        <f t="shared" si="147"/>
        <v>0</v>
      </c>
      <c r="CK51" s="190">
        <f t="shared" si="147"/>
        <v>0</v>
      </c>
      <c r="CL51" s="190">
        <f t="shared" si="147"/>
        <v>0</v>
      </c>
      <c r="CM51" s="190">
        <f t="shared" si="147"/>
        <v>0</v>
      </c>
      <c r="CN51" s="190">
        <f t="shared" si="147"/>
        <v>0</v>
      </c>
      <c r="CO51" s="190">
        <f t="shared" si="147"/>
        <v>0</v>
      </c>
      <c r="CP51" s="190">
        <f t="shared" si="147"/>
        <v>0</v>
      </c>
      <c r="CQ51" s="23">
        <f t="shared" si="126"/>
        <v>0</v>
      </c>
      <c r="CR51" s="190">
        <f t="shared" si="126"/>
        <v>0</v>
      </c>
      <c r="CS51" s="190">
        <f t="shared" si="126"/>
        <v>0</v>
      </c>
      <c r="CT51" s="190">
        <f t="shared" si="126"/>
        <v>0</v>
      </c>
      <c r="CU51" s="190">
        <f t="shared" si="126"/>
        <v>0</v>
      </c>
      <c r="CV51" s="190">
        <f t="shared" si="126"/>
        <v>0</v>
      </c>
      <c r="CW51" s="190">
        <f t="shared" ref="CQ51:CW82" si="148">(0)/135</f>
        <v>0</v>
      </c>
      <c r="CX51" s="77">
        <f t="shared" si="127"/>
        <v>0</v>
      </c>
      <c r="CY51" s="190">
        <f t="shared" si="127"/>
        <v>0</v>
      </c>
      <c r="CZ51" s="190">
        <f t="shared" si="127"/>
        <v>0</v>
      </c>
      <c r="DA51" s="190">
        <f t="shared" si="127"/>
        <v>0</v>
      </c>
      <c r="DB51" s="190">
        <f t="shared" si="127"/>
        <v>0</v>
      </c>
      <c r="DC51" s="190">
        <f t="shared" si="81"/>
        <v>0</v>
      </c>
      <c r="DD51" s="190">
        <f t="shared" si="81"/>
        <v>0</v>
      </c>
      <c r="DE51" s="23">
        <f t="shared" ref="DE51:DI60" si="149">0/127.5</f>
        <v>0</v>
      </c>
      <c r="DF51" s="190">
        <f t="shared" si="149"/>
        <v>0</v>
      </c>
      <c r="DG51" s="190">
        <f t="shared" si="149"/>
        <v>0</v>
      </c>
      <c r="DH51" s="190">
        <f t="shared" si="149"/>
        <v>0</v>
      </c>
      <c r="DI51" s="190">
        <f t="shared" si="149"/>
        <v>0</v>
      </c>
      <c r="DJ51" s="190">
        <f t="shared" si="82"/>
        <v>0</v>
      </c>
      <c r="DK51" s="190">
        <f t="shared" si="82"/>
        <v>0</v>
      </c>
      <c r="DL51" s="23">
        <f t="shared" si="136"/>
        <v>0</v>
      </c>
      <c r="DM51" s="190">
        <f t="shared" si="136"/>
        <v>0</v>
      </c>
      <c r="DN51" s="190">
        <f t="shared" si="136"/>
        <v>0</v>
      </c>
      <c r="DO51" s="190">
        <f t="shared" si="136"/>
        <v>0</v>
      </c>
      <c r="DP51" s="190">
        <f t="shared" si="136"/>
        <v>0</v>
      </c>
      <c r="DQ51" s="190">
        <f t="shared" si="83"/>
        <v>0</v>
      </c>
      <c r="DR51" s="190">
        <f t="shared" si="83"/>
        <v>0</v>
      </c>
      <c r="DS51" s="190">
        <f t="shared" si="83"/>
        <v>0</v>
      </c>
      <c r="DT51" s="201"/>
    </row>
    <row r="52" spans="1:124" ht="26.25" hidden="1" customHeight="1" outlineLevel="1" x14ac:dyDescent="0.4">
      <c r="A52" s="348"/>
      <c r="B52" s="348"/>
      <c r="C52" s="348"/>
      <c r="D52" s="350"/>
      <c r="E52" s="350"/>
      <c r="F52" s="350"/>
      <c r="G52" s="565"/>
      <c r="H52" s="450"/>
      <c r="I52" s="450"/>
      <c r="J52" s="448"/>
      <c r="K52" s="446"/>
      <c r="L52" s="446"/>
      <c r="M52" s="429"/>
      <c r="N52" s="43" t="s">
        <v>25</v>
      </c>
      <c r="O52" s="209">
        <f t="shared" si="96"/>
        <v>0</v>
      </c>
      <c r="P52" s="209">
        <f t="shared" si="96"/>
        <v>0</v>
      </c>
      <c r="Q52" s="209">
        <f t="shared" si="96"/>
        <v>0</v>
      </c>
      <c r="R52" s="209">
        <f t="shared" si="96"/>
        <v>0</v>
      </c>
      <c r="S52" s="209">
        <f t="shared" si="96"/>
        <v>0</v>
      </c>
      <c r="T52" s="209">
        <f t="shared" si="96"/>
        <v>0</v>
      </c>
      <c r="U52" s="209">
        <f t="shared" si="96"/>
        <v>0</v>
      </c>
      <c r="V52" s="209">
        <f t="shared" si="97"/>
        <v>0</v>
      </c>
      <c r="W52" s="209">
        <f t="shared" si="97"/>
        <v>0</v>
      </c>
      <c r="X52" s="53">
        <f t="shared" si="96"/>
        <v>0</v>
      </c>
      <c r="Y52" s="24">
        <f t="shared" si="118"/>
        <v>0</v>
      </c>
      <c r="Z52" s="56">
        <f t="shared" si="118"/>
        <v>0</v>
      </c>
      <c r="AA52" s="56">
        <f t="shared" si="118"/>
        <v>0</v>
      </c>
      <c r="AB52" s="56">
        <f t="shared" si="118"/>
        <v>0</v>
      </c>
      <c r="AC52" s="56">
        <f t="shared" si="118"/>
        <v>0</v>
      </c>
      <c r="AD52" s="56">
        <f t="shared" si="118"/>
        <v>0</v>
      </c>
      <c r="AE52" s="61">
        <f t="shared" si="119"/>
        <v>0</v>
      </c>
      <c r="AF52" s="61"/>
      <c r="AG52" s="61">
        <f t="shared" si="119"/>
        <v>0</v>
      </c>
      <c r="AH52" s="61">
        <f t="shared" si="119"/>
        <v>0</v>
      </c>
      <c r="AI52" s="65">
        <f t="shared" si="139"/>
        <v>0</v>
      </c>
      <c r="AJ52" s="61">
        <f t="shared" si="139"/>
        <v>0</v>
      </c>
      <c r="AK52" s="61">
        <f t="shared" si="139"/>
        <v>0</v>
      </c>
      <c r="AL52" s="61">
        <f t="shared" si="139"/>
        <v>0</v>
      </c>
      <c r="AM52" s="61">
        <f t="shared" si="139"/>
        <v>0</v>
      </c>
      <c r="AN52" s="61">
        <f t="shared" si="131"/>
        <v>0</v>
      </c>
      <c r="AO52" s="61">
        <f t="shared" si="131"/>
        <v>0</v>
      </c>
      <c r="AP52" s="61">
        <f t="shared" si="139"/>
        <v>0</v>
      </c>
      <c r="AQ52" s="61">
        <f t="shared" si="139"/>
        <v>0</v>
      </c>
      <c r="AR52" s="61">
        <f t="shared" si="139"/>
        <v>0</v>
      </c>
      <c r="AS52" s="65">
        <f t="shared" si="112"/>
        <v>0</v>
      </c>
      <c r="AT52" s="210">
        <f t="shared" si="112"/>
        <v>0</v>
      </c>
      <c r="AU52" s="210">
        <f t="shared" si="112"/>
        <v>0</v>
      </c>
      <c r="AV52" s="210">
        <f t="shared" si="112"/>
        <v>0</v>
      </c>
      <c r="AW52" s="210">
        <f>(11.5+4)/165</f>
        <v>9.3939393939393934E-2</v>
      </c>
      <c r="AX52" s="210">
        <f t="shared" si="112"/>
        <v>0</v>
      </c>
      <c r="AY52" s="210">
        <f t="shared" si="112"/>
        <v>0</v>
      </c>
      <c r="AZ52" s="210">
        <f t="shared" si="112"/>
        <v>0</v>
      </c>
      <c r="BA52" s="210">
        <f t="shared" si="112"/>
        <v>0</v>
      </c>
      <c r="BB52" s="53">
        <f>(8.5+2)/165</f>
        <v>6.363636363636363E-2</v>
      </c>
      <c r="BC52" s="58">
        <f t="shared" si="113"/>
        <v>0</v>
      </c>
      <c r="BD52" s="209">
        <f t="shared" si="113"/>
        <v>0</v>
      </c>
      <c r="BE52" s="209">
        <f t="shared" si="108"/>
        <v>0</v>
      </c>
      <c r="BF52" s="209">
        <f t="shared" si="108"/>
        <v>0</v>
      </c>
      <c r="BG52" s="209">
        <f t="shared" si="108"/>
        <v>0</v>
      </c>
      <c r="BH52" s="209">
        <f t="shared" si="108"/>
        <v>0</v>
      </c>
      <c r="BI52" s="209">
        <f t="shared" si="108"/>
        <v>0</v>
      </c>
      <c r="BJ52" s="209">
        <f t="shared" si="108"/>
        <v>0</v>
      </c>
      <c r="BK52" s="209">
        <f t="shared" si="108"/>
        <v>0</v>
      </c>
      <c r="BL52" s="209">
        <f t="shared" si="108"/>
        <v>0</v>
      </c>
      <c r="BM52" s="58">
        <f t="shared" si="114"/>
        <v>0</v>
      </c>
      <c r="BN52" s="209">
        <f t="shared" si="114"/>
        <v>0</v>
      </c>
      <c r="BO52" s="209">
        <f t="shared" si="114"/>
        <v>0</v>
      </c>
      <c r="BP52" s="209">
        <f t="shared" si="114"/>
        <v>0</v>
      </c>
      <c r="BQ52" s="209">
        <f t="shared" si="114"/>
        <v>0</v>
      </c>
      <c r="BR52" s="209">
        <f t="shared" si="109"/>
        <v>0</v>
      </c>
      <c r="BS52" s="209">
        <f t="shared" si="109"/>
        <v>0</v>
      </c>
      <c r="BT52" s="209">
        <f t="shared" si="109"/>
        <v>0</v>
      </c>
      <c r="BU52" s="209">
        <f t="shared" si="109"/>
        <v>0</v>
      </c>
      <c r="BV52" s="209">
        <f t="shared" si="109"/>
        <v>0</v>
      </c>
      <c r="BW52" s="65">
        <f t="shared" si="145"/>
        <v>0</v>
      </c>
      <c r="BX52" s="209">
        <f t="shared" si="145"/>
        <v>0</v>
      </c>
      <c r="BY52" s="209">
        <f t="shared" si="58"/>
        <v>0</v>
      </c>
      <c r="BZ52" s="209">
        <f t="shared" si="146"/>
        <v>0</v>
      </c>
      <c r="CA52" s="209">
        <f t="shared" si="146"/>
        <v>0</v>
      </c>
      <c r="CB52" s="209">
        <f t="shared" si="146"/>
        <v>0</v>
      </c>
      <c r="CC52" s="209">
        <f t="shared" si="146"/>
        <v>0</v>
      </c>
      <c r="CD52" s="209">
        <f t="shared" si="146"/>
        <v>0</v>
      </c>
      <c r="CE52" s="209">
        <f t="shared" si="59"/>
        <v>0</v>
      </c>
      <c r="CF52" s="209">
        <f t="shared" si="52"/>
        <v>0</v>
      </c>
      <c r="CG52" s="65">
        <f t="shared" si="147"/>
        <v>0</v>
      </c>
      <c r="CH52" s="209">
        <f t="shared" si="147"/>
        <v>0</v>
      </c>
      <c r="CI52" s="209">
        <f t="shared" si="147"/>
        <v>0</v>
      </c>
      <c r="CJ52" s="209">
        <f t="shared" si="147"/>
        <v>0</v>
      </c>
      <c r="CK52" s="209">
        <f t="shared" si="147"/>
        <v>0</v>
      </c>
      <c r="CL52" s="209">
        <f t="shared" si="147"/>
        <v>0</v>
      </c>
      <c r="CM52" s="209">
        <f t="shared" si="147"/>
        <v>0</v>
      </c>
      <c r="CN52" s="209">
        <f t="shared" si="147"/>
        <v>0</v>
      </c>
      <c r="CO52" s="209">
        <f t="shared" si="147"/>
        <v>0</v>
      </c>
      <c r="CP52" s="209">
        <f t="shared" si="147"/>
        <v>0</v>
      </c>
      <c r="CQ52" s="65">
        <f t="shared" si="148"/>
        <v>0</v>
      </c>
      <c r="CR52" s="209">
        <f t="shared" si="148"/>
        <v>0</v>
      </c>
      <c r="CS52" s="209">
        <f t="shared" si="148"/>
        <v>0</v>
      </c>
      <c r="CT52" s="209">
        <f t="shared" si="148"/>
        <v>0</v>
      </c>
      <c r="CU52" s="209">
        <f t="shared" si="148"/>
        <v>0</v>
      </c>
      <c r="CV52" s="209">
        <f t="shared" si="148"/>
        <v>0</v>
      </c>
      <c r="CW52" s="209">
        <f t="shared" si="148"/>
        <v>0</v>
      </c>
      <c r="CX52" s="65">
        <f t="shared" si="127"/>
        <v>0</v>
      </c>
      <c r="CY52" s="210">
        <f t="shared" si="127"/>
        <v>0</v>
      </c>
      <c r="CZ52" s="210">
        <f t="shared" si="127"/>
        <v>0</v>
      </c>
      <c r="DA52" s="210">
        <f t="shared" si="127"/>
        <v>0</v>
      </c>
      <c r="DB52" s="210">
        <f t="shared" si="127"/>
        <v>0</v>
      </c>
      <c r="DC52" s="210">
        <f t="shared" si="81"/>
        <v>0</v>
      </c>
      <c r="DD52" s="209">
        <f t="shared" si="81"/>
        <v>0</v>
      </c>
      <c r="DE52" s="65">
        <f t="shared" si="149"/>
        <v>0</v>
      </c>
      <c r="DF52" s="210">
        <f t="shared" si="149"/>
        <v>0</v>
      </c>
      <c r="DG52" s="210">
        <f t="shared" si="149"/>
        <v>0</v>
      </c>
      <c r="DH52" s="210">
        <f t="shared" si="149"/>
        <v>0</v>
      </c>
      <c r="DI52" s="210">
        <f t="shared" si="149"/>
        <v>0</v>
      </c>
      <c r="DJ52" s="210">
        <f t="shared" si="82"/>
        <v>0</v>
      </c>
      <c r="DK52" s="210">
        <f t="shared" si="82"/>
        <v>0</v>
      </c>
      <c r="DL52" s="65">
        <f t="shared" si="136"/>
        <v>0</v>
      </c>
      <c r="DM52" s="210">
        <f t="shared" si="136"/>
        <v>0</v>
      </c>
      <c r="DN52" s="210">
        <f t="shared" si="136"/>
        <v>0</v>
      </c>
      <c r="DO52" s="210">
        <f t="shared" si="136"/>
        <v>0</v>
      </c>
      <c r="DP52" s="210">
        <f t="shared" si="136"/>
        <v>0</v>
      </c>
      <c r="DQ52" s="210">
        <f t="shared" si="83"/>
        <v>0</v>
      </c>
      <c r="DR52" s="210">
        <f t="shared" si="83"/>
        <v>0</v>
      </c>
      <c r="DS52" s="210">
        <f t="shared" si="83"/>
        <v>0</v>
      </c>
      <c r="DT52" s="201"/>
    </row>
    <row r="53" spans="1:124" ht="26.25" hidden="1" customHeight="1" outlineLevel="1" collapsed="1" x14ac:dyDescent="0.4">
      <c r="A53" s="347">
        <v>24</v>
      </c>
      <c r="B53" s="347" t="s">
        <v>47</v>
      </c>
      <c r="C53" s="347" t="s">
        <v>14</v>
      </c>
      <c r="D53" s="349" t="s">
        <v>517</v>
      </c>
      <c r="E53" s="349" t="s">
        <v>614</v>
      </c>
      <c r="F53" s="349"/>
      <c r="G53" s="563" t="s">
        <v>615</v>
      </c>
      <c r="H53" s="449">
        <f t="shared" ref="H53" si="150">SUM(DE53:DK53)</f>
        <v>0</v>
      </c>
      <c r="I53" s="449">
        <f t="shared" ref="I53" si="151">SUM(DE54:DK54)</f>
        <v>0</v>
      </c>
      <c r="J53" s="447"/>
      <c r="K53" s="445"/>
      <c r="L53" s="445"/>
      <c r="M53" s="428"/>
      <c r="N53" s="52" t="s">
        <v>24</v>
      </c>
      <c r="O53" s="190">
        <f t="shared" si="96"/>
        <v>0</v>
      </c>
      <c r="P53" s="190">
        <f t="shared" si="96"/>
        <v>0</v>
      </c>
      <c r="Q53" s="190">
        <f t="shared" si="96"/>
        <v>0</v>
      </c>
      <c r="R53" s="190">
        <f t="shared" si="96"/>
        <v>0</v>
      </c>
      <c r="S53" s="190">
        <f t="shared" si="96"/>
        <v>0</v>
      </c>
      <c r="T53" s="190">
        <f t="shared" si="96"/>
        <v>0</v>
      </c>
      <c r="U53" s="190">
        <f t="shared" si="96"/>
        <v>0</v>
      </c>
      <c r="V53" s="190">
        <f t="shared" si="97"/>
        <v>0</v>
      </c>
      <c r="W53" s="190">
        <f t="shared" si="97"/>
        <v>0</v>
      </c>
      <c r="X53" s="86">
        <f t="shared" si="96"/>
        <v>0</v>
      </c>
      <c r="Y53" s="23">
        <f t="shared" si="118"/>
        <v>0</v>
      </c>
      <c r="Z53" s="59">
        <f t="shared" si="118"/>
        <v>0</v>
      </c>
      <c r="AA53" s="59">
        <f t="shared" si="118"/>
        <v>0</v>
      </c>
      <c r="AB53" s="59">
        <f t="shared" si="118"/>
        <v>0</v>
      </c>
      <c r="AC53" s="59">
        <f t="shared" si="118"/>
        <v>0</v>
      </c>
      <c r="AD53" s="59">
        <f t="shared" si="118"/>
        <v>0</v>
      </c>
      <c r="AE53" s="59">
        <f t="shared" si="119"/>
        <v>0</v>
      </c>
      <c r="AF53" s="59"/>
      <c r="AG53" s="59">
        <f t="shared" si="119"/>
        <v>0</v>
      </c>
      <c r="AH53" s="59">
        <f t="shared" si="119"/>
        <v>0</v>
      </c>
      <c r="AI53" s="23">
        <f t="shared" si="139"/>
        <v>0</v>
      </c>
      <c r="AJ53" s="59">
        <f t="shared" si="139"/>
        <v>0</v>
      </c>
      <c r="AK53" s="59">
        <f t="shared" si="139"/>
        <v>0</v>
      </c>
      <c r="AL53" s="59">
        <f t="shared" si="139"/>
        <v>0</v>
      </c>
      <c r="AM53" s="59">
        <f t="shared" si="139"/>
        <v>0</v>
      </c>
      <c r="AN53" s="59">
        <f t="shared" si="131"/>
        <v>0</v>
      </c>
      <c r="AO53" s="59">
        <f t="shared" si="131"/>
        <v>0</v>
      </c>
      <c r="AP53" s="59">
        <f t="shared" si="139"/>
        <v>0</v>
      </c>
      <c r="AQ53" s="59">
        <f t="shared" si="139"/>
        <v>0</v>
      </c>
      <c r="AR53" s="59">
        <f t="shared" si="139"/>
        <v>0</v>
      </c>
      <c r="AS53" s="23">
        <f t="shared" si="112"/>
        <v>0</v>
      </c>
      <c r="AT53" s="190">
        <f t="shared" si="107"/>
        <v>0</v>
      </c>
      <c r="AU53" s="190">
        <f>(15)/165</f>
        <v>9.0909090909090912E-2</v>
      </c>
      <c r="AV53" s="190">
        <f>(40)/165</f>
        <v>0.24242424242424243</v>
      </c>
      <c r="AW53" s="190">
        <f t="shared" si="107"/>
        <v>0</v>
      </c>
      <c r="AX53" s="190">
        <f>(20)/165</f>
        <v>0.12121212121212122</v>
      </c>
      <c r="AY53" s="190">
        <f t="shared" si="107"/>
        <v>0</v>
      </c>
      <c r="AZ53" s="190">
        <f>(40)/165</f>
        <v>0.24242424242424243</v>
      </c>
      <c r="BA53" s="190">
        <f t="shared" si="107"/>
        <v>0</v>
      </c>
      <c r="BB53" s="225">
        <f>(14)/165</f>
        <v>8.4848484848484854E-2</v>
      </c>
      <c r="BC53" s="77">
        <f t="shared" si="113"/>
        <v>0</v>
      </c>
      <c r="BD53" s="190">
        <f t="shared" si="113"/>
        <v>0</v>
      </c>
      <c r="BE53" s="190">
        <f>(6)/157.5</f>
        <v>3.8095238095238099E-2</v>
      </c>
      <c r="BF53" s="190">
        <f t="shared" si="108"/>
        <v>0</v>
      </c>
      <c r="BG53" s="190">
        <f t="shared" si="108"/>
        <v>0</v>
      </c>
      <c r="BH53" s="190">
        <f t="shared" si="108"/>
        <v>0</v>
      </c>
      <c r="BI53" s="190">
        <f t="shared" si="108"/>
        <v>0</v>
      </c>
      <c r="BJ53" s="190">
        <f>(6)/157.5</f>
        <v>3.8095238095238099E-2</v>
      </c>
      <c r="BK53" s="190">
        <f t="shared" si="108"/>
        <v>0</v>
      </c>
      <c r="BL53" s="190">
        <f t="shared" si="108"/>
        <v>0</v>
      </c>
      <c r="BM53" s="77">
        <f t="shared" si="114"/>
        <v>0</v>
      </c>
      <c r="BN53" s="190">
        <f t="shared" si="114"/>
        <v>0</v>
      </c>
      <c r="BO53" s="190">
        <f t="shared" si="114"/>
        <v>0</v>
      </c>
      <c r="BP53" s="190">
        <f t="shared" si="114"/>
        <v>0</v>
      </c>
      <c r="BQ53" s="190">
        <f t="shared" si="114"/>
        <v>0</v>
      </c>
      <c r="BR53" s="190">
        <f t="shared" si="109"/>
        <v>0</v>
      </c>
      <c r="BS53" s="190">
        <f t="shared" si="109"/>
        <v>0</v>
      </c>
      <c r="BT53" s="190">
        <f t="shared" si="109"/>
        <v>0</v>
      </c>
      <c r="BU53" s="190">
        <f t="shared" si="109"/>
        <v>0</v>
      </c>
      <c r="BV53" s="190">
        <f t="shared" si="109"/>
        <v>0</v>
      </c>
      <c r="BW53" s="23">
        <f t="shared" si="145"/>
        <v>0</v>
      </c>
      <c r="BX53" s="190">
        <f t="shared" si="145"/>
        <v>0</v>
      </c>
      <c r="BY53" s="190">
        <f t="shared" si="58"/>
        <v>0</v>
      </c>
      <c r="BZ53" s="190">
        <f t="shared" si="146"/>
        <v>0</v>
      </c>
      <c r="CA53" s="190">
        <f t="shared" si="146"/>
        <v>0</v>
      </c>
      <c r="CB53" s="190">
        <f t="shared" si="146"/>
        <v>0</v>
      </c>
      <c r="CC53" s="190">
        <f t="shared" si="146"/>
        <v>0</v>
      </c>
      <c r="CD53" s="190">
        <f t="shared" si="146"/>
        <v>0</v>
      </c>
      <c r="CE53" s="190">
        <f t="shared" si="59"/>
        <v>0</v>
      </c>
      <c r="CF53" s="190">
        <f t="shared" si="52"/>
        <v>0</v>
      </c>
      <c r="CG53" s="23">
        <f t="shared" si="147"/>
        <v>0</v>
      </c>
      <c r="CH53" s="190">
        <f t="shared" si="147"/>
        <v>0</v>
      </c>
      <c r="CI53" s="190">
        <f t="shared" si="147"/>
        <v>0</v>
      </c>
      <c r="CJ53" s="190">
        <f t="shared" si="147"/>
        <v>0</v>
      </c>
      <c r="CK53" s="190">
        <f t="shared" si="147"/>
        <v>0</v>
      </c>
      <c r="CL53" s="190">
        <f t="shared" si="147"/>
        <v>0</v>
      </c>
      <c r="CM53" s="190">
        <f t="shared" si="147"/>
        <v>0</v>
      </c>
      <c r="CN53" s="190">
        <f t="shared" si="147"/>
        <v>0</v>
      </c>
      <c r="CO53" s="190">
        <f t="shared" si="147"/>
        <v>0</v>
      </c>
      <c r="CP53" s="190">
        <f t="shared" si="147"/>
        <v>0</v>
      </c>
      <c r="CQ53" s="23">
        <f t="shared" si="126"/>
        <v>0</v>
      </c>
      <c r="CR53" s="190">
        <f t="shared" si="126"/>
        <v>0</v>
      </c>
      <c r="CS53" s="190">
        <f t="shared" si="126"/>
        <v>0</v>
      </c>
      <c r="CT53" s="190">
        <f t="shared" si="126"/>
        <v>0</v>
      </c>
      <c r="CU53" s="190">
        <f t="shared" si="126"/>
        <v>0</v>
      </c>
      <c r="CV53" s="190">
        <f t="shared" si="126"/>
        <v>0</v>
      </c>
      <c r="CW53" s="190">
        <f t="shared" si="148"/>
        <v>0</v>
      </c>
      <c r="CX53" s="77">
        <f t="shared" si="127"/>
        <v>0</v>
      </c>
      <c r="CY53" s="190">
        <f t="shared" si="127"/>
        <v>0</v>
      </c>
      <c r="CZ53" s="190">
        <f t="shared" si="127"/>
        <v>0</v>
      </c>
      <c r="DA53" s="190">
        <f t="shared" si="127"/>
        <v>0</v>
      </c>
      <c r="DB53" s="190">
        <f t="shared" si="127"/>
        <v>0</v>
      </c>
      <c r="DC53" s="190">
        <f t="shared" si="81"/>
        <v>0</v>
      </c>
      <c r="DD53" s="190">
        <f t="shared" si="81"/>
        <v>0</v>
      </c>
      <c r="DE53" s="23">
        <f t="shared" si="149"/>
        <v>0</v>
      </c>
      <c r="DF53" s="190">
        <f t="shared" si="149"/>
        <v>0</v>
      </c>
      <c r="DG53" s="190">
        <f t="shared" si="149"/>
        <v>0</v>
      </c>
      <c r="DH53" s="190">
        <f t="shared" si="149"/>
        <v>0</v>
      </c>
      <c r="DI53" s="190">
        <f t="shared" si="149"/>
        <v>0</v>
      </c>
      <c r="DJ53" s="190">
        <f t="shared" si="82"/>
        <v>0</v>
      </c>
      <c r="DK53" s="190">
        <f t="shared" si="82"/>
        <v>0</v>
      </c>
      <c r="DL53" s="23">
        <f t="shared" si="136"/>
        <v>0</v>
      </c>
      <c r="DM53" s="190">
        <f t="shared" si="136"/>
        <v>0</v>
      </c>
      <c r="DN53" s="190">
        <f t="shared" si="136"/>
        <v>0</v>
      </c>
      <c r="DO53" s="190">
        <f t="shared" si="136"/>
        <v>0</v>
      </c>
      <c r="DP53" s="190">
        <f t="shared" si="136"/>
        <v>0</v>
      </c>
      <c r="DQ53" s="190">
        <f t="shared" si="83"/>
        <v>0</v>
      </c>
      <c r="DR53" s="190">
        <f t="shared" si="83"/>
        <v>0</v>
      </c>
      <c r="DS53" s="190">
        <f t="shared" si="83"/>
        <v>0</v>
      </c>
      <c r="DT53" s="201"/>
    </row>
    <row r="54" spans="1:124" ht="26.25" hidden="1" customHeight="1" outlineLevel="1" x14ac:dyDescent="0.4">
      <c r="A54" s="348"/>
      <c r="B54" s="348"/>
      <c r="C54" s="348"/>
      <c r="D54" s="350"/>
      <c r="E54" s="350"/>
      <c r="F54" s="350"/>
      <c r="G54" s="565"/>
      <c r="H54" s="450"/>
      <c r="I54" s="450"/>
      <c r="J54" s="448"/>
      <c r="K54" s="446"/>
      <c r="L54" s="446"/>
      <c r="M54" s="429"/>
      <c r="N54" s="43" t="s">
        <v>25</v>
      </c>
      <c r="O54" s="209">
        <f t="shared" si="96"/>
        <v>0</v>
      </c>
      <c r="P54" s="209">
        <f t="shared" si="96"/>
        <v>0</v>
      </c>
      <c r="Q54" s="209">
        <f t="shared" si="96"/>
        <v>0</v>
      </c>
      <c r="R54" s="209">
        <f t="shared" si="96"/>
        <v>0</v>
      </c>
      <c r="S54" s="209">
        <f t="shared" si="96"/>
        <v>0</v>
      </c>
      <c r="T54" s="209">
        <f t="shared" si="96"/>
        <v>0</v>
      </c>
      <c r="U54" s="209">
        <f t="shared" si="96"/>
        <v>0</v>
      </c>
      <c r="V54" s="209">
        <f t="shared" si="97"/>
        <v>0</v>
      </c>
      <c r="W54" s="209">
        <f t="shared" si="97"/>
        <v>0</v>
      </c>
      <c r="X54" s="53">
        <f t="shared" ref="O54:X86" si="152">0/127.5</f>
        <v>0</v>
      </c>
      <c r="Y54" s="24">
        <f t="shared" si="118"/>
        <v>0</v>
      </c>
      <c r="Z54" s="56">
        <f t="shared" si="118"/>
        <v>0</v>
      </c>
      <c r="AA54" s="56">
        <f t="shared" si="118"/>
        <v>0</v>
      </c>
      <c r="AB54" s="56">
        <f t="shared" si="118"/>
        <v>0</v>
      </c>
      <c r="AC54" s="56">
        <f t="shared" si="118"/>
        <v>0</v>
      </c>
      <c r="AD54" s="56">
        <f t="shared" si="118"/>
        <v>0</v>
      </c>
      <c r="AE54" s="61">
        <f t="shared" si="119"/>
        <v>0</v>
      </c>
      <c r="AF54" s="61"/>
      <c r="AG54" s="61">
        <f t="shared" si="119"/>
        <v>0</v>
      </c>
      <c r="AH54" s="61">
        <f t="shared" si="119"/>
        <v>0</v>
      </c>
      <c r="AI54" s="65">
        <f t="shared" si="139"/>
        <v>0</v>
      </c>
      <c r="AJ54" s="61">
        <f t="shared" si="139"/>
        <v>0</v>
      </c>
      <c r="AK54" s="61">
        <f t="shared" si="139"/>
        <v>0</v>
      </c>
      <c r="AL54" s="61">
        <f t="shared" si="139"/>
        <v>0</v>
      </c>
      <c r="AM54" s="61">
        <f t="shared" si="139"/>
        <v>0</v>
      </c>
      <c r="AN54" s="61">
        <f t="shared" si="131"/>
        <v>0</v>
      </c>
      <c r="AO54" s="61">
        <f t="shared" si="131"/>
        <v>0</v>
      </c>
      <c r="AP54" s="61">
        <f t="shared" si="139"/>
        <v>0</v>
      </c>
      <c r="AQ54" s="61">
        <f t="shared" si="139"/>
        <v>0</v>
      </c>
      <c r="AR54" s="61">
        <f t="shared" si="139"/>
        <v>0</v>
      </c>
      <c r="AS54" s="65">
        <f t="shared" ref="AS54" si="153">(0)/165</f>
        <v>0</v>
      </c>
      <c r="AT54" s="210">
        <f t="shared" si="112"/>
        <v>0</v>
      </c>
      <c r="AU54" s="210">
        <f>(7+6.5+1.5)/165</f>
        <v>9.0909090909090912E-2</v>
      </c>
      <c r="AV54" s="210">
        <f>(19+21+3.5)/165</f>
        <v>0.26363636363636361</v>
      </c>
      <c r="AW54" s="210">
        <f t="shared" si="112"/>
        <v>0</v>
      </c>
      <c r="AX54" s="210">
        <f>(0+6.5+2)/165</f>
        <v>5.1515151515151514E-2</v>
      </c>
      <c r="AY54" s="210">
        <f t="shared" si="112"/>
        <v>0</v>
      </c>
      <c r="AZ54" s="210">
        <f>(15+27+6.5+1)/165</f>
        <v>0.3</v>
      </c>
      <c r="BA54" s="210">
        <f t="shared" si="112"/>
        <v>0</v>
      </c>
      <c r="BB54" s="53">
        <f>(0+6.5+3)/165</f>
        <v>5.7575757575757579E-2</v>
      </c>
      <c r="BC54" s="58">
        <f t="shared" si="113"/>
        <v>0</v>
      </c>
      <c r="BD54" s="209">
        <f t="shared" si="113"/>
        <v>0</v>
      </c>
      <c r="BE54" s="209">
        <f>(1.5)/157.5</f>
        <v>9.5238095238095247E-3</v>
      </c>
      <c r="BF54" s="209">
        <f>(5)/157.5</f>
        <v>3.1746031746031744E-2</v>
      </c>
      <c r="BG54" s="209">
        <f t="shared" si="108"/>
        <v>0</v>
      </c>
      <c r="BH54" s="209">
        <f t="shared" si="108"/>
        <v>0</v>
      </c>
      <c r="BI54" s="209">
        <f t="shared" si="108"/>
        <v>0</v>
      </c>
      <c r="BJ54" s="209">
        <f>(5)/157.5</f>
        <v>3.1746031746031744E-2</v>
      </c>
      <c r="BK54" s="209">
        <f t="shared" si="108"/>
        <v>0</v>
      </c>
      <c r="BL54" s="209">
        <f t="shared" si="108"/>
        <v>0</v>
      </c>
      <c r="BM54" s="58">
        <f t="shared" si="114"/>
        <v>0</v>
      </c>
      <c r="BN54" s="209">
        <f t="shared" si="114"/>
        <v>0</v>
      </c>
      <c r="BO54" s="209">
        <f t="shared" si="114"/>
        <v>0</v>
      </c>
      <c r="BP54" s="209">
        <f t="shared" si="114"/>
        <v>0</v>
      </c>
      <c r="BQ54" s="209">
        <f t="shared" si="114"/>
        <v>0</v>
      </c>
      <c r="BR54" s="209">
        <f t="shared" si="109"/>
        <v>0</v>
      </c>
      <c r="BS54" s="209">
        <f t="shared" si="109"/>
        <v>0</v>
      </c>
      <c r="BT54" s="209">
        <f t="shared" si="109"/>
        <v>0</v>
      </c>
      <c r="BU54" s="209">
        <f t="shared" si="109"/>
        <v>0</v>
      </c>
      <c r="BV54" s="209">
        <f t="shared" si="109"/>
        <v>0</v>
      </c>
      <c r="BW54" s="65">
        <f t="shared" si="145"/>
        <v>0</v>
      </c>
      <c r="BX54" s="209">
        <f t="shared" si="145"/>
        <v>0</v>
      </c>
      <c r="BY54" s="209">
        <f t="shared" si="58"/>
        <v>0</v>
      </c>
      <c r="BZ54" s="209">
        <f t="shared" si="146"/>
        <v>0</v>
      </c>
      <c r="CA54" s="209">
        <f t="shared" si="146"/>
        <v>0</v>
      </c>
      <c r="CB54" s="209">
        <f t="shared" si="146"/>
        <v>0</v>
      </c>
      <c r="CC54" s="209">
        <f t="shared" si="146"/>
        <v>0</v>
      </c>
      <c r="CD54" s="209">
        <f t="shared" si="146"/>
        <v>0</v>
      </c>
      <c r="CE54" s="209">
        <f t="shared" si="59"/>
        <v>0</v>
      </c>
      <c r="CF54" s="209">
        <f t="shared" si="52"/>
        <v>0</v>
      </c>
      <c r="CG54" s="65">
        <f t="shared" si="147"/>
        <v>0</v>
      </c>
      <c r="CH54" s="209">
        <f t="shared" si="147"/>
        <v>0</v>
      </c>
      <c r="CI54" s="209">
        <f t="shared" si="147"/>
        <v>0</v>
      </c>
      <c r="CJ54" s="209">
        <f t="shared" si="147"/>
        <v>0</v>
      </c>
      <c r="CK54" s="209">
        <f t="shared" si="147"/>
        <v>0</v>
      </c>
      <c r="CL54" s="209">
        <f t="shared" si="147"/>
        <v>0</v>
      </c>
      <c r="CM54" s="209">
        <f t="shared" si="147"/>
        <v>0</v>
      </c>
      <c r="CN54" s="209">
        <f t="shared" si="147"/>
        <v>0</v>
      </c>
      <c r="CO54" s="209">
        <f t="shared" si="147"/>
        <v>0</v>
      </c>
      <c r="CP54" s="209">
        <f t="shared" si="147"/>
        <v>0</v>
      </c>
      <c r="CQ54" s="65">
        <f t="shared" si="148"/>
        <v>0</v>
      </c>
      <c r="CR54" s="209">
        <f t="shared" si="148"/>
        <v>0</v>
      </c>
      <c r="CS54" s="209">
        <f t="shared" si="148"/>
        <v>0</v>
      </c>
      <c r="CT54" s="209">
        <f t="shared" si="148"/>
        <v>0</v>
      </c>
      <c r="CU54" s="209">
        <f t="shared" si="148"/>
        <v>0</v>
      </c>
      <c r="CV54" s="209">
        <f t="shared" si="148"/>
        <v>0</v>
      </c>
      <c r="CW54" s="209">
        <f t="shared" si="148"/>
        <v>0</v>
      </c>
      <c r="CX54" s="65">
        <f t="shared" si="127"/>
        <v>0</v>
      </c>
      <c r="CY54" s="210">
        <f t="shared" si="127"/>
        <v>0</v>
      </c>
      <c r="CZ54" s="210">
        <f t="shared" si="127"/>
        <v>0</v>
      </c>
      <c r="DA54" s="210">
        <f t="shared" si="127"/>
        <v>0</v>
      </c>
      <c r="DB54" s="210">
        <f t="shared" si="127"/>
        <v>0</v>
      </c>
      <c r="DC54" s="210">
        <f t="shared" si="81"/>
        <v>0</v>
      </c>
      <c r="DD54" s="209">
        <f t="shared" si="81"/>
        <v>0</v>
      </c>
      <c r="DE54" s="65">
        <f t="shared" si="149"/>
        <v>0</v>
      </c>
      <c r="DF54" s="210">
        <f t="shared" si="149"/>
        <v>0</v>
      </c>
      <c r="DG54" s="210">
        <f t="shared" si="149"/>
        <v>0</v>
      </c>
      <c r="DH54" s="210">
        <f t="shared" si="149"/>
        <v>0</v>
      </c>
      <c r="DI54" s="210">
        <f t="shared" si="149"/>
        <v>0</v>
      </c>
      <c r="DJ54" s="210">
        <f t="shared" si="82"/>
        <v>0</v>
      </c>
      <c r="DK54" s="210">
        <f t="shared" si="82"/>
        <v>0</v>
      </c>
      <c r="DL54" s="65">
        <f t="shared" si="136"/>
        <v>0</v>
      </c>
      <c r="DM54" s="210">
        <f t="shared" si="136"/>
        <v>0</v>
      </c>
      <c r="DN54" s="210">
        <f t="shared" si="136"/>
        <v>0</v>
      </c>
      <c r="DO54" s="210">
        <f t="shared" si="136"/>
        <v>0</v>
      </c>
      <c r="DP54" s="210">
        <f t="shared" si="136"/>
        <v>0</v>
      </c>
      <c r="DQ54" s="210">
        <f t="shared" si="83"/>
        <v>0</v>
      </c>
      <c r="DR54" s="210">
        <f t="shared" si="83"/>
        <v>0</v>
      </c>
      <c r="DS54" s="210">
        <f t="shared" si="83"/>
        <v>0</v>
      </c>
      <c r="DT54" s="201"/>
    </row>
    <row r="55" spans="1:124" ht="26.25" hidden="1" customHeight="1" outlineLevel="1" collapsed="1" x14ac:dyDescent="0.4">
      <c r="A55" s="347">
        <v>25</v>
      </c>
      <c r="B55" s="347" t="s">
        <v>47</v>
      </c>
      <c r="C55" s="347" t="s">
        <v>14</v>
      </c>
      <c r="D55" s="349" t="s">
        <v>348</v>
      </c>
      <c r="E55" s="349" t="s">
        <v>641</v>
      </c>
      <c r="F55" s="349" t="s">
        <v>643</v>
      </c>
      <c r="G55" s="563" t="s">
        <v>642</v>
      </c>
      <c r="H55" s="449">
        <f t="shared" ref="H55" si="154">SUM(DE55:DK55)</f>
        <v>0</v>
      </c>
      <c r="I55" s="449">
        <f t="shared" ref="I55" si="155">SUM(DE56:DK56)</f>
        <v>0</v>
      </c>
      <c r="J55" s="447"/>
      <c r="K55" s="445"/>
      <c r="L55" s="445"/>
      <c r="M55" s="428"/>
      <c r="N55" s="52" t="s">
        <v>24</v>
      </c>
      <c r="O55" s="190">
        <f t="shared" si="152"/>
        <v>0</v>
      </c>
      <c r="P55" s="190">
        <f t="shared" si="152"/>
        <v>0</v>
      </c>
      <c r="Q55" s="190">
        <f t="shared" si="152"/>
        <v>0</v>
      </c>
      <c r="R55" s="190">
        <f t="shared" si="152"/>
        <v>0</v>
      </c>
      <c r="S55" s="190">
        <f t="shared" si="152"/>
        <v>0</v>
      </c>
      <c r="T55" s="190">
        <f t="shared" si="152"/>
        <v>0</v>
      </c>
      <c r="U55" s="190">
        <f t="shared" si="152"/>
        <v>0</v>
      </c>
      <c r="V55" s="190">
        <f t="shared" si="97"/>
        <v>0</v>
      </c>
      <c r="W55" s="190">
        <f t="shared" si="97"/>
        <v>0</v>
      </c>
      <c r="X55" s="86">
        <f t="shared" si="152"/>
        <v>0</v>
      </c>
      <c r="Y55" s="23">
        <f t="shared" si="118"/>
        <v>0</v>
      </c>
      <c r="Z55" s="59">
        <f t="shared" si="118"/>
        <v>0</v>
      </c>
      <c r="AA55" s="59">
        <f t="shared" si="118"/>
        <v>0</v>
      </c>
      <c r="AB55" s="59">
        <f t="shared" si="118"/>
        <v>0</v>
      </c>
      <c r="AC55" s="59">
        <f t="shared" si="118"/>
        <v>0</v>
      </c>
      <c r="AD55" s="59">
        <f t="shared" si="118"/>
        <v>0</v>
      </c>
      <c r="AE55" s="59">
        <f t="shared" si="119"/>
        <v>0</v>
      </c>
      <c r="AF55" s="59"/>
      <c r="AG55" s="59">
        <f t="shared" si="119"/>
        <v>0</v>
      </c>
      <c r="AH55" s="59">
        <f t="shared" si="119"/>
        <v>0</v>
      </c>
      <c r="AI55" s="23">
        <f t="shared" si="139"/>
        <v>0</v>
      </c>
      <c r="AJ55" s="59">
        <f t="shared" si="139"/>
        <v>0</v>
      </c>
      <c r="AK55" s="59">
        <f t="shared" si="139"/>
        <v>0</v>
      </c>
      <c r="AL55" s="59">
        <f t="shared" si="139"/>
        <v>0</v>
      </c>
      <c r="AM55" s="59">
        <f t="shared" si="139"/>
        <v>0</v>
      </c>
      <c r="AN55" s="59">
        <f t="shared" si="131"/>
        <v>0</v>
      </c>
      <c r="AO55" s="59">
        <f t="shared" si="131"/>
        <v>0</v>
      </c>
      <c r="AP55" s="59">
        <f t="shared" si="139"/>
        <v>0</v>
      </c>
      <c r="AQ55" s="59">
        <f t="shared" si="139"/>
        <v>0</v>
      </c>
      <c r="AR55" s="59">
        <f t="shared" si="139"/>
        <v>0</v>
      </c>
      <c r="AS55" s="23">
        <f t="shared" ref="AS55:AW62" si="156">0/150</f>
        <v>0</v>
      </c>
      <c r="AT55" s="10">
        <f t="shared" si="156"/>
        <v>0</v>
      </c>
      <c r="AU55" s="10">
        <f t="shared" si="156"/>
        <v>0</v>
      </c>
      <c r="AV55" s="10">
        <f t="shared" si="156"/>
        <v>0</v>
      </c>
      <c r="AW55" s="10">
        <f t="shared" si="156"/>
        <v>0</v>
      </c>
      <c r="AX55" s="59">
        <f t="shared" ref="AX55:BB86" si="157">0/165</f>
        <v>0</v>
      </c>
      <c r="AY55" s="59">
        <f t="shared" si="157"/>
        <v>0</v>
      </c>
      <c r="AZ55" s="59">
        <f t="shared" si="157"/>
        <v>0</v>
      </c>
      <c r="BA55" s="59">
        <f t="shared" si="157"/>
        <v>0</v>
      </c>
      <c r="BB55" s="59">
        <f t="shared" si="157"/>
        <v>0</v>
      </c>
      <c r="BC55" s="77">
        <f>(8)/157.5</f>
        <v>5.0793650793650794E-2</v>
      </c>
      <c r="BD55" s="190">
        <f t="shared" si="113"/>
        <v>0</v>
      </c>
      <c r="BE55" s="190">
        <f>(22)/157.5</f>
        <v>0.13968253968253969</v>
      </c>
      <c r="BF55" s="190">
        <f t="shared" si="113"/>
        <v>0</v>
      </c>
      <c r="BG55" s="190">
        <f t="shared" si="113"/>
        <v>0</v>
      </c>
      <c r="BH55" s="190">
        <f t="shared" si="113"/>
        <v>0</v>
      </c>
      <c r="BI55" s="190">
        <f>(30)/157.5</f>
        <v>0.19047619047619047</v>
      </c>
      <c r="BJ55" s="190">
        <f>(20)/157.5</f>
        <v>0.12698412698412698</v>
      </c>
      <c r="BK55" s="190">
        <f>(20)/157.5</f>
        <v>0.12698412698412698</v>
      </c>
      <c r="BL55" s="190">
        <f t="shared" si="113"/>
        <v>0</v>
      </c>
      <c r="BM55" s="77">
        <f>(5)/165</f>
        <v>3.0303030303030304E-2</v>
      </c>
      <c r="BN55" s="190">
        <f t="shared" si="114"/>
        <v>0</v>
      </c>
      <c r="BO55" s="190">
        <f>(15)/165</f>
        <v>9.0909090909090912E-2</v>
      </c>
      <c r="BP55" s="190">
        <f t="shared" si="114"/>
        <v>0</v>
      </c>
      <c r="BQ55" s="190">
        <f t="shared" si="114"/>
        <v>0</v>
      </c>
      <c r="BR55" s="190">
        <f t="shared" si="109"/>
        <v>0</v>
      </c>
      <c r="BS55" s="190">
        <f>(10)/165</f>
        <v>6.0606060606060608E-2</v>
      </c>
      <c r="BT55" s="190">
        <f>(10)/165</f>
        <v>6.0606060606060608E-2</v>
      </c>
      <c r="BU55" s="190">
        <f t="shared" si="109"/>
        <v>0</v>
      </c>
      <c r="BV55" s="190">
        <f t="shared" si="109"/>
        <v>0</v>
      </c>
      <c r="BW55" s="23">
        <f t="shared" si="145"/>
        <v>0</v>
      </c>
      <c r="BX55" s="190">
        <f t="shared" si="145"/>
        <v>0</v>
      </c>
      <c r="BY55" s="190">
        <f t="shared" si="58"/>
        <v>0</v>
      </c>
      <c r="BZ55" s="190">
        <f t="shared" si="146"/>
        <v>0</v>
      </c>
      <c r="CA55" s="190">
        <f t="shared" si="146"/>
        <v>0</v>
      </c>
      <c r="CB55" s="190">
        <f t="shared" si="146"/>
        <v>0</v>
      </c>
      <c r="CC55" s="190">
        <f t="shared" si="146"/>
        <v>0</v>
      </c>
      <c r="CD55" s="190">
        <f t="shared" si="146"/>
        <v>0</v>
      </c>
      <c r="CE55" s="190">
        <f t="shared" si="59"/>
        <v>0</v>
      </c>
      <c r="CF55" s="190">
        <f t="shared" si="52"/>
        <v>0</v>
      </c>
      <c r="CG55" s="23">
        <f t="shared" si="147"/>
        <v>0</v>
      </c>
      <c r="CH55" s="190">
        <f t="shared" si="147"/>
        <v>0</v>
      </c>
      <c r="CI55" s="190">
        <f t="shared" si="147"/>
        <v>0</v>
      </c>
      <c r="CJ55" s="190">
        <f t="shared" si="147"/>
        <v>0</v>
      </c>
      <c r="CK55" s="190">
        <f t="shared" si="147"/>
        <v>0</v>
      </c>
      <c r="CL55" s="190">
        <f t="shared" si="147"/>
        <v>0</v>
      </c>
      <c r="CM55" s="190">
        <f t="shared" si="147"/>
        <v>0</v>
      </c>
      <c r="CN55" s="190">
        <f t="shared" si="147"/>
        <v>0</v>
      </c>
      <c r="CO55" s="190">
        <f t="shared" si="147"/>
        <v>0</v>
      </c>
      <c r="CP55" s="190">
        <f t="shared" si="147"/>
        <v>0</v>
      </c>
      <c r="CQ55" s="23">
        <f t="shared" si="126"/>
        <v>0</v>
      </c>
      <c r="CR55" s="190">
        <f t="shared" si="126"/>
        <v>0</v>
      </c>
      <c r="CS55" s="190">
        <f t="shared" si="126"/>
        <v>0</v>
      </c>
      <c r="CT55" s="190">
        <f t="shared" si="126"/>
        <v>0</v>
      </c>
      <c r="CU55" s="190">
        <f t="shared" si="126"/>
        <v>0</v>
      </c>
      <c r="CV55" s="190">
        <f t="shared" si="126"/>
        <v>0</v>
      </c>
      <c r="CW55" s="190">
        <f t="shared" si="148"/>
        <v>0</v>
      </c>
      <c r="CX55" s="77">
        <f t="shared" si="127"/>
        <v>0</v>
      </c>
      <c r="CY55" s="190">
        <f t="shared" si="127"/>
        <v>0</v>
      </c>
      <c r="CZ55" s="190">
        <f t="shared" si="127"/>
        <v>0</v>
      </c>
      <c r="DA55" s="190">
        <f t="shared" si="127"/>
        <v>0</v>
      </c>
      <c r="DB55" s="190">
        <f t="shared" si="127"/>
        <v>0</v>
      </c>
      <c r="DC55" s="190">
        <f t="shared" ref="DC55:DD86" si="158">0/172.5</f>
        <v>0</v>
      </c>
      <c r="DD55" s="190">
        <f t="shared" si="158"/>
        <v>0</v>
      </c>
      <c r="DE55" s="23">
        <f t="shared" si="149"/>
        <v>0</v>
      </c>
      <c r="DF55" s="190">
        <f t="shared" si="149"/>
        <v>0</v>
      </c>
      <c r="DG55" s="190">
        <f t="shared" si="149"/>
        <v>0</v>
      </c>
      <c r="DH55" s="190">
        <f t="shared" si="149"/>
        <v>0</v>
      </c>
      <c r="DI55" s="190">
        <f t="shared" si="149"/>
        <v>0</v>
      </c>
      <c r="DJ55" s="190">
        <f t="shared" ref="DJ55:DK86" si="159">0/172.5</f>
        <v>0</v>
      </c>
      <c r="DK55" s="190">
        <f t="shared" si="159"/>
        <v>0</v>
      </c>
      <c r="DL55" s="23">
        <f t="shared" si="136"/>
        <v>0</v>
      </c>
      <c r="DM55" s="10">
        <f t="shared" si="136"/>
        <v>0</v>
      </c>
      <c r="DN55" s="10">
        <f t="shared" si="136"/>
        <v>0</v>
      </c>
      <c r="DO55" s="10">
        <f t="shared" si="136"/>
        <v>0</v>
      </c>
      <c r="DP55" s="10">
        <f t="shared" si="136"/>
        <v>0</v>
      </c>
      <c r="DQ55" s="190">
        <f t="shared" ref="DQ55:DS86" si="160">0/172.5</f>
        <v>0</v>
      </c>
      <c r="DR55" s="190">
        <f t="shared" si="160"/>
        <v>0</v>
      </c>
      <c r="DS55" s="190">
        <f t="shared" si="160"/>
        <v>0</v>
      </c>
      <c r="DT55" s="54"/>
    </row>
    <row r="56" spans="1:124" ht="26.25" hidden="1" customHeight="1" outlineLevel="1" x14ac:dyDescent="0.4">
      <c r="A56" s="348"/>
      <c r="B56" s="348"/>
      <c r="C56" s="348"/>
      <c r="D56" s="350"/>
      <c r="E56" s="350"/>
      <c r="F56" s="350"/>
      <c r="G56" s="565"/>
      <c r="H56" s="450"/>
      <c r="I56" s="450"/>
      <c r="J56" s="448"/>
      <c r="K56" s="446"/>
      <c r="L56" s="446"/>
      <c r="M56" s="429"/>
      <c r="N56" s="43" t="s">
        <v>25</v>
      </c>
      <c r="O56" s="209">
        <f t="shared" si="152"/>
        <v>0</v>
      </c>
      <c r="P56" s="209">
        <f t="shared" si="152"/>
        <v>0</v>
      </c>
      <c r="Q56" s="209">
        <f t="shared" si="152"/>
        <v>0</v>
      </c>
      <c r="R56" s="209">
        <f t="shared" si="152"/>
        <v>0</v>
      </c>
      <c r="S56" s="209">
        <f t="shared" si="152"/>
        <v>0</v>
      </c>
      <c r="T56" s="209">
        <f t="shared" si="152"/>
        <v>0</v>
      </c>
      <c r="U56" s="209">
        <f t="shared" si="152"/>
        <v>0</v>
      </c>
      <c r="V56" s="209">
        <f t="shared" si="97"/>
        <v>0</v>
      </c>
      <c r="W56" s="209">
        <f t="shared" si="97"/>
        <v>0</v>
      </c>
      <c r="X56" s="53">
        <f t="shared" si="152"/>
        <v>0</v>
      </c>
      <c r="Y56" s="24">
        <f t="shared" si="118"/>
        <v>0</v>
      </c>
      <c r="Z56" s="56">
        <f t="shared" si="118"/>
        <v>0</v>
      </c>
      <c r="AA56" s="56">
        <f t="shared" si="118"/>
        <v>0</v>
      </c>
      <c r="AB56" s="56">
        <f t="shared" si="118"/>
        <v>0</v>
      </c>
      <c r="AC56" s="56">
        <f t="shared" si="118"/>
        <v>0</v>
      </c>
      <c r="AD56" s="56">
        <f t="shared" si="118"/>
        <v>0</v>
      </c>
      <c r="AE56" s="61">
        <f t="shared" si="119"/>
        <v>0</v>
      </c>
      <c r="AF56" s="61"/>
      <c r="AG56" s="61">
        <f t="shared" si="119"/>
        <v>0</v>
      </c>
      <c r="AH56" s="61">
        <f t="shared" si="119"/>
        <v>0</v>
      </c>
      <c r="AI56" s="65">
        <f t="shared" si="139"/>
        <v>0</v>
      </c>
      <c r="AJ56" s="61">
        <f t="shared" si="139"/>
        <v>0</v>
      </c>
      <c r="AK56" s="61">
        <f t="shared" si="139"/>
        <v>0</v>
      </c>
      <c r="AL56" s="61">
        <f t="shared" si="139"/>
        <v>0</v>
      </c>
      <c r="AM56" s="61">
        <f t="shared" si="139"/>
        <v>0</v>
      </c>
      <c r="AN56" s="61">
        <f t="shared" si="131"/>
        <v>0</v>
      </c>
      <c r="AO56" s="61">
        <f t="shared" si="131"/>
        <v>0</v>
      </c>
      <c r="AP56" s="61">
        <f t="shared" si="139"/>
        <v>0</v>
      </c>
      <c r="AQ56" s="61">
        <f t="shared" si="139"/>
        <v>0</v>
      </c>
      <c r="AR56" s="61">
        <f t="shared" si="139"/>
        <v>0</v>
      </c>
      <c r="AS56" s="65">
        <f t="shared" si="156"/>
        <v>0</v>
      </c>
      <c r="AT56" s="60">
        <f t="shared" si="156"/>
        <v>0</v>
      </c>
      <c r="AU56" s="60">
        <f t="shared" si="156"/>
        <v>0</v>
      </c>
      <c r="AV56" s="60">
        <f t="shared" si="156"/>
        <v>0</v>
      </c>
      <c r="AW56" s="60">
        <f t="shared" si="156"/>
        <v>0</v>
      </c>
      <c r="AX56" s="61">
        <f t="shared" si="157"/>
        <v>0</v>
      </c>
      <c r="AY56" s="61">
        <f t="shared" si="157"/>
        <v>0</v>
      </c>
      <c r="AZ56" s="61">
        <f t="shared" si="157"/>
        <v>0</v>
      </c>
      <c r="BA56" s="61">
        <f t="shared" si="157"/>
        <v>0</v>
      </c>
      <c r="BB56" s="61">
        <f t="shared" si="157"/>
        <v>0</v>
      </c>
      <c r="BC56" s="58">
        <f>(3+3)/157.5</f>
        <v>3.8095238095238099E-2</v>
      </c>
      <c r="BD56" s="209">
        <f t="shared" ref="BD56:BL56" si="161">(0)/157.5</f>
        <v>0</v>
      </c>
      <c r="BE56" s="209">
        <f>(0+19+5.5)/157.5</f>
        <v>0.15555555555555556</v>
      </c>
      <c r="BF56" s="209">
        <f t="shared" si="161"/>
        <v>0</v>
      </c>
      <c r="BG56" s="209">
        <f t="shared" si="161"/>
        <v>0</v>
      </c>
      <c r="BH56" s="209">
        <f t="shared" si="161"/>
        <v>0</v>
      </c>
      <c r="BI56" s="209">
        <f>(0+20+13.5)/157.5</f>
        <v>0.21269841269841269</v>
      </c>
      <c r="BJ56" s="209">
        <f>(0+10+5.5)/157.5</f>
        <v>9.841269841269841E-2</v>
      </c>
      <c r="BK56" s="209">
        <f>(0+18)/157.5</f>
        <v>0.11428571428571428</v>
      </c>
      <c r="BL56" s="209">
        <f t="shared" si="161"/>
        <v>0</v>
      </c>
      <c r="BM56" s="58">
        <f>(1.5+1)/165</f>
        <v>1.5151515151515152E-2</v>
      </c>
      <c r="BN56" s="209">
        <f t="shared" si="114"/>
        <v>0</v>
      </c>
      <c r="BO56" s="209">
        <f>(8+5)/165</f>
        <v>7.8787878787878782E-2</v>
      </c>
      <c r="BP56" s="209">
        <f t="shared" si="114"/>
        <v>0</v>
      </c>
      <c r="BQ56" s="209">
        <f t="shared" si="114"/>
        <v>0</v>
      </c>
      <c r="BR56" s="209">
        <f t="shared" si="109"/>
        <v>0</v>
      </c>
      <c r="BS56" s="209">
        <f>(5+1.5)/165</f>
        <v>3.9393939393939391E-2</v>
      </c>
      <c r="BT56" s="209">
        <f>(5+9+2.5)/165</f>
        <v>0.1</v>
      </c>
      <c r="BU56" s="209">
        <f t="shared" si="109"/>
        <v>0</v>
      </c>
      <c r="BV56" s="209">
        <f t="shared" si="109"/>
        <v>0</v>
      </c>
      <c r="BW56" s="65">
        <f t="shared" si="145"/>
        <v>0</v>
      </c>
      <c r="BX56" s="209">
        <f t="shared" si="145"/>
        <v>0</v>
      </c>
      <c r="BY56" s="209">
        <f t="shared" si="58"/>
        <v>0</v>
      </c>
      <c r="BZ56" s="209">
        <f t="shared" si="146"/>
        <v>0</v>
      </c>
      <c r="CA56" s="209">
        <f t="shared" si="146"/>
        <v>0</v>
      </c>
      <c r="CB56" s="209">
        <f t="shared" si="146"/>
        <v>0</v>
      </c>
      <c r="CC56" s="209">
        <f t="shared" si="146"/>
        <v>0</v>
      </c>
      <c r="CD56" s="209">
        <f t="shared" si="146"/>
        <v>0</v>
      </c>
      <c r="CE56" s="209">
        <f t="shared" si="59"/>
        <v>0</v>
      </c>
      <c r="CF56" s="209">
        <f t="shared" si="52"/>
        <v>0</v>
      </c>
      <c r="CG56" s="65">
        <f t="shared" si="147"/>
        <v>0</v>
      </c>
      <c r="CH56" s="209">
        <f t="shared" si="147"/>
        <v>0</v>
      </c>
      <c r="CI56" s="209">
        <f t="shared" si="147"/>
        <v>0</v>
      </c>
      <c r="CJ56" s="209">
        <f t="shared" si="147"/>
        <v>0</v>
      </c>
      <c r="CK56" s="209">
        <f t="shared" si="147"/>
        <v>0</v>
      </c>
      <c r="CL56" s="209">
        <f t="shared" si="147"/>
        <v>0</v>
      </c>
      <c r="CM56" s="209">
        <f t="shared" si="147"/>
        <v>0</v>
      </c>
      <c r="CN56" s="209">
        <f t="shared" si="147"/>
        <v>0</v>
      </c>
      <c r="CO56" s="209">
        <f t="shared" si="147"/>
        <v>0</v>
      </c>
      <c r="CP56" s="209">
        <f t="shared" si="147"/>
        <v>0</v>
      </c>
      <c r="CQ56" s="65">
        <f t="shared" si="148"/>
        <v>0</v>
      </c>
      <c r="CR56" s="209">
        <f t="shared" si="148"/>
        <v>0</v>
      </c>
      <c r="CS56" s="209">
        <f t="shared" si="148"/>
        <v>0</v>
      </c>
      <c r="CT56" s="209">
        <f t="shared" si="148"/>
        <v>0</v>
      </c>
      <c r="CU56" s="209">
        <f t="shared" si="148"/>
        <v>0</v>
      </c>
      <c r="CV56" s="209">
        <f t="shared" si="148"/>
        <v>0</v>
      </c>
      <c r="CW56" s="209">
        <f t="shared" si="148"/>
        <v>0</v>
      </c>
      <c r="CX56" s="65">
        <f t="shared" si="127"/>
        <v>0</v>
      </c>
      <c r="CY56" s="210">
        <f t="shared" si="127"/>
        <v>0</v>
      </c>
      <c r="CZ56" s="210">
        <f t="shared" si="127"/>
        <v>0</v>
      </c>
      <c r="DA56" s="210">
        <f t="shared" si="127"/>
        <v>0</v>
      </c>
      <c r="DB56" s="210">
        <f t="shared" si="127"/>
        <v>0</v>
      </c>
      <c r="DC56" s="210">
        <f t="shared" si="158"/>
        <v>0</v>
      </c>
      <c r="DD56" s="209">
        <f t="shared" si="158"/>
        <v>0</v>
      </c>
      <c r="DE56" s="65">
        <f t="shared" si="149"/>
        <v>0</v>
      </c>
      <c r="DF56" s="210">
        <f t="shared" si="149"/>
        <v>0</v>
      </c>
      <c r="DG56" s="210">
        <f t="shared" si="149"/>
        <v>0</v>
      </c>
      <c r="DH56" s="210">
        <f t="shared" si="149"/>
        <v>0</v>
      </c>
      <c r="DI56" s="210">
        <f t="shared" si="149"/>
        <v>0</v>
      </c>
      <c r="DJ56" s="210">
        <f t="shared" si="159"/>
        <v>0</v>
      </c>
      <c r="DK56" s="210">
        <f t="shared" si="159"/>
        <v>0</v>
      </c>
      <c r="DL56" s="65">
        <f t="shared" si="136"/>
        <v>0</v>
      </c>
      <c r="DM56" s="60">
        <f t="shared" si="136"/>
        <v>0</v>
      </c>
      <c r="DN56" s="60">
        <f t="shared" si="136"/>
        <v>0</v>
      </c>
      <c r="DO56" s="60">
        <f t="shared" si="136"/>
        <v>0</v>
      </c>
      <c r="DP56" s="60">
        <f t="shared" si="136"/>
        <v>0</v>
      </c>
      <c r="DQ56" s="210">
        <f t="shared" si="160"/>
        <v>0</v>
      </c>
      <c r="DR56" s="210">
        <f t="shared" si="160"/>
        <v>0</v>
      </c>
      <c r="DS56" s="210">
        <f t="shared" si="160"/>
        <v>0</v>
      </c>
    </row>
    <row r="57" spans="1:124" ht="26.25" hidden="1" customHeight="1" outlineLevel="1" collapsed="1" x14ac:dyDescent="0.4">
      <c r="A57" s="347">
        <v>26</v>
      </c>
      <c r="B57" s="347" t="s">
        <v>47</v>
      </c>
      <c r="C57" s="347" t="s">
        <v>14</v>
      </c>
      <c r="D57" s="349" t="s">
        <v>517</v>
      </c>
      <c r="E57" s="349" t="s">
        <v>649</v>
      </c>
      <c r="F57" s="349" t="s">
        <v>654</v>
      </c>
      <c r="G57" s="563" t="s">
        <v>653</v>
      </c>
      <c r="H57" s="449">
        <f t="shared" ref="H57" si="162">SUM(DE57:DK57)</f>
        <v>0</v>
      </c>
      <c r="I57" s="449">
        <f t="shared" ref="I57" si="163">SUM(DE58:DK58)</f>
        <v>0</v>
      </c>
      <c r="J57" s="447"/>
      <c r="K57" s="445"/>
      <c r="L57" s="445"/>
      <c r="M57" s="428"/>
      <c r="N57" s="21" t="s">
        <v>24</v>
      </c>
      <c r="O57" s="190">
        <f t="shared" si="152"/>
        <v>0</v>
      </c>
      <c r="P57" s="190">
        <f t="shared" si="152"/>
        <v>0</v>
      </c>
      <c r="Q57" s="190">
        <f t="shared" si="152"/>
        <v>0</v>
      </c>
      <c r="R57" s="190">
        <f t="shared" si="152"/>
        <v>0</v>
      </c>
      <c r="S57" s="190">
        <f t="shared" si="152"/>
        <v>0</v>
      </c>
      <c r="T57" s="190">
        <f t="shared" si="152"/>
        <v>0</v>
      </c>
      <c r="U57" s="190">
        <f t="shared" si="152"/>
        <v>0</v>
      </c>
      <c r="V57" s="190">
        <f t="shared" si="97"/>
        <v>0</v>
      </c>
      <c r="W57" s="190">
        <f t="shared" si="97"/>
        <v>0</v>
      </c>
      <c r="X57" s="86">
        <f t="shared" si="152"/>
        <v>0</v>
      </c>
      <c r="Y57" s="190">
        <f t="shared" ref="Y57:AD88" si="164">0/142.5</f>
        <v>0</v>
      </c>
      <c r="Z57" s="190">
        <f t="shared" si="164"/>
        <v>0</v>
      </c>
      <c r="AA57" s="190">
        <f t="shared" si="164"/>
        <v>0</v>
      </c>
      <c r="AB57" s="190">
        <f t="shared" si="164"/>
        <v>0</v>
      </c>
      <c r="AC57" s="190">
        <f t="shared" si="164"/>
        <v>0</v>
      </c>
      <c r="AD57" s="190">
        <f t="shared" si="164"/>
        <v>0</v>
      </c>
      <c r="AE57" s="190">
        <f t="shared" si="119"/>
        <v>0</v>
      </c>
      <c r="AF57" s="190"/>
      <c r="AG57" s="190">
        <f t="shared" si="119"/>
        <v>0</v>
      </c>
      <c r="AH57" s="190">
        <f t="shared" si="119"/>
        <v>0</v>
      </c>
      <c r="AI57" s="77">
        <f t="shared" si="139"/>
        <v>0</v>
      </c>
      <c r="AJ57" s="190">
        <f t="shared" si="139"/>
        <v>0</v>
      </c>
      <c r="AK57" s="190">
        <f t="shared" si="139"/>
        <v>0</v>
      </c>
      <c r="AL57" s="190">
        <f t="shared" si="139"/>
        <v>0</v>
      </c>
      <c r="AM57" s="190">
        <f t="shared" si="139"/>
        <v>0</v>
      </c>
      <c r="AN57" s="190">
        <f t="shared" si="131"/>
        <v>0</v>
      </c>
      <c r="AO57" s="190">
        <f t="shared" si="131"/>
        <v>0</v>
      </c>
      <c r="AP57" s="190">
        <f t="shared" si="139"/>
        <v>0</v>
      </c>
      <c r="AQ57" s="190">
        <f t="shared" si="139"/>
        <v>0</v>
      </c>
      <c r="AR57" s="225">
        <f t="shared" si="139"/>
        <v>0</v>
      </c>
      <c r="AS57" s="23">
        <f t="shared" si="156"/>
        <v>0</v>
      </c>
      <c r="AT57" s="190">
        <f t="shared" si="156"/>
        <v>0</v>
      </c>
      <c r="AU57" s="190">
        <f t="shared" si="156"/>
        <v>0</v>
      </c>
      <c r="AV57" s="190">
        <f t="shared" si="156"/>
        <v>0</v>
      </c>
      <c r="AW57" s="190">
        <f t="shared" si="156"/>
        <v>0</v>
      </c>
      <c r="AX57" s="190">
        <f t="shared" si="157"/>
        <v>0</v>
      </c>
      <c r="AY57" s="190">
        <f t="shared" si="157"/>
        <v>0</v>
      </c>
      <c r="AZ57" s="190">
        <f t="shared" si="157"/>
        <v>0</v>
      </c>
      <c r="BA57" s="190">
        <f t="shared" si="157"/>
        <v>0</v>
      </c>
      <c r="BB57" s="225">
        <f t="shared" si="157"/>
        <v>0</v>
      </c>
      <c r="BC57" s="77">
        <f t="shared" si="113"/>
        <v>0</v>
      </c>
      <c r="BD57" s="190">
        <f t="shared" si="113"/>
        <v>0</v>
      </c>
      <c r="BE57" s="190">
        <f>(10)/157.5</f>
        <v>6.3492063492063489E-2</v>
      </c>
      <c r="BF57" s="190">
        <f t="shared" si="113"/>
        <v>0</v>
      </c>
      <c r="BG57" s="190">
        <f t="shared" si="113"/>
        <v>0</v>
      </c>
      <c r="BH57" s="190">
        <f>(10)/157.5</f>
        <v>6.3492063492063489E-2</v>
      </c>
      <c r="BI57" s="190">
        <f t="shared" si="113"/>
        <v>0</v>
      </c>
      <c r="BJ57" s="190">
        <f t="shared" si="113"/>
        <v>0</v>
      </c>
      <c r="BK57" s="190">
        <f t="shared" si="113"/>
        <v>0</v>
      </c>
      <c r="BL57" s="190">
        <f t="shared" si="113"/>
        <v>0</v>
      </c>
      <c r="BM57" s="77">
        <f>(20)/165</f>
        <v>0.12121212121212122</v>
      </c>
      <c r="BN57" s="190">
        <f t="shared" si="114"/>
        <v>0</v>
      </c>
      <c r="BO57" s="190">
        <f t="shared" ref="BO57:BT59" si="165">(50)/165</f>
        <v>0.30303030303030304</v>
      </c>
      <c r="BP57" s="190">
        <f t="shared" si="114"/>
        <v>0</v>
      </c>
      <c r="BQ57" s="190">
        <f t="shared" si="114"/>
        <v>0</v>
      </c>
      <c r="BR57" s="190">
        <f>(70)/165</f>
        <v>0.42424242424242425</v>
      </c>
      <c r="BS57" s="190">
        <f t="shared" si="109"/>
        <v>0</v>
      </c>
      <c r="BT57" s="190">
        <f t="shared" si="165"/>
        <v>0.30303030303030304</v>
      </c>
      <c r="BU57" s="190">
        <f t="shared" si="109"/>
        <v>0</v>
      </c>
      <c r="BV57" s="190">
        <f t="shared" si="109"/>
        <v>0</v>
      </c>
      <c r="BW57" s="23">
        <f t="shared" si="145"/>
        <v>0</v>
      </c>
      <c r="BX57" s="190">
        <f t="shared" si="145"/>
        <v>0</v>
      </c>
      <c r="BY57" s="190">
        <f>(3.5)/150</f>
        <v>2.3333333333333334E-2</v>
      </c>
      <c r="BZ57" s="190">
        <f t="shared" ref="BZ57:CC58" si="166">(0)/150</f>
        <v>0</v>
      </c>
      <c r="CA57" s="190">
        <f t="shared" si="166"/>
        <v>0</v>
      </c>
      <c r="CB57" s="190">
        <f t="shared" si="166"/>
        <v>0</v>
      </c>
      <c r="CC57" s="190">
        <f t="shared" si="166"/>
        <v>0</v>
      </c>
      <c r="CD57" s="190">
        <f>(3.5)/150</f>
        <v>2.3333333333333334E-2</v>
      </c>
      <c r="CE57" s="190">
        <f t="shared" si="59"/>
        <v>0</v>
      </c>
      <c r="CF57" s="190">
        <f t="shared" si="52"/>
        <v>0</v>
      </c>
      <c r="CG57" s="23">
        <f>(5)/135</f>
        <v>3.7037037037037035E-2</v>
      </c>
      <c r="CH57" s="190">
        <f t="shared" si="147"/>
        <v>0</v>
      </c>
      <c r="CI57" s="190">
        <f>(5)/135</f>
        <v>3.7037037037037035E-2</v>
      </c>
      <c r="CJ57" s="190">
        <f t="shared" si="147"/>
        <v>0</v>
      </c>
      <c r="CK57" s="190">
        <f t="shared" si="147"/>
        <v>0</v>
      </c>
      <c r="CL57" s="190">
        <f>(5)/135</f>
        <v>3.7037037037037035E-2</v>
      </c>
      <c r="CM57" s="190">
        <f t="shared" si="147"/>
        <v>0</v>
      </c>
      <c r="CN57" s="190">
        <f>(5)/135</f>
        <v>3.7037037037037035E-2</v>
      </c>
      <c r="CO57" s="190">
        <f t="shared" si="147"/>
        <v>0</v>
      </c>
      <c r="CP57" s="190">
        <f t="shared" si="147"/>
        <v>0</v>
      </c>
      <c r="CQ57" s="23">
        <f t="shared" ref="CQ57:CW60" si="167">(0)/150</f>
        <v>0</v>
      </c>
      <c r="CR57" s="190">
        <f t="shared" si="167"/>
        <v>0</v>
      </c>
      <c r="CS57" s="190">
        <f t="shared" si="167"/>
        <v>0</v>
      </c>
      <c r="CT57" s="190">
        <f t="shared" si="167"/>
        <v>0</v>
      </c>
      <c r="CU57" s="190">
        <f t="shared" si="167"/>
        <v>0</v>
      </c>
      <c r="CV57" s="190">
        <f t="shared" si="167"/>
        <v>0</v>
      </c>
      <c r="CW57" s="190">
        <f t="shared" si="167"/>
        <v>0</v>
      </c>
      <c r="CX57" s="77">
        <f>(0)/157.5</f>
        <v>0</v>
      </c>
      <c r="CY57" s="190">
        <f>(0)/157.5</f>
        <v>0</v>
      </c>
      <c r="CZ57" s="190">
        <f t="shared" ref="CZ57:DD58" si="168">(0)/157.5</f>
        <v>0</v>
      </c>
      <c r="DA57" s="190">
        <f t="shared" si="168"/>
        <v>0</v>
      </c>
      <c r="DB57" s="190">
        <f t="shared" si="168"/>
        <v>0</v>
      </c>
      <c r="DC57" s="190">
        <f t="shared" si="168"/>
        <v>0</v>
      </c>
      <c r="DD57" s="190">
        <f t="shared" si="168"/>
        <v>0</v>
      </c>
      <c r="DE57" s="23">
        <f t="shared" si="149"/>
        <v>0</v>
      </c>
      <c r="DF57" s="190">
        <f t="shared" si="149"/>
        <v>0</v>
      </c>
      <c r="DG57" s="190">
        <f t="shared" si="149"/>
        <v>0</v>
      </c>
      <c r="DH57" s="190">
        <f t="shared" si="149"/>
        <v>0</v>
      </c>
      <c r="DI57" s="190">
        <f t="shared" si="149"/>
        <v>0</v>
      </c>
      <c r="DJ57" s="190">
        <f t="shared" si="159"/>
        <v>0</v>
      </c>
      <c r="DK57" s="190">
        <f t="shared" si="159"/>
        <v>0</v>
      </c>
      <c r="DL57" s="23">
        <f t="shared" ref="DL57:DP66" si="169">0/142.5</f>
        <v>0</v>
      </c>
      <c r="DM57" s="10">
        <f t="shared" si="169"/>
        <v>0</v>
      </c>
      <c r="DN57" s="10">
        <f t="shared" si="169"/>
        <v>0</v>
      </c>
      <c r="DO57" s="10">
        <f t="shared" si="169"/>
        <v>0</v>
      </c>
      <c r="DP57" s="10">
        <f t="shared" si="169"/>
        <v>0</v>
      </c>
      <c r="DQ57" s="190">
        <f t="shared" si="160"/>
        <v>0</v>
      </c>
      <c r="DR57" s="190">
        <f t="shared" si="160"/>
        <v>0</v>
      </c>
      <c r="DS57" s="190">
        <f t="shared" si="160"/>
        <v>0</v>
      </c>
      <c r="DT57" s="54"/>
    </row>
    <row r="58" spans="1:124" ht="26.25" hidden="1" customHeight="1" outlineLevel="1" x14ac:dyDescent="0.4">
      <c r="A58" s="348"/>
      <c r="B58" s="348"/>
      <c r="C58" s="348"/>
      <c r="D58" s="350"/>
      <c r="E58" s="350"/>
      <c r="F58" s="350"/>
      <c r="G58" s="565"/>
      <c r="H58" s="450"/>
      <c r="I58" s="450"/>
      <c r="J58" s="448"/>
      <c r="K58" s="446"/>
      <c r="L58" s="446"/>
      <c r="M58" s="429"/>
      <c r="N58" s="209" t="s">
        <v>25</v>
      </c>
      <c r="O58" s="209">
        <f t="shared" si="152"/>
        <v>0</v>
      </c>
      <c r="P58" s="209">
        <f t="shared" si="152"/>
        <v>0</v>
      </c>
      <c r="Q58" s="209">
        <f t="shared" si="152"/>
        <v>0</v>
      </c>
      <c r="R58" s="209">
        <f t="shared" si="152"/>
        <v>0</v>
      </c>
      <c r="S58" s="209">
        <f t="shared" si="152"/>
        <v>0</v>
      </c>
      <c r="T58" s="209">
        <f t="shared" si="152"/>
        <v>0</v>
      </c>
      <c r="U58" s="209">
        <f t="shared" si="152"/>
        <v>0</v>
      </c>
      <c r="V58" s="209">
        <f t="shared" si="97"/>
        <v>0</v>
      </c>
      <c r="W58" s="209">
        <f t="shared" si="97"/>
        <v>0</v>
      </c>
      <c r="X58" s="53">
        <f t="shared" si="152"/>
        <v>0</v>
      </c>
      <c r="Y58" s="209">
        <f t="shared" si="164"/>
        <v>0</v>
      </c>
      <c r="Z58" s="209">
        <f t="shared" si="164"/>
        <v>0</v>
      </c>
      <c r="AA58" s="209">
        <f t="shared" si="164"/>
        <v>0</v>
      </c>
      <c r="AB58" s="209">
        <f t="shared" si="164"/>
        <v>0</v>
      </c>
      <c r="AC58" s="209">
        <f t="shared" si="164"/>
        <v>0</v>
      </c>
      <c r="AD58" s="209">
        <f t="shared" si="164"/>
        <v>0</v>
      </c>
      <c r="AE58" s="209">
        <f t="shared" ref="AE58:AH80" si="170">0/165</f>
        <v>0</v>
      </c>
      <c r="AF58" s="209"/>
      <c r="AG58" s="209">
        <f t="shared" si="170"/>
        <v>0</v>
      </c>
      <c r="AH58" s="209">
        <f t="shared" si="170"/>
        <v>0</v>
      </c>
      <c r="AI58" s="58">
        <f t="shared" si="139"/>
        <v>0</v>
      </c>
      <c r="AJ58" s="209">
        <f t="shared" si="139"/>
        <v>0</v>
      </c>
      <c r="AK58" s="209">
        <f t="shared" si="139"/>
        <v>0</v>
      </c>
      <c r="AL58" s="209">
        <f t="shared" si="139"/>
        <v>0</v>
      </c>
      <c r="AM58" s="209">
        <f t="shared" si="139"/>
        <v>0</v>
      </c>
      <c r="AN58" s="209">
        <f t="shared" si="131"/>
        <v>0</v>
      </c>
      <c r="AO58" s="209">
        <f t="shared" si="131"/>
        <v>0</v>
      </c>
      <c r="AP58" s="209">
        <f t="shared" si="139"/>
        <v>0</v>
      </c>
      <c r="AQ58" s="209">
        <f t="shared" si="139"/>
        <v>0</v>
      </c>
      <c r="AR58" s="53">
        <f t="shared" si="139"/>
        <v>0</v>
      </c>
      <c r="AS58" s="65">
        <f t="shared" si="156"/>
        <v>0</v>
      </c>
      <c r="AT58" s="210">
        <f t="shared" si="156"/>
        <v>0</v>
      </c>
      <c r="AU58" s="210">
        <f t="shared" si="156"/>
        <v>0</v>
      </c>
      <c r="AV58" s="210">
        <f t="shared" si="156"/>
        <v>0</v>
      </c>
      <c r="AW58" s="280">
        <f t="shared" si="156"/>
        <v>0</v>
      </c>
      <c r="AX58" s="210">
        <f t="shared" si="157"/>
        <v>0</v>
      </c>
      <c r="AY58" s="210">
        <f t="shared" si="157"/>
        <v>0</v>
      </c>
      <c r="AZ58" s="210">
        <f t="shared" si="157"/>
        <v>0</v>
      </c>
      <c r="BA58" s="210">
        <f t="shared" si="157"/>
        <v>0</v>
      </c>
      <c r="BB58" s="53">
        <f t="shared" si="157"/>
        <v>0</v>
      </c>
      <c r="BC58" s="58">
        <f>(0+3.5)/157.5</f>
        <v>2.2222222222222223E-2</v>
      </c>
      <c r="BD58" s="209">
        <f t="shared" ref="BD58:BL66" si="171">(0)/157.5</f>
        <v>0</v>
      </c>
      <c r="BE58" s="209">
        <f>(0+7)/157.5</f>
        <v>4.4444444444444446E-2</v>
      </c>
      <c r="BF58" s="209">
        <f t="shared" si="171"/>
        <v>0</v>
      </c>
      <c r="BG58" s="209">
        <f t="shared" si="171"/>
        <v>0</v>
      </c>
      <c r="BH58" s="209">
        <f>(0+9.5)/157.5</f>
        <v>6.0317460317460318E-2</v>
      </c>
      <c r="BI58" s="209">
        <f t="shared" si="171"/>
        <v>0</v>
      </c>
      <c r="BJ58" s="209">
        <f t="shared" si="171"/>
        <v>0</v>
      </c>
      <c r="BK58" s="209">
        <f t="shared" si="171"/>
        <v>0</v>
      </c>
      <c r="BL58" s="209">
        <f t="shared" si="171"/>
        <v>0</v>
      </c>
      <c r="BM58" s="58">
        <f>(3.5+4.5+2+2+4)/165</f>
        <v>9.696969696969697E-2</v>
      </c>
      <c r="BN58" s="209">
        <f t="shared" si="114"/>
        <v>0</v>
      </c>
      <c r="BO58" s="209">
        <f>(8+10.5+17.5+14)/165</f>
        <v>0.30303030303030304</v>
      </c>
      <c r="BP58" s="209">
        <f t="shared" si="114"/>
        <v>0</v>
      </c>
      <c r="BQ58" s="209">
        <f t="shared" si="114"/>
        <v>0</v>
      </c>
      <c r="BR58" s="209">
        <f>(9+21.5+18.5+18+13)/165</f>
        <v>0.48484848484848486</v>
      </c>
      <c r="BS58" s="209">
        <f t="shared" si="109"/>
        <v>0</v>
      </c>
      <c r="BT58" s="209">
        <f>(0+12+10.5+16.5)/165</f>
        <v>0.23636363636363636</v>
      </c>
      <c r="BU58" s="209">
        <f t="shared" si="109"/>
        <v>0</v>
      </c>
      <c r="BV58" s="209">
        <f t="shared" si="109"/>
        <v>0</v>
      </c>
      <c r="BW58" s="65">
        <f t="shared" si="145"/>
        <v>0</v>
      </c>
      <c r="BX58" s="209">
        <f t="shared" si="145"/>
        <v>0</v>
      </c>
      <c r="BY58" s="209">
        <f>(0+1.5)/150</f>
        <v>0.01</v>
      </c>
      <c r="BZ58" s="209">
        <f t="shared" si="166"/>
        <v>0</v>
      </c>
      <c r="CA58" s="209">
        <f t="shared" si="166"/>
        <v>0</v>
      </c>
      <c r="CB58" s="209">
        <f>(0+0.5)/150</f>
        <v>3.3333333333333335E-3</v>
      </c>
      <c r="CC58" s="209">
        <f t="shared" si="166"/>
        <v>0</v>
      </c>
      <c r="CD58" s="209">
        <f>(2+0.5)/150</f>
        <v>1.6666666666666666E-2</v>
      </c>
      <c r="CE58" s="209">
        <f t="shared" si="59"/>
        <v>0</v>
      </c>
      <c r="CF58" s="209">
        <f t="shared" si="52"/>
        <v>0</v>
      </c>
      <c r="CG58" s="65">
        <f>(1.5+2)/135</f>
        <v>2.5925925925925925E-2</v>
      </c>
      <c r="CH58" s="209">
        <f t="shared" si="147"/>
        <v>0</v>
      </c>
      <c r="CI58" s="209">
        <f>(2.5)/135</f>
        <v>1.8518518518518517E-2</v>
      </c>
      <c r="CJ58" s="209">
        <f t="shared" si="147"/>
        <v>0</v>
      </c>
      <c r="CK58" s="209">
        <f t="shared" si="147"/>
        <v>0</v>
      </c>
      <c r="CL58" s="209">
        <f>(4)/135</f>
        <v>2.9629629629629631E-2</v>
      </c>
      <c r="CM58" s="209">
        <f t="shared" si="147"/>
        <v>0</v>
      </c>
      <c r="CN58" s="209">
        <f>(3)/135</f>
        <v>2.2222222222222223E-2</v>
      </c>
      <c r="CO58" s="209">
        <f t="shared" si="147"/>
        <v>0</v>
      </c>
      <c r="CP58" s="209">
        <f t="shared" si="147"/>
        <v>0</v>
      </c>
      <c r="CQ58" s="65">
        <f t="shared" si="167"/>
        <v>0</v>
      </c>
      <c r="CR58" s="209">
        <f t="shared" si="167"/>
        <v>0</v>
      </c>
      <c r="CS58" s="209">
        <f t="shared" si="167"/>
        <v>0</v>
      </c>
      <c r="CT58" s="209">
        <f t="shared" si="167"/>
        <v>0</v>
      </c>
      <c r="CU58" s="209">
        <f t="shared" si="167"/>
        <v>0</v>
      </c>
      <c r="CV58" s="209">
        <f t="shared" si="167"/>
        <v>0</v>
      </c>
      <c r="CW58" s="209">
        <f t="shared" si="167"/>
        <v>0</v>
      </c>
      <c r="CX58" s="65">
        <f>(0)/157.5</f>
        <v>0</v>
      </c>
      <c r="CY58" s="210">
        <f>(0)/157.5</f>
        <v>0</v>
      </c>
      <c r="CZ58" s="210">
        <f t="shared" si="168"/>
        <v>0</v>
      </c>
      <c r="DA58" s="210">
        <f t="shared" si="168"/>
        <v>0</v>
      </c>
      <c r="DB58" s="210">
        <f t="shared" si="168"/>
        <v>0</v>
      </c>
      <c r="DC58" s="210">
        <f t="shared" si="168"/>
        <v>0</v>
      </c>
      <c r="DD58" s="209">
        <f t="shared" si="168"/>
        <v>0</v>
      </c>
      <c r="DE58" s="65">
        <f t="shared" si="149"/>
        <v>0</v>
      </c>
      <c r="DF58" s="210">
        <f t="shared" si="149"/>
        <v>0</v>
      </c>
      <c r="DG58" s="210">
        <f t="shared" si="149"/>
        <v>0</v>
      </c>
      <c r="DH58" s="210">
        <f t="shared" si="149"/>
        <v>0</v>
      </c>
      <c r="DI58" s="210">
        <f t="shared" si="149"/>
        <v>0</v>
      </c>
      <c r="DJ58" s="210">
        <f t="shared" si="159"/>
        <v>0</v>
      </c>
      <c r="DK58" s="210">
        <f t="shared" si="159"/>
        <v>0</v>
      </c>
      <c r="DL58" s="65">
        <f t="shared" si="169"/>
        <v>0</v>
      </c>
      <c r="DM58" s="60">
        <f t="shared" si="169"/>
        <v>0</v>
      </c>
      <c r="DN58" s="60">
        <f t="shared" si="169"/>
        <v>0</v>
      </c>
      <c r="DO58" s="60">
        <f t="shared" si="169"/>
        <v>0</v>
      </c>
      <c r="DP58" s="60">
        <f t="shared" si="169"/>
        <v>0</v>
      </c>
      <c r="DQ58" s="210">
        <f t="shared" si="160"/>
        <v>0</v>
      </c>
      <c r="DR58" s="210">
        <f t="shared" si="160"/>
        <v>0</v>
      </c>
      <c r="DS58" s="210">
        <f t="shared" si="160"/>
        <v>0</v>
      </c>
    </row>
    <row r="59" spans="1:124" ht="26.25" hidden="1" customHeight="1" outlineLevel="1" collapsed="1" x14ac:dyDescent="0.4">
      <c r="A59" s="347">
        <v>27</v>
      </c>
      <c r="B59" s="347" t="s">
        <v>47</v>
      </c>
      <c r="C59" s="347" t="s">
        <v>14</v>
      </c>
      <c r="D59" s="349" t="s">
        <v>655</v>
      </c>
      <c r="E59" s="349" t="s">
        <v>650</v>
      </c>
      <c r="F59" s="349" t="s">
        <v>657</v>
      </c>
      <c r="G59" s="563" t="s">
        <v>656</v>
      </c>
      <c r="H59" s="449">
        <f t="shared" ref="H59" si="172">SUM(DE59:DK59)</f>
        <v>0</v>
      </c>
      <c r="I59" s="449">
        <f t="shared" ref="I59" si="173">SUM(DE60:DK60)</f>
        <v>0</v>
      </c>
      <c r="J59" s="447"/>
      <c r="K59" s="445"/>
      <c r="L59" s="445"/>
      <c r="M59" s="428"/>
      <c r="N59" s="21" t="s">
        <v>24</v>
      </c>
      <c r="O59" s="190">
        <f t="shared" si="152"/>
        <v>0</v>
      </c>
      <c r="P59" s="190">
        <f t="shared" si="152"/>
        <v>0</v>
      </c>
      <c r="Q59" s="190">
        <f t="shared" si="152"/>
        <v>0</v>
      </c>
      <c r="R59" s="190">
        <f t="shared" si="152"/>
        <v>0</v>
      </c>
      <c r="S59" s="190">
        <f t="shared" si="152"/>
        <v>0</v>
      </c>
      <c r="T59" s="190">
        <f t="shared" si="152"/>
        <v>0</v>
      </c>
      <c r="U59" s="190">
        <f t="shared" si="152"/>
        <v>0</v>
      </c>
      <c r="V59" s="190">
        <f t="shared" si="97"/>
        <v>0</v>
      </c>
      <c r="W59" s="190">
        <f t="shared" si="97"/>
        <v>0</v>
      </c>
      <c r="X59" s="86">
        <f t="shared" si="152"/>
        <v>0</v>
      </c>
      <c r="Y59" s="190">
        <f t="shared" si="164"/>
        <v>0</v>
      </c>
      <c r="Z59" s="190">
        <f t="shared" si="164"/>
        <v>0</v>
      </c>
      <c r="AA59" s="190">
        <f t="shared" si="164"/>
        <v>0</v>
      </c>
      <c r="AB59" s="190">
        <f t="shared" si="164"/>
        <v>0</v>
      </c>
      <c r="AC59" s="190">
        <f t="shared" si="164"/>
        <v>0</v>
      </c>
      <c r="AD59" s="190">
        <f t="shared" si="164"/>
        <v>0</v>
      </c>
      <c r="AE59" s="190">
        <f t="shared" si="170"/>
        <v>0</v>
      </c>
      <c r="AF59" s="190"/>
      <c r="AG59" s="190">
        <f t="shared" si="170"/>
        <v>0</v>
      </c>
      <c r="AH59" s="190">
        <f t="shared" si="170"/>
        <v>0</v>
      </c>
      <c r="AI59" s="77">
        <f t="shared" si="139"/>
        <v>0</v>
      </c>
      <c r="AJ59" s="190">
        <f t="shared" si="139"/>
        <v>0</v>
      </c>
      <c r="AK59" s="190">
        <f t="shared" si="139"/>
        <v>0</v>
      </c>
      <c r="AL59" s="190">
        <f t="shared" si="139"/>
        <v>0</v>
      </c>
      <c r="AM59" s="190">
        <f t="shared" si="139"/>
        <v>0</v>
      </c>
      <c r="AN59" s="190">
        <f t="shared" si="131"/>
        <v>0</v>
      </c>
      <c r="AO59" s="190">
        <f t="shared" si="131"/>
        <v>0</v>
      </c>
      <c r="AP59" s="190">
        <f t="shared" si="139"/>
        <v>0</v>
      </c>
      <c r="AQ59" s="190">
        <f t="shared" si="139"/>
        <v>0</v>
      </c>
      <c r="AR59" s="225">
        <f t="shared" si="139"/>
        <v>0</v>
      </c>
      <c r="AS59" s="23">
        <f t="shared" si="156"/>
        <v>0</v>
      </c>
      <c r="AT59" s="190">
        <f t="shared" si="156"/>
        <v>0</v>
      </c>
      <c r="AU59" s="190">
        <f t="shared" si="156"/>
        <v>0</v>
      </c>
      <c r="AV59" s="190">
        <f t="shared" si="156"/>
        <v>0</v>
      </c>
      <c r="AW59" s="190">
        <f t="shared" si="156"/>
        <v>0</v>
      </c>
      <c r="AX59" s="190">
        <f t="shared" si="157"/>
        <v>0</v>
      </c>
      <c r="AY59" s="190">
        <f t="shared" si="157"/>
        <v>0</v>
      </c>
      <c r="AZ59" s="190">
        <f t="shared" si="157"/>
        <v>0</v>
      </c>
      <c r="BA59" s="190">
        <f t="shared" si="157"/>
        <v>0</v>
      </c>
      <c r="BB59" s="225">
        <f t="shared" si="157"/>
        <v>0</v>
      </c>
      <c r="BC59" s="77">
        <f t="shared" ref="BC59:BC66" si="174">(0)/157.5</f>
        <v>0</v>
      </c>
      <c r="BD59" s="190">
        <f t="shared" si="171"/>
        <v>0</v>
      </c>
      <c r="BE59" s="190">
        <f t="shared" si="171"/>
        <v>0</v>
      </c>
      <c r="BF59" s="190">
        <f t="shared" si="171"/>
        <v>0</v>
      </c>
      <c r="BG59" s="190">
        <f t="shared" si="171"/>
        <v>0</v>
      </c>
      <c r="BH59" s="190">
        <f t="shared" si="171"/>
        <v>0</v>
      </c>
      <c r="BI59" s="190">
        <f t="shared" si="171"/>
        <v>0</v>
      </c>
      <c r="BJ59" s="190">
        <f t="shared" si="171"/>
        <v>0</v>
      </c>
      <c r="BK59" s="190">
        <f t="shared" si="171"/>
        <v>0</v>
      </c>
      <c r="BL59" s="190">
        <f t="shared" si="171"/>
        <v>0</v>
      </c>
      <c r="BM59" s="77">
        <f>(55)/165</f>
        <v>0.33333333333333331</v>
      </c>
      <c r="BN59" s="190">
        <f>(130)/165</f>
        <v>0.78787878787878785</v>
      </c>
      <c r="BO59" s="190">
        <f>(15)/165</f>
        <v>9.0909090909090912E-2</v>
      </c>
      <c r="BP59" s="190">
        <f>(100)/165</f>
        <v>0.60606060606060608</v>
      </c>
      <c r="BQ59" s="190">
        <f>(100)/165</f>
        <v>0.60606060606060608</v>
      </c>
      <c r="BR59" s="190">
        <f>(15)/165</f>
        <v>9.0909090909090912E-2</v>
      </c>
      <c r="BS59" s="190">
        <f>(100)/165</f>
        <v>0.60606060606060608</v>
      </c>
      <c r="BT59" s="190">
        <f t="shared" si="165"/>
        <v>0.30303030303030304</v>
      </c>
      <c r="BU59" s="190">
        <f>(100)/165</f>
        <v>0.60606060606060608</v>
      </c>
      <c r="BV59" s="190">
        <f>(120)/165</f>
        <v>0.72727272727272729</v>
      </c>
      <c r="BW59" s="23">
        <f>(17)/150</f>
        <v>0.11333333333333333</v>
      </c>
      <c r="BX59" s="190">
        <f>(17)/150</f>
        <v>0.11333333333333333</v>
      </c>
      <c r="BY59" s="190">
        <f t="shared" ref="BY59:CF59" si="175">(17)/150</f>
        <v>0.11333333333333333</v>
      </c>
      <c r="BZ59" s="190">
        <f>(34)/150</f>
        <v>0.22666666666666666</v>
      </c>
      <c r="CA59" s="190">
        <f t="shared" si="175"/>
        <v>0.11333333333333333</v>
      </c>
      <c r="CB59" s="190">
        <f t="shared" si="175"/>
        <v>0.11333333333333333</v>
      </c>
      <c r="CC59" s="190">
        <f t="shared" si="175"/>
        <v>0.11333333333333333</v>
      </c>
      <c r="CD59" s="190">
        <f>(0)/150</f>
        <v>0</v>
      </c>
      <c r="CE59" s="190">
        <f t="shared" si="175"/>
        <v>0.11333333333333333</v>
      </c>
      <c r="CF59" s="190">
        <f t="shared" si="175"/>
        <v>0.11333333333333333</v>
      </c>
      <c r="CG59" s="23">
        <f t="shared" si="147"/>
        <v>0</v>
      </c>
      <c r="CH59" s="190">
        <f t="shared" si="147"/>
        <v>0</v>
      </c>
      <c r="CI59" s="190">
        <f t="shared" si="147"/>
        <v>0</v>
      </c>
      <c r="CJ59" s="190">
        <f t="shared" si="147"/>
        <v>0</v>
      </c>
      <c r="CK59" s="190">
        <f t="shared" si="147"/>
        <v>0</v>
      </c>
      <c r="CL59" s="190">
        <f t="shared" si="147"/>
        <v>0</v>
      </c>
      <c r="CM59" s="190">
        <f t="shared" si="147"/>
        <v>0</v>
      </c>
      <c r="CN59" s="190">
        <f t="shared" si="147"/>
        <v>0</v>
      </c>
      <c r="CO59" s="190">
        <f t="shared" si="147"/>
        <v>0</v>
      </c>
      <c r="CP59" s="190">
        <f t="shared" si="147"/>
        <v>0</v>
      </c>
      <c r="CQ59" s="23">
        <f>(7)/150</f>
        <v>4.6666666666666669E-2</v>
      </c>
      <c r="CR59" s="190">
        <f>(40)/150</f>
        <v>0.26666666666666666</v>
      </c>
      <c r="CS59" s="190">
        <f t="shared" si="167"/>
        <v>0</v>
      </c>
      <c r="CT59" s="190">
        <f>(30)/150</f>
        <v>0.2</v>
      </c>
      <c r="CU59" s="190">
        <f>(30)/150</f>
        <v>0.2</v>
      </c>
      <c r="CV59" s="190">
        <f>(10)/150</f>
        <v>6.6666666666666666E-2</v>
      </c>
      <c r="CW59" s="190">
        <f t="shared" si="167"/>
        <v>0</v>
      </c>
      <c r="CX59" s="77">
        <f t="shared" si="127"/>
        <v>0</v>
      </c>
      <c r="CY59" s="190">
        <f t="shared" si="127"/>
        <v>0</v>
      </c>
      <c r="CZ59" s="190">
        <f t="shared" si="127"/>
        <v>0</v>
      </c>
      <c r="DA59" s="190">
        <f t="shared" si="127"/>
        <v>0</v>
      </c>
      <c r="DB59" s="190">
        <f t="shared" si="127"/>
        <v>0</v>
      </c>
      <c r="DC59" s="190">
        <f t="shared" si="158"/>
        <v>0</v>
      </c>
      <c r="DD59" s="190">
        <f t="shared" si="158"/>
        <v>0</v>
      </c>
      <c r="DE59" s="23">
        <f t="shared" si="149"/>
        <v>0</v>
      </c>
      <c r="DF59" s="190">
        <f t="shared" si="149"/>
        <v>0</v>
      </c>
      <c r="DG59" s="190">
        <f t="shared" si="149"/>
        <v>0</v>
      </c>
      <c r="DH59" s="190">
        <f t="shared" si="149"/>
        <v>0</v>
      </c>
      <c r="DI59" s="190">
        <f t="shared" si="149"/>
        <v>0</v>
      </c>
      <c r="DJ59" s="190">
        <f t="shared" si="159"/>
        <v>0</v>
      </c>
      <c r="DK59" s="190">
        <f t="shared" si="159"/>
        <v>0</v>
      </c>
      <c r="DL59" s="23">
        <f t="shared" si="169"/>
        <v>0</v>
      </c>
      <c r="DM59" s="10">
        <f t="shared" si="169"/>
        <v>0</v>
      </c>
      <c r="DN59" s="10">
        <f t="shared" si="169"/>
        <v>0</v>
      </c>
      <c r="DO59" s="10">
        <f t="shared" si="169"/>
        <v>0</v>
      </c>
      <c r="DP59" s="10">
        <f t="shared" si="169"/>
        <v>0</v>
      </c>
      <c r="DQ59" s="190">
        <f t="shared" si="160"/>
        <v>0</v>
      </c>
      <c r="DR59" s="190">
        <f t="shared" si="160"/>
        <v>0</v>
      </c>
      <c r="DS59" s="190">
        <f t="shared" si="160"/>
        <v>0</v>
      </c>
      <c r="DT59" s="54"/>
    </row>
    <row r="60" spans="1:124" ht="26.25" hidden="1" customHeight="1" outlineLevel="1" x14ac:dyDescent="0.4">
      <c r="A60" s="348"/>
      <c r="B60" s="348"/>
      <c r="C60" s="348"/>
      <c r="D60" s="350"/>
      <c r="E60" s="350"/>
      <c r="F60" s="350"/>
      <c r="G60" s="565"/>
      <c r="H60" s="450"/>
      <c r="I60" s="450"/>
      <c r="J60" s="448"/>
      <c r="K60" s="446"/>
      <c r="L60" s="446"/>
      <c r="M60" s="429"/>
      <c r="N60" s="209" t="s">
        <v>25</v>
      </c>
      <c r="O60" s="209">
        <f t="shared" si="152"/>
        <v>0</v>
      </c>
      <c r="P60" s="209">
        <f t="shared" si="152"/>
        <v>0</v>
      </c>
      <c r="Q60" s="209">
        <f t="shared" si="152"/>
        <v>0</v>
      </c>
      <c r="R60" s="209">
        <f t="shared" si="152"/>
        <v>0</v>
      </c>
      <c r="S60" s="209">
        <f t="shared" si="152"/>
        <v>0</v>
      </c>
      <c r="T60" s="209">
        <f t="shared" si="152"/>
        <v>0</v>
      </c>
      <c r="U60" s="209">
        <f t="shared" si="152"/>
        <v>0</v>
      </c>
      <c r="V60" s="209">
        <f t="shared" si="97"/>
        <v>0</v>
      </c>
      <c r="W60" s="209">
        <f t="shared" si="97"/>
        <v>0</v>
      </c>
      <c r="X60" s="53">
        <f t="shared" si="152"/>
        <v>0</v>
      </c>
      <c r="Y60" s="209">
        <f t="shared" si="164"/>
        <v>0</v>
      </c>
      <c r="Z60" s="209">
        <f t="shared" si="164"/>
        <v>0</v>
      </c>
      <c r="AA60" s="209">
        <f t="shared" si="164"/>
        <v>0</v>
      </c>
      <c r="AB60" s="209">
        <f t="shared" si="164"/>
        <v>0</v>
      </c>
      <c r="AC60" s="209">
        <f t="shared" si="164"/>
        <v>0</v>
      </c>
      <c r="AD60" s="209">
        <f t="shared" si="164"/>
        <v>0</v>
      </c>
      <c r="AE60" s="209">
        <f t="shared" si="170"/>
        <v>0</v>
      </c>
      <c r="AF60" s="209"/>
      <c r="AG60" s="209">
        <f t="shared" si="170"/>
        <v>0</v>
      </c>
      <c r="AH60" s="209">
        <f t="shared" si="170"/>
        <v>0</v>
      </c>
      <c r="AI60" s="58">
        <f t="shared" si="139"/>
        <v>0</v>
      </c>
      <c r="AJ60" s="209">
        <f t="shared" si="139"/>
        <v>0</v>
      </c>
      <c r="AK60" s="209">
        <f t="shared" si="139"/>
        <v>0</v>
      </c>
      <c r="AL60" s="209">
        <f t="shared" si="139"/>
        <v>0</v>
      </c>
      <c r="AM60" s="209">
        <f t="shared" si="139"/>
        <v>0</v>
      </c>
      <c r="AN60" s="209">
        <f t="shared" si="131"/>
        <v>0</v>
      </c>
      <c r="AO60" s="209">
        <f t="shared" si="131"/>
        <v>0</v>
      </c>
      <c r="AP60" s="209">
        <f t="shared" si="139"/>
        <v>0</v>
      </c>
      <c r="AQ60" s="209">
        <f t="shared" si="139"/>
        <v>0</v>
      </c>
      <c r="AR60" s="53">
        <f t="shared" si="139"/>
        <v>0</v>
      </c>
      <c r="AS60" s="65">
        <f t="shared" si="156"/>
        <v>0</v>
      </c>
      <c r="AT60" s="210">
        <f t="shared" si="156"/>
        <v>0</v>
      </c>
      <c r="AU60" s="210">
        <f t="shared" si="156"/>
        <v>0</v>
      </c>
      <c r="AV60" s="210">
        <f t="shared" si="156"/>
        <v>0</v>
      </c>
      <c r="AW60" s="280">
        <f t="shared" si="156"/>
        <v>0</v>
      </c>
      <c r="AX60" s="210">
        <f t="shared" si="157"/>
        <v>0</v>
      </c>
      <c r="AY60" s="210">
        <f t="shared" si="157"/>
        <v>0</v>
      </c>
      <c r="AZ60" s="210">
        <f t="shared" si="157"/>
        <v>0</v>
      </c>
      <c r="BA60" s="210">
        <f t="shared" si="157"/>
        <v>0</v>
      </c>
      <c r="BB60" s="53">
        <f t="shared" si="157"/>
        <v>0</v>
      </c>
      <c r="BC60" s="58">
        <f t="shared" si="174"/>
        <v>0</v>
      </c>
      <c r="BD60" s="209">
        <f t="shared" si="171"/>
        <v>0</v>
      </c>
      <c r="BE60" s="209">
        <f t="shared" si="171"/>
        <v>0</v>
      </c>
      <c r="BF60" s="209">
        <f t="shared" si="171"/>
        <v>0</v>
      </c>
      <c r="BG60" s="209">
        <f t="shared" si="171"/>
        <v>0</v>
      </c>
      <c r="BH60" s="209">
        <f t="shared" si="171"/>
        <v>0</v>
      </c>
      <c r="BI60" s="209">
        <f t="shared" si="171"/>
        <v>0</v>
      </c>
      <c r="BJ60" s="209">
        <f t="shared" si="171"/>
        <v>0</v>
      </c>
      <c r="BK60" s="209">
        <f t="shared" si="171"/>
        <v>0</v>
      </c>
      <c r="BL60" s="209">
        <f t="shared" si="171"/>
        <v>0</v>
      </c>
      <c r="BM60" s="58">
        <f>(4.25+6+15.5+18.5+6)/165</f>
        <v>0.30454545454545456</v>
      </c>
      <c r="BN60" s="209">
        <f>(20+33.5+34.5+29.5+27.5)/165</f>
        <v>0.87878787878787878</v>
      </c>
      <c r="BO60" s="209">
        <f>(5+8)/165</f>
        <v>7.8787878787878782E-2</v>
      </c>
      <c r="BP60" s="209">
        <f>(8+14+22.5+33.5+27.5)/165</f>
        <v>0.6393939393939394</v>
      </c>
      <c r="BQ60" s="209">
        <f>(10+24.5+32+32.5+27.5)/165</f>
        <v>0.76666666666666672</v>
      </c>
      <c r="BR60" s="209">
        <f>(11+2)/165</f>
        <v>7.8787878787878782E-2</v>
      </c>
      <c r="BS60" s="209">
        <f>(10+16.5+31.5+29+20.5)/165</f>
        <v>0.65151515151515149</v>
      </c>
      <c r="BT60" s="209">
        <f>(16+10.5+5)/165</f>
        <v>0.19090909090909092</v>
      </c>
      <c r="BU60" s="209">
        <f>(13+21.5+16+2+11.5)/165</f>
        <v>0.38787878787878788</v>
      </c>
      <c r="BV60" s="209">
        <f>(9+18.5+34.5+34.5+27.5)/165</f>
        <v>0.75151515151515147</v>
      </c>
      <c r="BW60" s="65">
        <f>(0.5+4+2)/150</f>
        <v>4.3333333333333335E-2</v>
      </c>
      <c r="BX60" s="209">
        <f>(7+13.5+4.5+5.5)/150</f>
        <v>0.20333333333333334</v>
      </c>
      <c r="BY60" s="209">
        <f>(3.5+7)/150</f>
        <v>7.0000000000000007E-2</v>
      </c>
      <c r="BZ60" s="209">
        <f>(7+21+3)/150</f>
        <v>0.20666666666666667</v>
      </c>
      <c r="CA60" s="209">
        <f>(7+13.5)/150</f>
        <v>0.13666666666666666</v>
      </c>
      <c r="CB60" s="209">
        <f>(0+10.5)/150</f>
        <v>7.0000000000000007E-2</v>
      </c>
      <c r="CC60" s="209">
        <f>(0+14)/150</f>
        <v>9.3333333333333338E-2</v>
      </c>
      <c r="CD60" s="209">
        <f t="shared" ref="CC60:CD64" si="176">(0)/150</f>
        <v>0</v>
      </c>
      <c r="CE60" s="209">
        <f>(4+9.5)/150</f>
        <v>0.09</v>
      </c>
      <c r="CF60" s="209">
        <f>(7+17.5+3+2.5)/150</f>
        <v>0.2</v>
      </c>
      <c r="CG60" s="65">
        <f t="shared" si="147"/>
        <v>0</v>
      </c>
      <c r="CH60" s="209">
        <f t="shared" si="147"/>
        <v>0</v>
      </c>
      <c r="CI60" s="209">
        <f t="shared" si="147"/>
        <v>0</v>
      </c>
      <c r="CJ60" s="209">
        <f t="shared" si="147"/>
        <v>0</v>
      </c>
      <c r="CK60" s="209">
        <f t="shared" si="147"/>
        <v>0</v>
      </c>
      <c r="CL60" s="209">
        <f t="shared" si="147"/>
        <v>0</v>
      </c>
      <c r="CM60" s="209">
        <f t="shared" si="147"/>
        <v>0</v>
      </c>
      <c r="CN60" s="209">
        <f t="shared" si="147"/>
        <v>0</v>
      </c>
      <c r="CO60" s="209">
        <f t="shared" si="147"/>
        <v>0</v>
      </c>
      <c r="CP60" s="209">
        <f t="shared" si="147"/>
        <v>0</v>
      </c>
      <c r="CQ60" s="65">
        <f>(1+5+2.75)/150</f>
        <v>5.8333333333333334E-2</v>
      </c>
      <c r="CR60" s="209">
        <f>(5+21.5+16)/150</f>
        <v>0.28333333333333333</v>
      </c>
      <c r="CS60" s="209">
        <f t="shared" si="167"/>
        <v>0</v>
      </c>
      <c r="CT60" s="209">
        <f>(10.5+16)/150</f>
        <v>0.17666666666666667</v>
      </c>
      <c r="CU60" s="209">
        <f>(7.5+14.5+8.5)/150</f>
        <v>0.20333333333333334</v>
      </c>
      <c r="CV60" s="209">
        <f>(0+7)/150</f>
        <v>4.6666666666666669E-2</v>
      </c>
      <c r="CW60" s="209">
        <f t="shared" si="167"/>
        <v>0</v>
      </c>
      <c r="CX60" s="65">
        <f t="shared" si="127"/>
        <v>0</v>
      </c>
      <c r="CY60" s="210">
        <f t="shared" si="127"/>
        <v>0</v>
      </c>
      <c r="CZ60" s="210">
        <f t="shared" si="127"/>
        <v>0</v>
      </c>
      <c r="DA60" s="210">
        <f t="shared" si="127"/>
        <v>0</v>
      </c>
      <c r="DB60" s="210">
        <f t="shared" si="127"/>
        <v>0</v>
      </c>
      <c r="DC60" s="210">
        <f t="shared" si="158"/>
        <v>0</v>
      </c>
      <c r="DD60" s="209">
        <f t="shared" si="158"/>
        <v>0</v>
      </c>
      <c r="DE60" s="65">
        <f t="shared" si="149"/>
        <v>0</v>
      </c>
      <c r="DF60" s="210">
        <f t="shared" si="149"/>
        <v>0</v>
      </c>
      <c r="DG60" s="210">
        <f t="shared" si="149"/>
        <v>0</v>
      </c>
      <c r="DH60" s="210">
        <f t="shared" si="149"/>
        <v>0</v>
      </c>
      <c r="DI60" s="210">
        <f t="shared" si="149"/>
        <v>0</v>
      </c>
      <c r="DJ60" s="210">
        <f t="shared" si="159"/>
        <v>0</v>
      </c>
      <c r="DK60" s="210">
        <f t="shared" si="159"/>
        <v>0</v>
      </c>
      <c r="DL60" s="65">
        <f t="shared" si="169"/>
        <v>0</v>
      </c>
      <c r="DM60" s="60">
        <f t="shared" si="169"/>
        <v>0</v>
      </c>
      <c r="DN60" s="60">
        <f t="shared" si="169"/>
        <v>0</v>
      </c>
      <c r="DO60" s="60">
        <f t="shared" si="169"/>
        <v>0</v>
      </c>
      <c r="DP60" s="60">
        <f t="shared" si="169"/>
        <v>0</v>
      </c>
      <c r="DQ60" s="210">
        <f t="shared" si="160"/>
        <v>0</v>
      </c>
      <c r="DR60" s="210">
        <f t="shared" si="160"/>
        <v>0</v>
      </c>
      <c r="DS60" s="210">
        <f t="shared" si="160"/>
        <v>0</v>
      </c>
    </row>
    <row r="61" spans="1:124" ht="26.25" hidden="1" customHeight="1" outlineLevel="1" collapsed="1" x14ac:dyDescent="0.4">
      <c r="A61" s="347">
        <v>28</v>
      </c>
      <c r="B61" s="347" t="s">
        <v>47</v>
      </c>
      <c r="C61" s="347" t="s">
        <v>347</v>
      </c>
      <c r="D61" s="349" t="s">
        <v>348</v>
      </c>
      <c r="E61" s="349" t="s">
        <v>651</v>
      </c>
      <c r="F61" s="349" t="s">
        <v>659</v>
      </c>
      <c r="G61" s="563" t="s">
        <v>658</v>
      </c>
      <c r="H61" s="449">
        <f t="shared" ref="H61" si="177">SUM(DE61:DK61)</f>
        <v>0</v>
      </c>
      <c r="I61" s="449">
        <f t="shared" ref="I61" si="178">SUM(DE62:DK62)</f>
        <v>0</v>
      </c>
      <c r="J61" s="447"/>
      <c r="K61" s="445"/>
      <c r="L61" s="445"/>
      <c r="M61" s="428"/>
      <c r="N61" s="21" t="s">
        <v>24</v>
      </c>
      <c r="O61" s="190">
        <f t="shared" si="152"/>
        <v>0</v>
      </c>
      <c r="P61" s="190">
        <f t="shared" si="152"/>
        <v>0</v>
      </c>
      <c r="Q61" s="190">
        <f t="shared" si="152"/>
        <v>0</v>
      </c>
      <c r="R61" s="190">
        <f t="shared" si="152"/>
        <v>0</v>
      </c>
      <c r="S61" s="190">
        <f t="shared" si="152"/>
        <v>0</v>
      </c>
      <c r="T61" s="190">
        <f t="shared" si="152"/>
        <v>0</v>
      </c>
      <c r="U61" s="190">
        <f t="shared" si="152"/>
        <v>0</v>
      </c>
      <c r="V61" s="190">
        <f t="shared" si="97"/>
        <v>0</v>
      </c>
      <c r="W61" s="190">
        <f t="shared" si="97"/>
        <v>0</v>
      </c>
      <c r="X61" s="86">
        <f t="shared" si="152"/>
        <v>0</v>
      </c>
      <c r="Y61" s="190">
        <f t="shared" si="164"/>
        <v>0</v>
      </c>
      <c r="Z61" s="190">
        <f t="shared" si="164"/>
        <v>0</v>
      </c>
      <c r="AA61" s="190">
        <f t="shared" si="164"/>
        <v>0</v>
      </c>
      <c r="AB61" s="190">
        <f t="shared" si="164"/>
        <v>0</v>
      </c>
      <c r="AC61" s="190">
        <f t="shared" si="164"/>
        <v>0</v>
      </c>
      <c r="AD61" s="190">
        <f t="shared" si="164"/>
        <v>0</v>
      </c>
      <c r="AE61" s="190">
        <f t="shared" si="170"/>
        <v>0</v>
      </c>
      <c r="AF61" s="190"/>
      <c r="AG61" s="190">
        <f t="shared" si="170"/>
        <v>0</v>
      </c>
      <c r="AH61" s="190">
        <f t="shared" si="170"/>
        <v>0</v>
      </c>
      <c r="AI61" s="77">
        <f t="shared" si="139"/>
        <v>0</v>
      </c>
      <c r="AJ61" s="190">
        <f t="shared" si="139"/>
        <v>0</v>
      </c>
      <c r="AK61" s="190">
        <f t="shared" si="139"/>
        <v>0</v>
      </c>
      <c r="AL61" s="190">
        <f t="shared" si="139"/>
        <v>0</v>
      </c>
      <c r="AM61" s="190">
        <f t="shared" si="139"/>
        <v>0</v>
      </c>
      <c r="AN61" s="190">
        <f t="shared" si="131"/>
        <v>0</v>
      </c>
      <c r="AO61" s="190">
        <f t="shared" si="131"/>
        <v>0</v>
      </c>
      <c r="AP61" s="190">
        <f t="shared" si="139"/>
        <v>0</v>
      </c>
      <c r="AQ61" s="190">
        <f t="shared" si="139"/>
        <v>0</v>
      </c>
      <c r="AR61" s="225">
        <f t="shared" si="139"/>
        <v>0</v>
      </c>
      <c r="AS61" s="23">
        <f t="shared" si="156"/>
        <v>0</v>
      </c>
      <c r="AT61" s="190">
        <f t="shared" si="156"/>
        <v>0</v>
      </c>
      <c r="AU61" s="190">
        <f t="shared" si="156"/>
        <v>0</v>
      </c>
      <c r="AV61" s="190">
        <f t="shared" si="156"/>
        <v>0</v>
      </c>
      <c r="AW61" s="190">
        <f t="shared" si="156"/>
        <v>0</v>
      </c>
      <c r="AX61" s="190">
        <f t="shared" si="157"/>
        <v>0</v>
      </c>
      <c r="AY61" s="190">
        <f t="shared" si="157"/>
        <v>0</v>
      </c>
      <c r="AZ61" s="190">
        <f t="shared" si="157"/>
        <v>0</v>
      </c>
      <c r="BA61" s="190">
        <f t="shared" si="157"/>
        <v>0</v>
      </c>
      <c r="BB61" s="225">
        <f t="shared" si="157"/>
        <v>0</v>
      </c>
      <c r="BC61" s="77">
        <f t="shared" si="174"/>
        <v>0</v>
      </c>
      <c r="BD61" s="190">
        <f t="shared" si="171"/>
        <v>0</v>
      </c>
      <c r="BE61" s="190">
        <f t="shared" si="171"/>
        <v>0</v>
      </c>
      <c r="BF61" s="190">
        <f t="shared" si="171"/>
        <v>0</v>
      </c>
      <c r="BG61" s="190">
        <f t="shared" si="171"/>
        <v>0</v>
      </c>
      <c r="BH61" s="190">
        <f t="shared" si="171"/>
        <v>0</v>
      </c>
      <c r="BI61" s="190">
        <f t="shared" si="171"/>
        <v>0</v>
      </c>
      <c r="BJ61" s="190">
        <f t="shared" si="171"/>
        <v>0</v>
      </c>
      <c r="BK61" s="190">
        <f t="shared" si="171"/>
        <v>0</v>
      </c>
      <c r="BL61" s="190">
        <f t="shared" si="171"/>
        <v>0</v>
      </c>
      <c r="BM61" s="77">
        <f>(10)/165</f>
        <v>6.0606060606060608E-2</v>
      </c>
      <c r="BN61" s="190">
        <f t="shared" si="114"/>
        <v>0</v>
      </c>
      <c r="BO61" s="190">
        <f t="shared" si="114"/>
        <v>0</v>
      </c>
      <c r="BP61" s="190">
        <f t="shared" si="114"/>
        <v>0</v>
      </c>
      <c r="BQ61" s="190">
        <f>(20)/165</f>
        <v>0.12121212121212122</v>
      </c>
      <c r="BR61" s="190">
        <f t="shared" si="109"/>
        <v>0</v>
      </c>
      <c r="BS61" s="190">
        <f t="shared" si="109"/>
        <v>0</v>
      </c>
      <c r="BT61" s="190">
        <f t="shared" si="109"/>
        <v>0</v>
      </c>
      <c r="BU61" s="190">
        <f>(10)/165</f>
        <v>6.0606060606060608E-2</v>
      </c>
      <c r="BV61" s="190">
        <f>(20)/165</f>
        <v>0.12121212121212122</v>
      </c>
      <c r="BW61" s="23">
        <f t="shared" ref="BW61:CB64" si="179">(0)/150</f>
        <v>0</v>
      </c>
      <c r="BX61" s="190">
        <f t="shared" si="179"/>
        <v>0</v>
      </c>
      <c r="BY61" s="190">
        <f t="shared" si="179"/>
        <v>0</v>
      </c>
      <c r="BZ61" s="190">
        <f t="shared" si="179"/>
        <v>0</v>
      </c>
      <c r="CA61" s="190">
        <f t="shared" si="179"/>
        <v>0</v>
      </c>
      <c r="CB61" s="190">
        <f t="shared" si="179"/>
        <v>0</v>
      </c>
      <c r="CC61" s="190">
        <f t="shared" si="176"/>
        <v>0</v>
      </c>
      <c r="CD61" s="190">
        <f t="shared" si="176"/>
        <v>0</v>
      </c>
      <c r="CE61" s="190">
        <f t="shared" ref="CE61:CF72" si="180">(0)/150</f>
        <v>0</v>
      </c>
      <c r="CF61" s="190">
        <f t="shared" si="180"/>
        <v>0</v>
      </c>
      <c r="CG61" s="23">
        <f t="shared" ref="CG61:CP75" si="181">(0)/135</f>
        <v>0</v>
      </c>
      <c r="CH61" s="190">
        <f t="shared" si="181"/>
        <v>0</v>
      </c>
      <c r="CI61" s="190">
        <f t="shared" si="181"/>
        <v>0</v>
      </c>
      <c r="CJ61" s="190">
        <f t="shared" si="181"/>
        <v>0</v>
      </c>
      <c r="CK61" s="190">
        <f t="shared" si="181"/>
        <v>0</v>
      </c>
      <c r="CL61" s="190">
        <f t="shared" si="181"/>
        <v>0</v>
      </c>
      <c r="CM61" s="190">
        <f t="shared" si="181"/>
        <v>0</v>
      </c>
      <c r="CN61" s="190">
        <f t="shared" si="181"/>
        <v>0</v>
      </c>
      <c r="CO61" s="190">
        <f t="shared" si="181"/>
        <v>0</v>
      </c>
      <c r="CP61" s="190">
        <f t="shared" si="181"/>
        <v>0</v>
      </c>
      <c r="CQ61" s="23">
        <f t="shared" si="148"/>
        <v>0</v>
      </c>
      <c r="CR61" s="190">
        <f t="shared" si="148"/>
        <v>0</v>
      </c>
      <c r="CS61" s="190">
        <f t="shared" si="148"/>
        <v>0</v>
      </c>
      <c r="CT61" s="190">
        <f t="shared" si="148"/>
        <v>0</v>
      </c>
      <c r="CU61" s="190">
        <f t="shared" si="148"/>
        <v>0</v>
      </c>
      <c r="CV61" s="190">
        <f t="shared" si="148"/>
        <v>0</v>
      </c>
      <c r="CW61" s="190">
        <f t="shared" si="148"/>
        <v>0</v>
      </c>
      <c r="CX61" s="77">
        <f t="shared" si="127"/>
        <v>0</v>
      </c>
      <c r="CY61" s="190">
        <f t="shared" si="127"/>
        <v>0</v>
      </c>
      <c r="CZ61" s="190">
        <f t="shared" si="127"/>
        <v>0</v>
      </c>
      <c r="DA61" s="190">
        <f t="shared" si="127"/>
        <v>0</v>
      </c>
      <c r="DB61" s="190">
        <f t="shared" si="127"/>
        <v>0</v>
      </c>
      <c r="DC61" s="190">
        <f t="shared" si="158"/>
        <v>0</v>
      </c>
      <c r="DD61" s="190">
        <f t="shared" si="158"/>
        <v>0</v>
      </c>
      <c r="DE61" s="23">
        <f t="shared" ref="DE61:DI70" si="182">0/127.5</f>
        <v>0</v>
      </c>
      <c r="DF61" s="190">
        <f t="shared" si="182"/>
        <v>0</v>
      </c>
      <c r="DG61" s="190">
        <f t="shared" si="182"/>
        <v>0</v>
      </c>
      <c r="DH61" s="190">
        <f t="shared" si="182"/>
        <v>0</v>
      </c>
      <c r="DI61" s="190">
        <f t="shared" si="182"/>
        <v>0</v>
      </c>
      <c r="DJ61" s="190">
        <f t="shared" si="159"/>
        <v>0</v>
      </c>
      <c r="DK61" s="190">
        <f t="shared" si="159"/>
        <v>0</v>
      </c>
      <c r="DL61" s="23">
        <f t="shared" si="169"/>
        <v>0</v>
      </c>
      <c r="DM61" s="10">
        <f t="shared" si="169"/>
        <v>0</v>
      </c>
      <c r="DN61" s="10">
        <f t="shared" si="169"/>
        <v>0</v>
      </c>
      <c r="DO61" s="10">
        <f t="shared" si="169"/>
        <v>0</v>
      </c>
      <c r="DP61" s="10">
        <f t="shared" si="169"/>
        <v>0</v>
      </c>
      <c r="DQ61" s="190">
        <f t="shared" si="160"/>
        <v>0</v>
      </c>
      <c r="DR61" s="190">
        <f t="shared" si="160"/>
        <v>0</v>
      </c>
      <c r="DS61" s="190">
        <f t="shared" si="160"/>
        <v>0</v>
      </c>
      <c r="DT61" s="54"/>
    </row>
    <row r="62" spans="1:124" ht="26.25" hidden="1" customHeight="1" outlineLevel="1" x14ac:dyDescent="0.4">
      <c r="A62" s="348"/>
      <c r="B62" s="348"/>
      <c r="C62" s="348"/>
      <c r="D62" s="350"/>
      <c r="E62" s="350"/>
      <c r="F62" s="350"/>
      <c r="G62" s="565"/>
      <c r="H62" s="450"/>
      <c r="I62" s="450"/>
      <c r="J62" s="448"/>
      <c r="K62" s="446"/>
      <c r="L62" s="446"/>
      <c r="M62" s="429"/>
      <c r="N62" s="209" t="s">
        <v>25</v>
      </c>
      <c r="O62" s="209">
        <f t="shared" si="152"/>
        <v>0</v>
      </c>
      <c r="P62" s="209">
        <f t="shared" si="152"/>
        <v>0</v>
      </c>
      <c r="Q62" s="209">
        <f t="shared" si="152"/>
        <v>0</v>
      </c>
      <c r="R62" s="209">
        <f t="shared" si="152"/>
        <v>0</v>
      </c>
      <c r="S62" s="209">
        <f t="shared" si="152"/>
        <v>0</v>
      </c>
      <c r="T62" s="209">
        <f t="shared" si="152"/>
        <v>0</v>
      </c>
      <c r="U62" s="209">
        <f t="shared" si="152"/>
        <v>0</v>
      </c>
      <c r="V62" s="209">
        <f t="shared" si="97"/>
        <v>0</v>
      </c>
      <c r="W62" s="209">
        <f t="shared" si="97"/>
        <v>0</v>
      </c>
      <c r="X62" s="53">
        <f t="shared" si="152"/>
        <v>0</v>
      </c>
      <c r="Y62" s="209">
        <f t="shared" si="164"/>
        <v>0</v>
      </c>
      <c r="Z62" s="209">
        <f t="shared" si="164"/>
        <v>0</v>
      </c>
      <c r="AA62" s="209">
        <f t="shared" si="164"/>
        <v>0</v>
      </c>
      <c r="AB62" s="209">
        <f t="shared" si="164"/>
        <v>0</v>
      </c>
      <c r="AC62" s="209">
        <f t="shared" si="164"/>
        <v>0</v>
      </c>
      <c r="AD62" s="209">
        <f t="shared" si="164"/>
        <v>0</v>
      </c>
      <c r="AE62" s="209">
        <f t="shared" si="170"/>
        <v>0</v>
      </c>
      <c r="AF62" s="209"/>
      <c r="AG62" s="209">
        <f t="shared" si="170"/>
        <v>0</v>
      </c>
      <c r="AH62" s="209">
        <f t="shared" si="170"/>
        <v>0</v>
      </c>
      <c r="AI62" s="58">
        <f t="shared" si="139"/>
        <v>0</v>
      </c>
      <c r="AJ62" s="209">
        <f t="shared" si="139"/>
        <v>0</v>
      </c>
      <c r="AK62" s="209">
        <f t="shared" si="139"/>
        <v>0</v>
      </c>
      <c r="AL62" s="209">
        <f t="shared" si="139"/>
        <v>0</v>
      </c>
      <c r="AM62" s="209">
        <f t="shared" si="139"/>
        <v>0</v>
      </c>
      <c r="AN62" s="209">
        <f t="shared" si="131"/>
        <v>0</v>
      </c>
      <c r="AO62" s="209">
        <f t="shared" si="131"/>
        <v>0</v>
      </c>
      <c r="AP62" s="209">
        <f t="shared" si="139"/>
        <v>0</v>
      </c>
      <c r="AQ62" s="209">
        <f t="shared" si="139"/>
        <v>0</v>
      </c>
      <c r="AR62" s="53">
        <f t="shared" si="139"/>
        <v>0</v>
      </c>
      <c r="AS62" s="65">
        <f t="shared" si="156"/>
        <v>0</v>
      </c>
      <c r="AT62" s="210">
        <f t="shared" si="156"/>
        <v>0</v>
      </c>
      <c r="AU62" s="210">
        <f t="shared" si="156"/>
        <v>0</v>
      </c>
      <c r="AV62" s="210">
        <f t="shared" si="156"/>
        <v>0</v>
      </c>
      <c r="AW62" s="280">
        <f t="shared" si="156"/>
        <v>0</v>
      </c>
      <c r="AX62" s="210">
        <f t="shared" si="157"/>
        <v>0</v>
      </c>
      <c r="AY62" s="210">
        <f t="shared" si="157"/>
        <v>0</v>
      </c>
      <c r="AZ62" s="210">
        <f t="shared" si="157"/>
        <v>0</v>
      </c>
      <c r="BA62" s="210">
        <f t="shared" si="157"/>
        <v>0</v>
      </c>
      <c r="BB62" s="53">
        <f t="shared" si="157"/>
        <v>0</v>
      </c>
      <c r="BC62" s="58">
        <f t="shared" si="174"/>
        <v>0</v>
      </c>
      <c r="BD62" s="209">
        <f t="shared" si="171"/>
        <v>0</v>
      </c>
      <c r="BE62" s="209">
        <f t="shared" si="171"/>
        <v>0</v>
      </c>
      <c r="BF62" s="209">
        <f t="shared" si="171"/>
        <v>0</v>
      </c>
      <c r="BG62" s="209">
        <f t="shared" si="171"/>
        <v>0</v>
      </c>
      <c r="BH62" s="209">
        <f t="shared" si="171"/>
        <v>0</v>
      </c>
      <c r="BI62" s="209">
        <f t="shared" si="171"/>
        <v>0</v>
      </c>
      <c r="BJ62" s="209">
        <f t="shared" si="171"/>
        <v>0</v>
      </c>
      <c r="BK62" s="209">
        <f t="shared" si="171"/>
        <v>0</v>
      </c>
      <c r="BL62" s="209">
        <f t="shared" si="171"/>
        <v>0</v>
      </c>
      <c r="BM62" s="58">
        <f>(1+5)/165</f>
        <v>3.6363636363636362E-2</v>
      </c>
      <c r="BN62" s="209">
        <f t="shared" si="114"/>
        <v>0</v>
      </c>
      <c r="BO62" s="209">
        <f t="shared" si="114"/>
        <v>0</v>
      </c>
      <c r="BP62" s="209">
        <f t="shared" si="114"/>
        <v>0</v>
      </c>
      <c r="BQ62" s="209">
        <f>(6+10)/165</f>
        <v>9.696969696969697E-2</v>
      </c>
      <c r="BR62" s="209">
        <f t="shared" si="109"/>
        <v>0</v>
      </c>
      <c r="BS62" s="209">
        <f t="shared" si="109"/>
        <v>0</v>
      </c>
      <c r="BT62" s="209">
        <f t="shared" si="109"/>
        <v>0</v>
      </c>
      <c r="BU62" s="209">
        <f>(0+3)/165</f>
        <v>1.8181818181818181E-2</v>
      </c>
      <c r="BV62" s="209">
        <f>(12+9)/165</f>
        <v>0.12727272727272726</v>
      </c>
      <c r="BW62" s="65">
        <f t="shared" si="179"/>
        <v>0</v>
      </c>
      <c r="BX62" s="209">
        <f t="shared" si="179"/>
        <v>0</v>
      </c>
      <c r="BY62" s="209">
        <f t="shared" si="179"/>
        <v>0</v>
      </c>
      <c r="BZ62" s="209">
        <f t="shared" si="179"/>
        <v>0</v>
      </c>
      <c r="CA62" s="209">
        <f t="shared" si="179"/>
        <v>0</v>
      </c>
      <c r="CB62" s="209">
        <f t="shared" si="179"/>
        <v>0</v>
      </c>
      <c r="CC62" s="209">
        <f t="shared" si="176"/>
        <v>0</v>
      </c>
      <c r="CD62" s="209">
        <f t="shared" si="176"/>
        <v>0</v>
      </c>
      <c r="CE62" s="209">
        <f t="shared" si="180"/>
        <v>0</v>
      </c>
      <c r="CF62" s="209">
        <f t="shared" si="180"/>
        <v>0</v>
      </c>
      <c r="CG62" s="65">
        <f t="shared" si="181"/>
        <v>0</v>
      </c>
      <c r="CH62" s="209">
        <f t="shared" si="181"/>
        <v>0</v>
      </c>
      <c r="CI62" s="209">
        <f t="shared" si="181"/>
        <v>0</v>
      </c>
      <c r="CJ62" s="209">
        <f t="shared" si="181"/>
        <v>0</v>
      </c>
      <c r="CK62" s="209">
        <f t="shared" si="181"/>
        <v>0</v>
      </c>
      <c r="CL62" s="209">
        <f t="shared" si="181"/>
        <v>0</v>
      </c>
      <c r="CM62" s="209">
        <f t="shared" si="181"/>
        <v>0</v>
      </c>
      <c r="CN62" s="209">
        <f t="shared" si="181"/>
        <v>0</v>
      </c>
      <c r="CO62" s="209">
        <f t="shared" si="181"/>
        <v>0</v>
      </c>
      <c r="CP62" s="209">
        <f t="shared" si="181"/>
        <v>0</v>
      </c>
      <c r="CQ62" s="65">
        <f t="shared" si="148"/>
        <v>0</v>
      </c>
      <c r="CR62" s="209">
        <f t="shared" si="148"/>
        <v>0</v>
      </c>
      <c r="CS62" s="209">
        <f t="shared" si="148"/>
        <v>0</v>
      </c>
      <c r="CT62" s="209">
        <f t="shared" si="148"/>
        <v>0</v>
      </c>
      <c r="CU62" s="209">
        <f t="shared" si="148"/>
        <v>0</v>
      </c>
      <c r="CV62" s="209">
        <f t="shared" si="148"/>
        <v>0</v>
      </c>
      <c r="CW62" s="209">
        <f t="shared" si="148"/>
        <v>0</v>
      </c>
      <c r="CX62" s="65">
        <f t="shared" si="127"/>
        <v>0</v>
      </c>
      <c r="CY62" s="210">
        <f t="shared" si="127"/>
        <v>0</v>
      </c>
      <c r="CZ62" s="210">
        <f t="shared" si="127"/>
        <v>0</v>
      </c>
      <c r="DA62" s="210">
        <f t="shared" si="127"/>
        <v>0</v>
      </c>
      <c r="DB62" s="210">
        <f t="shared" si="127"/>
        <v>0</v>
      </c>
      <c r="DC62" s="210">
        <f t="shared" si="158"/>
        <v>0</v>
      </c>
      <c r="DD62" s="209">
        <f t="shared" si="158"/>
        <v>0</v>
      </c>
      <c r="DE62" s="65">
        <f t="shared" si="182"/>
        <v>0</v>
      </c>
      <c r="DF62" s="210">
        <f t="shared" si="182"/>
        <v>0</v>
      </c>
      <c r="DG62" s="210">
        <f t="shared" si="182"/>
        <v>0</v>
      </c>
      <c r="DH62" s="210">
        <f t="shared" si="182"/>
        <v>0</v>
      </c>
      <c r="DI62" s="210">
        <f t="shared" si="182"/>
        <v>0</v>
      </c>
      <c r="DJ62" s="210">
        <f t="shared" si="159"/>
        <v>0</v>
      </c>
      <c r="DK62" s="210">
        <f t="shared" si="159"/>
        <v>0</v>
      </c>
      <c r="DL62" s="65">
        <f t="shared" si="169"/>
        <v>0</v>
      </c>
      <c r="DM62" s="60">
        <f t="shared" si="169"/>
        <v>0</v>
      </c>
      <c r="DN62" s="60">
        <f t="shared" si="169"/>
        <v>0</v>
      </c>
      <c r="DO62" s="60">
        <f t="shared" si="169"/>
        <v>0</v>
      </c>
      <c r="DP62" s="60">
        <f t="shared" si="169"/>
        <v>0</v>
      </c>
      <c r="DQ62" s="210">
        <f t="shared" si="160"/>
        <v>0</v>
      </c>
      <c r="DR62" s="210">
        <f t="shared" si="160"/>
        <v>0</v>
      </c>
      <c r="DS62" s="210">
        <f t="shared" si="160"/>
        <v>0</v>
      </c>
    </row>
    <row r="63" spans="1:124" ht="26.25" hidden="1" customHeight="1" outlineLevel="1" collapsed="1" x14ac:dyDescent="0.4">
      <c r="A63" s="347">
        <v>29</v>
      </c>
      <c r="B63" s="347" t="s">
        <v>47</v>
      </c>
      <c r="C63" s="347" t="s">
        <v>347</v>
      </c>
      <c r="D63" s="349" t="s">
        <v>662</v>
      </c>
      <c r="E63" s="349" t="s">
        <v>670</v>
      </c>
      <c r="F63" s="349" t="s">
        <v>661</v>
      </c>
      <c r="G63" s="563" t="s">
        <v>660</v>
      </c>
      <c r="H63" s="449">
        <f t="shared" ref="H63" si="183">SUM(DE63:DK63)</f>
        <v>0</v>
      </c>
      <c r="I63" s="449">
        <f t="shared" ref="I63" si="184">SUM(DE64:DK64)</f>
        <v>0</v>
      </c>
      <c r="J63" s="447"/>
      <c r="K63" s="445"/>
      <c r="L63" s="445"/>
      <c r="M63" s="428"/>
      <c r="N63" s="21" t="s">
        <v>24</v>
      </c>
      <c r="O63" s="190">
        <f t="shared" si="152"/>
        <v>0</v>
      </c>
      <c r="P63" s="190">
        <f t="shared" si="152"/>
        <v>0</v>
      </c>
      <c r="Q63" s="190">
        <f t="shared" si="152"/>
        <v>0</v>
      </c>
      <c r="R63" s="190">
        <f t="shared" si="152"/>
        <v>0</v>
      </c>
      <c r="S63" s="190">
        <f t="shared" si="152"/>
        <v>0</v>
      </c>
      <c r="T63" s="190">
        <f t="shared" si="152"/>
        <v>0</v>
      </c>
      <c r="U63" s="190">
        <f t="shared" si="152"/>
        <v>0</v>
      </c>
      <c r="V63" s="190">
        <f t="shared" si="97"/>
        <v>0</v>
      </c>
      <c r="W63" s="190">
        <f t="shared" si="97"/>
        <v>0</v>
      </c>
      <c r="X63" s="86">
        <f t="shared" si="152"/>
        <v>0</v>
      </c>
      <c r="Y63" s="190">
        <f t="shared" si="164"/>
        <v>0</v>
      </c>
      <c r="Z63" s="190">
        <f t="shared" si="164"/>
        <v>0</v>
      </c>
      <c r="AA63" s="190">
        <f t="shared" si="164"/>
        <v>0</v>
      </c>
      <c r="AB63" s="190">
        <f t="shared" si="164"/>
        <v>0</v>
      </c>
      <c r="AC63" s="190">
        <f t="shared" si="164"/>
        <v>0</v>
      </c>
      <c r="AD63" s="190">
        <f t="shared" si="164"/>
        <v>0</v>
      </c>
      <c r="AE63" s="190">
        <f t="shared" si="170"/>
        <v>0</v>
      </c>
      <c r="AF63" s="190"/>
      <c r="AG63" s="190">
        <f t="shared" si="170"/>
        <v>0</v>
      </c>
      <c r="AH63" s="190">
        <f t="shared" si="170"/>
        <v>0</v>
      </c>
      <c r="AI63" s="77">
        <f t="shared" si="139"/>
        <v>0</v>
      </c>
      <c r="AJ63" s="190">
        <f t="shared" si="139"/>
        <v>0</v>
      </c>
      <c r="AK63" s="190">
        <f t="shared" si="139"/>
        <v>0</v>
      </c>
      <c r="AL63" s="190">
        <f t="shared" si="139"/>
        <v>0</v>
      </c>
      <c r="AM63" s="190">
        <f t="shared" si="139"/>
        <v>0</v>
      </c>
      <c r="AN63" s="190">
        <f t="shared" si="131"/>
        <v>0</v>
      </c>
      <c r="AO63" s="190">
        <f t="shared" si="131"/>
        <v>0</v>
      </c>
      <c r="AP63" s="190">
        <f t="shared" si="139"/>
        <v>0</v>
      </c>
      <c r="AQ63" s="190">
        <f t="shared" si="139"/>
        <v>0</v>
      </c>
      <c r="AR63" s="225">
        <f t="shared" si="139"/>
        <v>0</v>
      </c>
      <c r="AS63" s="23">
        <f t="shared" ref="AS63:AW66" si="185">0/150</f>
        <v>0</v>
      </c>
      <c r="AT63" s="190">
        <f t="shared" si="185"/>
        <v>0</v>
      </c>
      <c r="AU63" s="190">
        <f t="shared" si="185"/>
        <v>0</v>
      </c>
      <c r="AV63" s="190">
        <f t="shared" si="185"/>
        <v>0</v>
      </c>
      <c r="AW63" s="190">
        <f t="shared" si="185"/>
        <v>0</v>
      </c>
      <c r="AX63" s="190">
        <f t="shared" si="157"/>
        <v>0</v>
      </c>
      <c r="AY63" s="190">
        <f t="shared" si="157"/>
        <v>0</v>
      </c>
      <c r="AZ63" s="190">
        <f t="shared" si="157"/>
        <v>0</v>
      </c>
      <c r="BA63" s="190">
        <f t="shared" si="157"/>
        <v>0</v>
      </c>
      <c r="BB63" s="225">
        <f t="shared" si="157"/>
        <v>0</v>
      </c>
      <c r="BC63" s="77">
        <f t="shared" si="174"/>
        <v>0</v>
      </c>
      <c r="BD63" s="190">
        <f t="shared" si="171"/>
        <v>0</v>
      </c>
      <c r="BE63" s="190">
        <f t="shared" si="171"/>
        <v>0</v>
      </c>
      <c r="BF63" s="190">
        <f t="shared" si="171"/>
        <v>0</v>
      </c>
      <c r="BG63" s="190">
        <f t="shared" si="171"/>
        <v>0</v>
      </c>
      <c r="BH63" s="190">
        <f t="shared" si="171"/>
        <v>0</v>
      </c>
      <c r="BI63" s="190">
        <f t="shared" si="171"/>
        <v>0</v>
      </c>
      <c r="BJ63" s="190">
        <f t="shared" si="171"/>
        <v>0</v>
      </c>
      <c r="BK63" s="190">
        <f t="shared" si="171"/>
        <v>0</v>
      </c>
      <c r="BL63" s="190">
        <f t="shared" si="171"/>
        <v>0</v>
      </c>
      <c r="BM63" s="77">
        <f>(10)/165</f>
        <v>6.0606060606060608E-2</v>
      </c>
      <c r="BN63" s="190">
        <f t="shared" si="114"/>
        <v>0</v>
      </c>
      <c r="BO63" s="190">
        <f t="shared" si="114"/>
        <v>0</v>
      </c>
      <c r="BP63" s="190">
        <f t="shared" ref="BP63" si="186">(50)/165</f>
        <v>0.30303030303030304</v>
      </c>
      <c r="BQ63" s="190">
        <f t="shared" si="114"/>
        <v>0</v>
      </c>
      <c r="BR63" s="190">
        <f t="shared" si="109"/>
        <v>0</v>
      </c>
      <c r="BS63" s="190">
        <f t="shared" si="109"/>
        <v>0</v>
      </c>
      <c r="BT63" s="190">
        <f t="shared" si="109"/>
        <v>0</v>
      </c>
      <c r="BU63" s="190">
        <f>(20)/165</f>
        <v>0.12121212121212122</v>
      </c>
      <c r="BV63" s="190">
        <f t="shared" si="109"/>
        <v>0</v>
      </c>
      <c r="BW63" s="23">
        <f t="shared" si="179"/>
        <v>0</v>
      </c>
      <c r="BX63" s="190">
        <f t="shared" si="179"/>
        <v>0</v>
      </c>
      <c r="BY63" s="190">
        <f t="shared" si="179"/>
        <v>0</v>
      </c>
      <c r="BZ63" s="190">
        <f t="shared" si="179"/>
        <v>0</v>
      </c>
      <c r="CA63" s="190">
        <f t="shared" si="179"/>
        <v>0</v>
      </c>
      <c r="CB63" s="190">
        <f t="shared" si="179"/>
        <v>0</v>
      </c>
      <c r="CC63" s="190">
        <f t="shared" si="176"/>
        <v>0</v>
      </c>
      <c r="CD63" s="190">
        <f t="shared" si="176"/>
        <v>0</v>
      </c>
      <c r="CE63" s="190">
        <f t="shared" si="180"/>
        <v>0</v>
      </c>
      <c r="CF63" s="190">
        <f t="shared" si="180"/>
        <v>0</v>
      </c>
      <c r="CG63" s="23">
        <f t="shared" si="181"/>
        <v>0</v>
      </c>
      <c r="CH63" s="190">
        <f t="shared" si="181"/>
        <v>0</v>
      </c>
      <c r="CI63" s="190">
        <f t="shared" si="181"/>
        <v>0</v>
      </c>
      <c r="CJ63" s="190">
        <f t="shared" si="181"/>
        <v>0</v>
      </c>
      <c r="CK63" s="190">
        <f t="shared" si="181"/>
        <v>0</v>
      </c>
      <c r="CL63" s="190">
        <f t="shared" si="181"/>
        <v>0</v>
      </c>
      <c r="CM63" s="190">
        <f t="shared" si="181"/>
        <v>0</v>
      </c>
      <c r="CN63" s="190">
        <f t="shared" si="181"/>
        <v>0</v>
      </c>
      <c r="CO63" s="190">
        <f t="shared" si="181"/>
        <v>0</v>
      </c>
      <c r="CP63" s="190">
        <f t="shared" si="181"/>
        <v>0</v>
      </c>
      <c r="CQ63" s="23">
        <f t="shared" si="148"/>
        <v>0</v>
      </c>
      <c r="CR63" s="190">
        <f t="shared" si="148"/>
        <v>0</v>
      </c>
      <c r="CS63" s="190">
        <f t="shared" si="148"/>
        <v>0</v>
      </c>
      <c r="CT63" s="190">
        <f t="shared" si="148"/>
        <v>0</v>
      </c>
      <c r="CU63" s="190">
        <f t="shared" si="148"/>
        <v>0</v>
      </c>
      <c r="CV63" s="190">
        <f t="shared" si="148"/>
        <v>0</v>
      </c>
      <c r="CW63" s="190">
        <f t="shared" si="148"/>
        <v>0</v>
      </c>
      <c r="CX63" s="77">
        <f t="shared" si="127"/>
        <v>0</v>
      </c>
      <c r="CY63" s="190">
        <f t="shared" si="127"/>
        <v>0</v>
      </c>
      <c r="CZ63" s="190">
        <f t="shared" si="127"/>
        <v>0</v>
      </c>
      <c r="DA63" s="190">
        <f t="shared" si="127"/>
        <v>0</v>
      </c>
      <c r="DB63" s="190">
        <f t="shared" si="127"/>
        <v>0</v>
      </c>
      <c r="DC63" s="190">
        <f t="shared" si="158"/>
        <v>0</v>
      </c>
      <c r="DD63" s="190">
        <f t="shared" si="158"/>
        <v>0</v>
      </c>
      <c r="DE63" s="23">
        <f t="shared" si="182"/>
        <v>0</v>
      </c>
      <c r="DF63" s="190">
        <f t="shared" si="182"/>
        <v>0</v>
      </c>
      <c r="DG63" s="190">
        <f t="shared" si="182"/>
        <v>0</v>
      </c>
      <c r="DH63" s="190">
        <f t="shared" si="182"/>
        <v>0</v>
      </c>
      <c r="DI63" s="190">
        <f t="shared" si="182"/>
        <v>0</v>
      </c>
      <c r="DJ63" s="190">
        <f t="shared" si="159"/>
        <v>0</v>
      </c>
      <c r="DK63" s="190">
        <f t="shared" si="159"/>
        <v>0</v>
      </c>
      <c r="DL63" s="23">
        <f t="shared" si="169"/>
        <v>0</v>
      </c>
      <c r="DM63" s="10">
        <f t="shared" si="169"/>
        <v>0</v>
      </c>
      <c r="DN63" s="10">
        <f t="shared" si="169"/>
        <v>0</v>
      </c>
      <c r="DO63" s="10">
        <f t="shared" si="169"/>
        <v>0</v>
      </c>
      <c r="DP63" s="10">
        <f t="shared" si="169"/>
        <v>0</v>
      </c>
      <c r="DQ63" s="190">
        <f t="shared" si="160"/>
        <v>0</v>
      </c>
      <c r="DR63" s="190">
        <f t="shared" si="160"/>
        <v>0</v>
      </c>
      <c r="DS63" s="190">
        <f t="shared" si="160"/>
        <v>0</v>
      </c>
      <c r="DT63" s="54"/>
    </row>
    <row r="64" spans="1:124" ht="26.25" hidden="1" customHeight="1" outlineLevel="1" x14ac:dyDescent="0.4">
      <c r="A64" s="348"/>
      <c r="B64" s="348"/>
      <c r="C64" s="348"/>
      <c r="D64" s="350"/>
      <c r="E64" s="350"/>
      <c r="F64" s="350"/>
      <c r="G64" s="565"/>
      <c r="H64" s="450"/>
      <c r="I64" s="450"/>
      <c r="J64" s="448"/>
      <c r="K64" s="446"/>
      <c r="L64" s="446"/>
      <c r="M64" s="429"/>
      <c r="N64" s="209" t="s">
        <v>25</v>
      </c>
      <c r="O64" s="209">
        <f t="shared" si="152"/>
        <v>0</v>
      </c>
      <c r="P64" s="209">
        <f t="shared" si="152"/>
        <v>0</v>
      </c>
      <c r="Q64" s="209">
        <f t="shared" si="152"/>
        <v>0</v>
      </c>
      <c r="R64" s="209">
        <f t="shared" si="152"/>
        <v>0</v>
      </c>
      <c r="S64" s="209">
        <f t="shared" si="152"/>
        <v>0</v>
      </c>
      <c r="T64" s="209">
        <f t="shared" si="152"/>
        <v>0</v>
      </c>
      <c r="U64" s="209">
        <f t="shared" si="152"/>
        <v>0</v>
      </c>
      <c r="V64" s="209">
        <f t="shared" si="97"/>
        <v>0</v>
      </c>
      <c r="W64" s="209">
        <f t="shared" si="97"/>
        <v>0</v>
      </c>
      <c r="X64" s="53">
        <f t="shared" si="152"/>
        <v>0</v>
      </c>
      <c r="Y64" s="209">
        <f t="shared" si="164"/>
        <v>0</v>
      </c>
      <c r="Z64" s="209">
        <f t="shared" si="164"/>
        <v>0</v>
      </c>
      <c r="AA64" s="209">
        <f t="shared" si="164"/>
        <v>0</v>
      </c>
      <c r="AB64" s="209">
        <f t="shared" si="164"/>
        <v>0</v>
      </c>
      <c r="AC64" s="209">
        <f t="shared" si="164"/>
        <v>0</v>
      </c>
      <c r="AD64" s="209">
        <f t="shared" si="164"/>
        <v>0</v>
      </c>
      <c r="AE64" s="209">
        <f t="shared" si="170"/>
        <v>0</v>
      </c>
      <c r="AF64" s="209"/>
      <c r="AG64" s="209">
        <f t="shared" si="170"/>
        <v>0</v>
      </c>
      <c r="AH64" s="209">
        <f t="shared" si="170"/>
        <v>0</v>
      </c>
      <c r="AI64" s="58">
        <f t="shared" si="139"/>
        <v>0</v>
      </c>
      <c r="AJ64" s="209">
        <f t="shared" si="139"/>
        <v>0</v>
      </c>
      <c r="AK64" s="209">
        <f t="shared" si="139"/>
        <v>0</v>
      </c>
      <c r="AL64" s="209">
        <f t="shared" si="139"/>
        <v>0</v>
      </c>
      <c r="AM64" s="209">
        <f t="shared" si="139"/>
        <v>0</v>
      </c>
      <c r="AN64" s="209">
        <f t="shared" si="131"/>
        <v>0</v>
      </c>
      <c r="AO64" s="209">
        <f t="shared" si="131"/>
        <v>0</v>
      </c>
      <c r="AP64" s="209">
        <f t="shared" si="139"/>
        <v>0</v>
      </c>
      <c r="AQ64" s="209">
        <f t="shared" si="139"/>
        <v>0</v>
      </c>
      <c r="AR64" s="53">
        <f t="shared" si="139"/>
        <v>0</v>
      </c>
      <c r="AS64" s="65">
        <f t="shared" si="185"/>
        <v>0</v>
      </c>
      <c r="AT64" s="210">
        <f t="shared" si="185"/>
        <v>0</v>
      </c>
      <c r="AU64" s="210">
        <f t="shared" si="185"/>
        <v>0</v>
      </c>
      <c r="AV64" s="210">
        <f t="shared" si="185"/>
        <v>0</v>
      </c>
      <c r="AW64" s="280">
        <f t="shared" si="185"/>
        <v>0</v>
      </c>
      <c r="AX64" s="210">
        <f t="shared" si="157"/>
        <v>0</v>
      </c>
      <c r="AY64" s="210">
        <f t="shared" si="157"/>
        <v>0</v>
      </c>
      <c r="AZ64" s="210">
        <f t="shared" si="157"/>
        <v>0</v>
      </c>
      <c r="BA64" s="210">
        <f t="shared" si="157"/>
        <v>0</v>
      </c>
      <c r="BB64" s="53">
        <f t="shared" si="157"/>
        <v>0</v>
      </c>
      <c r="BC64" s="58">
        <f t="shared" si="174"/>
        <v>0</v>
      </c>
      <c r="BD64" s="209">
        <f t="shared" si="171"/>
        <v>0</v>
      </c>
      <c r="BE64" s="209">
        <f t="shared" si="171"/>
        <v>0</v>
      </c>
      <c r="BF64" s="209">
        <f t="shared" si="171"/>
        <v>0</v>
      </c>
      <c r="BG64" s="209">
        <f t="shared" si="171"/>
        <v>0</v>
      </c>
      <c r="BH64" s="209">
        <f t="shared" si="171"/>
        <v>0</v>
      </c>
      <c r="BI64" s="209">
        <f t="shared" si="171"/>
        <v>0</v>
      </c>
      <c r="BJ64" s="209">
        <f t="shared" si="171"/>
        <v>0</v>
      </c>
      <c r="BK64" s="209">
        <f t="shared" si="171"/>
        <v>0</v>
      </c>
      <c r="BL64" s="209">
        <f t="shared" si="171"/>
        <v>0</v>
      </c>
      <c r="BM64" s="58">
        <f>(1+3+3)/165</f>
        <v>4.2424242424242427E-2</v>
      </c>
      <c r="BN64" s="209">
        <f t="shared" si="114"/>
        <v>0</v>
      </c>
      <c r="BO64" s="209">
        <f t="shared" si="114"/>
        <v>0</v>
      </c>
      <c r="BP64" s="209">
        <f>(4.5+15+12+1)/165</f>
        <v>0.19696969696969696</v>
      </c>
      <c r="BQ64" s="209">
        <f t="shared" si="114"/>
        <v>0</v>
      </c>
      <c r="BR64" s="209">
        <f t="shared" si="109"/>
        <v>0</v>
      </c>
      <c r="BS64" s="209">
        <f t="shared" si="109"/>
        <v>0</v>
      </c>
      <c r="BT64" s="209">
        <f>(0)/165</f>
        <v>0</v>
      </c>
      <c r="BU64" s="209">
        <f>(7+10+7)/165</f>
        <v>0.14545454545454545</v>
      </c>
      <c r="BV64" s="209">
        <f t="shared" si="109"/>
        <v>0</v>
      </c>
      <c r="BW64" s="65">
        <f t="shared" si="179"/>
        <v>0</v>
      </c>
      <c r="BX64" s="209">
        <f t="shared" si="179"/>
        <v>0</v>
      </c>
      <c r="BY64" s="209">
        <f t="shared" si="179"/>
        <v>0</v>
      </c>
      <c r="BZ64" s="209">
        <f t="shared" si="179"/>
        <v>0</v>
      </c>
      <c r="CA64" s="209">
        <f t="shared" si="179"/>
        <v>0</v>
      </c>
      <c r="CB64" s="209">
        <f t="shared" si="179"/>
        <v>0</v>
      </c>
      <c r="CC64" s="209">
        <f t="shared" si="176"/>
        <v>0</v>
      </c>
      <c r="CD64" s="209">
        <f t="shared" si="176"/>
        <v>0</v>
      </c>
      <c r="CE64" s="209">
        <f t="shared" si="180"/>
        <v>0</v>
      </c>
      <c r="CF64" s="209">
        <f t="shared" si="180"/>
        <v>0</v>
      </c>
      <c r="CG64" s="65">
        <f t="shared" si="181"/>
        <v>0</v>
      </c>
      <c r="CH64" s="209">
        <f t="shared" si="181"/>
        <v>0</v>
      </c>
      <c r="CI64" s="209">
        <f t="shared" si="181"/>
        <v>0</v>
      </c>
      <c r="CJ64" s="209">
        <f t="shared" si="181"/>
        <v>0</v>
      </c>
      <c r="CK64" s="209">
        <f t="shared" si="181"/>
        <v>0</v>
      </c>
      <c r="CL64" s="209">
        <f t="shared" si="181"/>
        <v>0</v>
      </c>
      <c r="CM64" s="209">
        <f t="shared" si="181"/>
        <v>0</v>
      </c>
      <c r="CN64" s="209">
        <f t="shared" si="181"/>
        <v>0</v>
      </c>
      <c r="CO64" s="209">
        <f t="shared" si="181"/>
        <v>0</v>
      </c>
      <c r="CP64" s="209">
        <f t="shared" si="181"/>
        <v>0</v>
      </c>
      <c r="CQ64" s="65">
        <f t="shared" si="148"/>
        <v>0</v>
      </c>
      <c r="CR64" s="209">
        <f t="shared" si="148"/>
        <v>0</v>
      </c>
      <c r="CS64" s="209">
        <f t="shared" si="148"/>
        <v>0</v>
      </c>
      <c r="CT64" s="209">
        <f t="shared" si="148"/>
        <v>0</v>
      </c>
      <c r="CU64" s="209">
        <f t="shared" si="148"/>
        <v>0</v>
      </c>
      <c r="CV64" s="209">
        <f t="shared" si="148"/>
        <v>0</v>
      </c>
      <c r="CW64" s="209">
        <f t="shared" si="148"/>
        <v>0</v>
      </c>
      <c r="CX64" s="65">
        <f t="shared" si="127"/>
        <v>0</v>
      </c>
      <c r="CY64" s="210">
        <f t="shared" si="127"/>
        <v>0</v>
      </c>
      <c r="CZ64" s="210">
        <f t="shared" si="127"/>
        <v>0</v>
      </c>
      <c r="DA64" s="210">
        <f t="shared" si="127"/>
        <v>0</v>
      </c>
      <c r="DB64" s="210">
        <f t="shared" si="127"/>
        <v>0</v>
      </c>
      <c r="DC64" s="210">
        <f t="shared" si="158"/>
        <v>0</v>
      </c>
      <c r="DD64" s="209">
        <f t="shared" si="158"/>
        <v>0</v>
      </c>
      <c r="DE64" s="65">
        <f t="shared" si="182"/>
        <v>0</v>
      </c>
      <c r="DF64" s="210">
        <f t="shared" si="182"/>
        <v>0</v>
      </c>
      <c r="DG64" s="210">
        <f t="shared" si="182"/>
        <v>0</v>
      </c>
      <c r="DH64" s="210">
        <f t="shared" si="182"/>
        <v>0</v>
      </c>
      <c r="DI64" s="210">
        <f t="shared" si="182"/>
        <v>0</v>
      </c>
      <c r="DJ64" s="210">
        <f t="shared" si="159"/>
        <v>0</v>
      </c>
      <c r="DK64" s="210">
        <f t="shared" si="159"/>
        <v>0</v>
      </c>
      <c r="DL64" s="65">
        <f t="shared" si="169"/>
        <v>0</v>
      </c>
      <c r="DM64" s="60">
        <f t="shared" si="169"/>
        <v>0</v>
      </c>
      <c r="DN64" s="60">
        <f t="shared" si="169"/>
        <v>0</v>
      </c>
      <c r="DO64" s="60">
        <f t="shared" si="169"/>
        <v>0</v>
      </c>
      <c r="DP64" s="60">
        <f t="shared" si="169"/>
        <v>0</v>
      </c>
      <c r="DQ64" s="210">
        <f t="shared" si="160"/>
        <v>0</v>
      </c>
      <c r="DR64" s="210">
        <f t="shared" si="160"/>
        <v>0</v>
      </c>
      <c r="DS64" s="210">
        <f t="shared" si="160"/>
        <v>0</v>
      </c>
    </row>
    <row r="65" spans="1:124" ht="26.25" hidden="1" customHeight="1" outlineLevel="1" collapsed="1" x14ac:dyDescent="0.4">
      <c r="A65" s="347">
        <v>30</v>
      </c>
      <c r="B65" s="347" t="s">
        <v>47</v>
      </c>
      <c r="C65" s="347" t="s">
        <v>347</v>
      </c>
      <c r="D65" s="349" t="s">
        <v>662</v>
      </c>
      <c r="E65" s="349" t="s">
        <v>671</v>
      </c>
      <c r="F65" s="349" t="s">
        <v>667</v>
      </c>
      <c r="G65" s="563" t="s">
        <v>666</v>
      </c>
      <c r="H65" s="449">
        <f t="shared" ref="H65" si="187">SUM(DE65:DK65)</f>
        <v>0</v>
      </c>
      <c r="I65" s="449">
        <f t="shared" ref="I65" si="188">SUM(DE66:DK66)</f>
        <v>0</v>
      </c>
      <c r="J65" s="447"/>
      <c r="K65" s="445"/>
      <c r="L65" s="445"/>
      <c r="M65" s="428"/>
      <c r="N65" s="21" t="s">
        <v>24</v>
      </c>
      <c r="O65" s="190">
        <f t="shared" si="152"/>
        <v>0</v>
      </c>
      <c r="P65" s="190">
        <f t="shared" si="152"/>
        <v>0</v>
      </c>
      <c r="Q65" s="190">
        <f t="shared" si="152"/>
        <v>0</v>
      </c>
      <c r="R65" s="190">
        <f t="shared" si="152"/>
        <v>0</v>
      </c>
      <c r="S65" s="190">
        <f t="shared" si="152"/>
        <v>0</v>
      </c>
      <c r="T65" s="190">
        <f t="shared" si="152"/>
        <v>0</v>
      </c>
      <c r="U65" s="190">
        <f t="shared" si="152"/>
        <v>0</v>
      </c>
      <c r="V65" s="190">
        <f t="shared" si="97"/>
        <v>0</v>
      </c>
      <c r="W65" s="190">
        <f t="shared" si="97"/>
        <v>0</v>
      </c>
      <c r="X65" s="86">
        <f t="shared" si="152"/>
        <v>0</v>
      </c>
      <c r="Y65" s="190">
        <f t="shared" si="164"/>
        <v>0</v>
      </c>
      <c r="Z65" s="190">
        <f t="shared" si="164"/>
        <v>0</v>
      </c>
      <c r="AA65" s="190">
        <f t="shared" si="164"/>
        <v>0</v>
      </c>
      <c r="AB65" s="190">
        <f t="shared" si="164"/>
        <v>0</v>
      </c>
      <c r="AC65" s="190">
        <f t="shared" si="164"/>
        <v>0</v>
      </c>
      <c r="AD65" s="190">
        <f t="shared" si="164"/>
        <v>0</v>
      </c>
      <c r="AE65" s="190">
        <f t="shared" si="170"/>
        <v>0</v>
      </c>
      <c r="AF65" s="190"/>
      <c r="AG65" s="190">
        <f t="shared" si="170"/>
        <v>0</v>
      </c>
      <c r="AH65" s="190">
        <f t="shared" si="170"/>
        <v>0</v>
      </c>
      <c r="AI65" s="77">
        <f t="shared" si="139"/>
        <v>0</v>
      </c>
      <c r="AJ65" s="190">
        <f t="shared" si="139"/>
        <v>0</v>
      </c>
      <c r="AK65" s="190">
        <f t="shared" si="139"/>
        <v>0</v>
      </c>
      <c r="AL65" s="190">
        <f t="shared" si="139"/>
        <v>0</v>
      </c>
      <c r="AM65" s="190">
        <f t="shared" si="139"/>
        <v>0</v>
      </c>
      <c r="AN65" s="190">
        <f t="shared" si="131"/>
        <v>0</v>
      </c>
      <c r="AO65" s="190">
        <f t="shared" si="131"/>
        <v>0</v>
      </c>
      <c r="AP65" s="190">
        <f t="shared" si="139"/>
        <v>0</v>
      </c>
      <c r="AQ65" s="190">
        <f t="shared" si="139"/>
        <v>0</v>
      </c>
      <c r="AR65" s="225">
        <f t="shared" si="139"/>
        <v>0</v>
      </c>
      <c r="AS65" s="23">
        <f t="shared" si="185"/>
        <v>0</v>
      </c>
      <c r="AT65" s="190">
        <f t="shared" si="185"/>
        <v>0</v>
      </c>
      <c r="AU65" s="190">
        <f t="shared" si="185"/>
        <v>0</v>
      </c>
      <c r="AV65" s="190">
        <f t="shared" si="185"/>
        <v>0</v>
      </c>
      <c r="AW65" s="190">
        <f t="shared" si="185"/>
        <v>0</v>
      </c>
      <c r="AX65" s="190">
        <f t="shared" si="157"/>
        <v>0</v>
      </c>
      <c r="AY65" s="190">
        <f t="shared" si="157"/>
        <v>0</v>
      </c>
      <c r="AZ65" s="190">
        <f t="shared" si="157"/>
        <v>0</v>
      </c>
      <c r="BA65" s="190">
        <f t="shared" si="157"/>
        <v>0</v>
      </c>
      <c r="BB65" s="225">
        <f t="shared" si="157"/>
        <v>0</v>
      </c>
      <c r="BC65" s="77">
        <f t="shared" si="174"/>
        <v>0</v>
      </c>
      <c r="BD65" s="190">
        <f t="shared" si="171"/>
        <v>0</v>
      </c>
      <c r="BE65" s="190">
        <f t="shared" si="171"/>
        <v>0</v>
      </c>
      <c r="BF65" s="190">
        <f t="shared" si="171"/>
        <v>0</v>
      </c>
      <c r="BG65" s="190">
        <f t="shared" si="171"/>
        <v>0</v>
      </c>
      <c r="BH65" s="190">
        <f t="shared" si="171"/>
        <v>0</v>
      </c>
      <c r="BI65" s="190">
        <f t="shared" si="171"/>
        <v>0</v>
      </c>
      <c r="BJ65" s="190">
        <f t="shared" si="171"/>
        <v>0</v>
      </c>
      <c r="BK65" s="190">
        <f t="shared" si="171"/>
        <v>0</v>
      </c>
      <c r="BL65" s="190">
        <f t="shared" si="171"/>
        <v>0</v>
      </c>
      <c r="BM65" s="77">
        <f>(5)/165</f>
        <v>3.0303030303030304E-2</v>
      </c>
      <c r="BN65" s="190">
        <f t="shared" si="114"/>
        <v>0</v>
      </c>
      <c r="BO65" s="190">
        <f t="shared" si="114"/>
        <v>0</v>
      </c>
      <c r="BP65" s="190">
        <f t="shared" si="114"/>
        <v>0</v>
      </c>
      <c r="BQ65" s="190">
        <f>(5)/165</f>
        <v>3.0303030303030304E-2</v>
      </c>
      <c r="BR65" s="190">
        <f>(5)/165</f>
        <v>3.0303030303030304E-2</v>
      </c>
      <c r="BS65" s="190">
        <f>(20)/165</f>
        <v>0.12121212121212122</v>
      </c>
      <c r="BT65" s="190">
        <f>(20)/165</f>
        <v>0.12121212121212122</v>
      </c>
      <c r="BU65" s="190">
        <f t="shared" si="109"/>
        <v>0</v>
      </c>
      <c r="BV65" s="190">
        <f t="shared" si="109"/>
        <v>0</v>
      </c>
      <c r="BW65" s="23">
        <f>(5)/150</f>
        <v>3.3333333333333333E-2</v>
      </c>
      <c r="BX65" s="190">
        <f>(0)/150</f>
        <v>0</v>
      </c>
      <c r="BY65" s="190">
        <f>(5)/150</f>
        <v>3.3333333333333333E-2</v>
      </c>
      <c r="BZ65" s="190">
        <f t="shared" ref="BZ65:CA72" si="189">(0)/150</f>
        <v>0</v>
      </c>
      <c r="CA65" s="190">
        <f t="shared" si="189"/>
        <v>0</v>
      </c>
      <c r="CB65" s="190">
        <f>(5)/150</f>
        <v>3.3333333333333333E-2</v>
      </c>
      <c r="CC65" s="190">
        <f t="shared" ref="CC65:CC72" si="190">(0)/150</f>
        <v>0</v>
      </c>
      <c r="CD65" s="190">
        <f>(5)/150</f>
        <v>3.3333333333333333E-2</v>
      </c>
      <c r="CE65" s="190">
        <f t="shared" si="180"/>
        <v>0</v>
      </c>
      <c r="CF65" s="190">
        <f t="shared" si="180"/>
        <v>0</v>
      </c>
      <c r="CG65" s="23">
        <f t="shared" si="181"/>
        <v>0</v>
      </c>
      <c r="CH65" s="190">
        <f t="shared" si="181"/>
        <v>0</v>
      </c>
      <c r="CI65" s="190">
        <f t="shared" si="181"/>
        <v>0</v>
      </c>
      <c r="CJ65" s="190">
        <f t="shared" si="181"/>
        <v>0</v>
      </c>
      <c r="CK65" s="190">
        <f t="shared" si="181"/>
        <v>0</v>
      </c>
      <c r="CL65" s="190">
        <f t="shared" si="181"/>
        <v>0</v>
      </c>
      <c r="CM65" s="190">
        <f t="shared" si="181"/>
        <v>0</v>
      </c>
      <c r="CN65" s="190">
        <f t="shared" si="181"/>
        <v>0</v>
      </c>
      <c r="CO65" s="190">
        <f t="shared" si="181"/>
        <v>0</v>
      </c>
      <c r="CP65" s="190">
        <f t="shared" si="181"/>
        <v>0</v>
      </c>
      <c r="CQ65" s="23">
        <f t="shared" si="148"/>
        <v>0</v>
      </c>
      <c r="CR65" s="190">
        <f t="shared" si="148"/>
        <v>0</v>
      </c>
      <c r="CS65" s="190">
        <f t="shared" si="148"/>
        <v>0</v>
      </c>
      <c r="CT65" s="190">
        <f t="shared" si="148"/>
        <v>0</v>
      </c>
      <c r="CU65" s="190">
        <f t="shared" si="148"/>
        <v>0</v>
      </c>
      <c r="CV65" s="190">
        <f t="shared" si="148"/>
        <v>0</v>
      </c>
      <c r="CW65" s="190">
        <f t="shared" si="148"/>
        <v>0</v>
      </c>
      <c r="CX65" s="77">
        <f t="shared" si="127"/>
        <v>0</v>
      </c>
      <c r="CY65" s="190">
        <f t="shared" si="127"/>
        <v>0</v>
      </c>
      <c r="CZ65" s="190">
        <f t="shared" si="127"/>
        <v>0</v>
      </c>
      <c r="DA65" s="190">
        <f t="shared" si="127"/>
        <v>0</v>
      </c>
      <c r="DB65" s="190">
        <f t="shared" si="127"/>
        <v>0</v>
      </c>
      <c r="DC65" s="190">
        <f t="shared" si="158"/>
        <v>0</v>
      </c>
      <c r="DD65" s="190">
        <f t="shared" si="158"/>
        <v>0</v>
      </c>
      <c r="DE65" s="23">
        <f t="shared" si="182"/>
        <v>0</v>
      </c>
      <c r="DF65" s="190">
        <f t="shared" si="182"/>
        <v>0</v>
      </c>
      <c r="DG65" s="190">
        <f t="shared" si="182"/>
        <v>0</v>
      </c>
      <c r="DH65" s="190">
        <f t="shared" si="182"/>
        <v>0</v>
      </c>
      <c r="DI65" s="190">
        <f t="shared" si="182"/>
        <v>0</v>
      </c>
      <c r="DJ65" s="190">
        <f t="shared" si="159"/>
        <v>0</v>
      </c>
      <c r="DK65" s="190">
        <f t="shared" si="159"/>
        <v>0</v>
      </c>
      <c r="DL65" s="23">
        <f t="shared" si="169"/>
        <v>0</v>
      </c>
      <c r="DM65" s="10">
        <f t="shared" si="169"/>
        <v>0</v>
      </c>
      <c r="DN65" s="10">
        <f t="shared" si="169"/>
        <v>0</v>
      </c>
      <c r="DO65" s="10">
        <f t="shared" si="169"/>
        <v>0</v>
      </c>
      <c r="DP65" s="10">
        <f t="shared" si="169"/>
        <v>0</v>
      </c>
      <c r="DQ65" s="190">
        <f t="shared" si="160"/>
        <v>0</v>
      </c>
      <c r="DR65" s="190">
        <f t="shared" si="160"/>
        <v>0</v>
      </c>
      <c r="DS65" s="190">
        <f t="shared" si="160"/>
        <v>0</v>
      </c>
      <c r="DT65" s="54"/>
    </row>
    <row r="66" spans="1:124" ht="26.25" hidden="1" customHeight="1" outlineLevel="1" x14ac:dyDescent="0.4">
      <c r="A66" s="348"/>
      <c r="B66" s="348"/>
      <c r="C66" s="348"/>
      <c r="D66" s="350"/>
      <c r="E66" s="350"/>
      <c r="F66" s="350"/>
      <c r="G66" s="565"/>
      <c r="H66" s="450"/>
      <c r="I66" s="450"/>
      <c r="J66" s="448"/>
      <c r="K66" s="446"/>
      <c r="L66" s="446"/>
      <c r="M66" s="429"/>
      <c r="N66" s="209" t="s">
        <v>25</v>
      </c>
      <c r="O66" s="209">
        <f t="shared" si="152"/>
        <v>0</v>
      </c>
      <c r="P66" s="209">
        <f t="shared" si="152"/>
        <v>0</v>
      </c>
      <c r="Q66" s="209">
        <f t="shared" si="152"/>
        <v>0</v>
      </c>
      <c r="R66" s="209">
        <f t="shared" si="152"/>
        <v>0</v>
      </c>
      <c r="S66" s="209">
        <f t="shared" si="152"/>
        <v>0</v>
      </c>
      <c r="T66" s="209">
        <f t="shared" si="152"/>
        <v>0</v>
      </c>
      <c r="U66" s="209">
        <f t="shared" si="152"/>
        <v>0</v>
      </c>
      <c r="V66" s="209">
        <f t="shared" si="97"/>
        <v>0</v>
      </c>
      <c r="W66" s="209">
        <f t="shared" si="97"/>
        <v>0</v>
      </c>
      <c r="X66" s="53">
        <f t="shared" si="152"/>
        <v>0</v>
      </c>
      <c r="Y66" s="209">
        <f t="shared" si="164"/>
        <v>0</v>
      </c>
      <c r="Z66" s="209">
        <f t="shared" si="164"/>
        <v>0</v>
      </c>
      <c r="AA66" s="209">
        <f t="shared" si="164"/>
        <v>0</v>
      </c>
      <c r="AB66" s="209">
        <f t="shared" si="164"/>
        <v>0</v>
      </c>
      <c r="AC66" s="209">
        <f t="shared" si="164"/>
        <v>0</v>
      </c>
      <c r="AD66" s="209">
        <f t="shared" si="164"/>
        <v>0</v>
      </c>
      <c r="AE66" s="209">
        <f t="shared" si="170"/>
        <v>0</v>
      </c>
      <c r="AF66" s="209"/>
      <c r="AG66" s="209">
        <f t="shared" si="170"/>
        <v>0</v>
      </c>
      <c r="AH66" s="209">
        <f t="shared" si="170"/>
        <v>0</v>
      </c>
      <c r="AI66" s="58">
        <f t="shared" si="139"/>
        <v>0</v>
      </c>
      <c r="AJ66" s="209">
        <f t="shared" si="139"/>
        <v>0</v>
      </c>
      <c r="AK66" s="209">
        <f t="shared" si="139"/>
        <v>0</v>
      </c>
      <c r="AL66" s="209">
        <f t="shared" si="139"/>
        <v>0</v>
      </c>
      <c r="AM66" s="209">
        <f t="shared" si="139"/>
        <v>0</v>
      </c>
      <c r="AN66" s="209">
        <f t="shared" si="131"/>
        <v>0</v>
      </c>
      <c r="AO66" s="209">
        <f t="shared" si="131"/>
        <v>0</v>
      </c>
      <c r="AP66" s="209">
        <f t="shared" si="139"/>
        <v>0</v>
      </c>
      <c r="AQ66" s="209">
        <f t="shared" si="139"/>
        <v>0</v>
      </c>
      <c r="AR66" s="53">
        <f t="shared" si="139"/>
        <v>0</v>
      </c>
      <c r="AS66" s="65">
        <f t="shared" si="185"/>
        <v>0</v>
      </c>
      <c r="AT66" s="210">
        <f t="shared" si="185"/>
        <v>0</v>
      </c>
      <c r="AU66" s="210">
        <f t="shared" si="185"/>
        <v>0</v>
      </c>
      <c r="AV66" s="210">
        <f t="shared" si="185"/>
        <v>0</v>
      </c>
      <c r="AW66" s="280">
        <f t="shared" si="185"/>
        <v>0</v>
      </c>
      <c r="AX66" s="210">
        <f t="shared" si="157"/>
        <v>0</v>
      </c>
      <c r="AY66" s="210">
        <f t="shared" si="157"/>
        <v>0</v>
      </c>
      <c r="AZ66" s="210">
        <f t="shared" si="157"/>
        <v>0</v>
      </c>
      <c r="BA66" s="210">
        <f t="shared" si="157"/>
        <v>0</v>
      </c>
      <c r="BB66" s="53">
        <f t="shared" si="157"/>
        <v>0</v>
      </c>
      <c r="BC66" s="58">
        <f t="shared" si="174"/>
        <v>0</v>
      </c>
      <c r="BD66" s="209">
        <f t="shared" si="171"/>
        <v>0</v>
      </c>
      <c r="BE66" s="209">
        <f t="shared" si="171"/>
        <v>0</v>
      </c>
      <c r="BF66" s="209">
        <f t="shared" si="171"/>
        <v>0</v>
      </c>
      <c r="BG66" s="209">
        <f t="shared" si="171"/>
        <v>0</v>
      </c>
      <c r="BH66" s="209">
        <f t="shared" si="171"/>
        <v>0</v>
      </c>
      <c r="BI66" s="209">
        <f t="shared" si="171"/>
        <v>0</v>
      </c>
      <c r="BJ66" s="209">
        <f t="shared" si="171"/>
        <v>0</v>
      </c>
      <c r="BK66" s="209">
        <f t="shared" si="171"/>
        <v>0</v>
      </c>
      <c r="BL66" s="209">
        <f t="shared" si="171"/>
        <v>0</v>
      </c>
      <c r="BM66" s="58">
        <f>(2+1+1)/165</f>
        <v>2.4242424242424242E-2</v>
      </c>
      <c r="BN66" s="209">
        <f t="shared" si="114"/>
        <v>0</v>
      </c>
      <c r="BO66" s="209">
        <f t="shared" si="114"/>
        <v>0</v>
      </c>
      <c r="BP66" s="209">
        <f t="shared" si="114"/>
        <v>0</v>
      </c>
      <c r="BQ66" s="209">
        <f>(0+2)/165</f>
        <v>1.2121212121212121E-2</v>
      </c>
      <c r="BR66" s="209">
        <f>(0+7)/165</f>
        <v>4.2424242424242427E-2</v>
      </c>
      <c r="BS66" s="209">
        <f>(12.5+3+5.5)/165</f>
        <v>0.12727272727272726</v>
      </c>
      <c r="BT66" s="209">
        <f>(8+2.5+0.5+8)/165</f>
        <v>0.11515151515151516</v>
      </c>
      <c r="BU66" s="209">
        <f t="shared" si="109"/>
        <v>0</v>
      </c>
      <c r="BV66" s="209">
        <f t="shared" si="109"/>
        <v>0</v>
      </c>
      <c r="BW66" s="65">
        <f>(0.5+2.5)/150</f>
        <v>0.02</v>
      </c>
      <c r="BX66" s="209">
        <f t="shared" ref="BX66:BX72" si="191">(0)/150</f>
        <v>0</v>
      </c>
      <c r="BY66" s="209">
        <f>(0+3)/150</f>
        <v>0.02</v>
      </c>
      <c r="BZ66" s="209">
        <f t="shared" si="189"/>
        <v>0</v>
      </c>
      <c r="CA66" s="209">
        <f t="shared" si="189"/>
        <v>0</v>
      </c>
      <c r="CB66" s="209">
        <f>(7)/150</f>
        <v>4.6666666666666669E-2</v>
      </c>
      <c r="CC66" s="209">
        <f t="shared" si="190"/>
        <v>0</v>
      </c>
      <c r="CD66" s="209">
        <f>(5)/150</f>
        <v>3.3333333333333333E-2</v>
      </c>
      <c r="CE66" s="209">
        <f t="shared" si="180"/>
        <v>0</v>
      </c>
      <c r="CF66" s="209">
        <f t="shared" si="180"/>
        <v>0</v>
      </c>
      <c r="CG66" s="65">
        <f t="shared" si="181"/>
        <v>0</v>
      </c>
      <c r="CH66" s="209">
        <f t="shared" si="181"/>
        <v>0</v>
      </c>
      <c r="CI66" s="209">
        <f t="shared" si="181"/>
        <v>0</v>
      </c>
      <c r="CJ66" s="209">
        <f t="shared" si="181"/>
        <v>0</v>
      </c>
      <c r="CK66" s="209">
        <f t="shared" si="181"/>
        <v>0</v>
      </c>
      <c r="CL66" s="209">
        <f t="shared" si="181"/>
        <v>0</v>
      </c>
      <c r="CM66" s="209">
        <f t="shared" si="181"/>
        <v>0</v>
      </c>
      <c r="CN66" s="209">
        <f t="shared" si="181"/>
        <v>0</v>
      </c>
      <c r="CO66" s="209">
        <f t="shared" si="181"/>
        <v>0</v>
      </c>
      <c r="CP66" s="209">
        <f t="shared" si="181"/>
        <v>0</v>
      </c>
      <c r="CQ66" s="65">
        <f t="shared" si="148"/>
        <v>0</v>
      </c>
      <c r="CR66" s="209">
        <f t="shared" si="148"/>
        <v>0</v>
      </c>
      <c r="CS66" s="209">
        <f t="shared" si="148"/>
        <v>0</v>
      </c>
      <c r="CT66" s="209">
        <f t="shared" si="148"/>
        <v>0</v>
      </c>
      <c r="CU66" s="209">
        <f t="shared" si="148"/>
        <v>0</v>
      </c>
      <c r="CV66" s="209">
        <f t="shared" si="148"/>
        <v>0</v>
      </c>
      <c r="CW66" s="209">
        <f t="shared" si="148"/>
        <v>0</v>
      </c>
      <c r="CX66" s="65">
        <f t="shared" si="127"/>
        <v>0</v>
      </c>
      <c r="CY66" s="210">
        <f t="shared" si="127"/>
        <v>0</v>
      </c>
      <c r="CZ66" s="210">
        <f t="shared" si="127"/>
        <v>0</v>
      </c>
      <c r="DA66" s="210">
        <f t="shared" si="127"/>
        <v>0</v>
      </c>
      <c r="DB66" s="210">
        <f t="shared" si="127"/>
        <v>0</v>
      </c>
      <c r="DC66" s="210">
        <f t="shared" si="158"/>
        <v>0</v>
      </c>
      <c r="DD66" s="209">
        <f t="shared" si="158"/>
        <v>0</v>
      </c>
      <c r="DE66" s="65">
        <f t="shared" si="182"/>
        <v>0</v>
      </c>
      <c r="DF66" s="210">
        <f t="shared" si="182"/>
        <v>0</v>
      </c>
      <c r="DG66" s="210">
        <f t="shared" si="182"/>
        <v>0</v>
      </c>
      <c r="DH66" s="210">
        <f t="shared" si="182"/>
        <v>0</v>
      </c>
      <c r="DI66" s="210">
        <f t="shared" si="182"/>
        <v>0</v>
      </c>
      <c r="DJ66" s="210">
        <f t="shared" si="159"/>
        <v>0</v>
      </c>
      <c r="DK66" s="210">
        <f t="shared" si="159"/>
        <v>0</v>
      </c>
      <c r="DL66" s="65">
        <f t="shared" si="169"/>
        <v>0</v>
      </c>
      <c r="DM66" s="60">
        <f t="shared" si="169"/>
        <v>0</v>
      </c>
      <c r="DN66" s="60">
        <f t="shared" si="169"/>
        <v>0</v>
      </c>
      <c r="DO66" s="60">
        <f t="shared" si="169"/>
        <v>0</v>
      </c>
      <c r="DP66" s="60">
        <f t="shared" si="169"/>
        <v>0</v>
      </c>
      <c r="DQ66" s="210">
        <f t="shared" si="160"/>
        <v>0</v>
      </c>
      <c r="DR66" s="210">
        <f t="shared" si="160"/>
        <v>0</v>
      </c>
      <c r="DS66" s="210">
        <f t="shared" si="160"/>
        <v>0</v>
      </c>
    </row>
    <row r="67" spans="1:124" ht="26.25" hidden="1" customHeight="1" outlineLevel="1" x14ac:dyDescent="0.4">
      <c r="A67" s="347">
        <v>31</v>
      </c>
      <c r="B67" s="347" t="s">
        <v>47</v>
      </c>
      <c r="C67" s="347" t="s">
        <v>14</v>
      </c>
      <c r="D67" s="349" t="s">
        <v>489</v>
      </c>
      <c r="E67" s="349" t="s">
        <v>675</v>
      </c>
      <c r="F67" s="349" t="s">
        <v>676</v>
      </c>
      <c r="G67" s="563" t="s">
        <v>677</v>
      </c>
      <c r="H67" s="449">
        <f t="shared" ref="H67" si="192">SUM(DE67:DK67)</f>
        <v>0</v>
      </c>
      <c r="I67" s="449">
        <f t="shared" ref="I67" si="193">SUM(DE68:DK68)</f>
        <v>0</v>
      </c>
      <c r="J67" s="447"/>
      <c r="K67" s="445"/>
      <c r="L67" s="445"/>
      <c r="M67" s="428"/>
      <c r="N67" s="21" t="s">
        <v>24</v>
      </c>
      <c r="O67" s="190">
        <f t="shared" si="152"/>
        <v>0</v>
      </c>
      <c r="P67" s="190">
        <f t="shared" si="152"/>
        <v>0</v>
      </c>
      <c r="Q67" s="190">
        <f t="shared" si="152"/>
        <v>0</v>
      </c>
      <c r="R67" s="190">
        <f t="shared" si="152"/>
        <v>0</v>
      </c>
      <c r="S67" s="190">
        <f t="shared" si="152"/>
        <v>0</v>
      </c>
      <c r="T67" s="190">
        <f t="shared" si="152"/>
        <v>0</v>
      </c>
      <c r="U67" s="190">
        <f t="shared" si="152"/>
        <v>0</v>
      </c>
      <c r="V67" s="190">
        <f t="shared" si="97"/>
        <v>0</v>
      </c>
      <c r="W67" s="190">
        <f t="shared" si="97"/>
        <v>0</v>
      </c>
      <c r="X67" s="86">
        <f t="shared" si="152"/>
        <v>0</v>
      </c>
      <c r="Y67" s="190">
        <f t="shared" si="164"/>
        <v>0</v>
      </c>
      <c r="Z67" s="190">
        <f t="shared" si="164"/>
        <v>0</v>
      </c>
      <c r="AA67" s="190">
        <f t="shared" si="164"/>
        <v>0</v>
      </c>
      <c r="AB67" s="190">
        <f t="shared" si="164"/>
        <v>0</v>
      </c>
      <c r="AC67" s="190">
        <f t="shared" si="164"/>
        <v>0</v>
      </c>
      <c r="AD67" s="190">
        <f t="shared" si="164"/>
        <v>0</v>
      </c>
      <c r="AE67" s="190">
        <f t="shared" si="170"/>
        <v>0</v>
      </c>
      <c r="AF67" s="190"/>
      <c r="AG67" s="190">
        <f t="shared" si="170"/>
        <v>0</v>
      </c>
      <c r="AH67" s="190">
        <f t="shared" si="170"/>
        <v>0</v>
      </c>
      <c r="AI67" s="77">
        <f t="shared" si="139"/>
        <v>0</v>
      </c>
      <c r="AJ67" s="190">
        <f t="shared" si="139"/>
        <v>0</v>
      </c>
      <c r="AK67" s="190">
        <f t="shared" si="139"/>
        <v>0</v>
      </c>
      <c r="AL67" s="190">
        <f t="shared" si="139"/>
        <v>0</v>
      </c>
      <c r="AM67" s="190">
        <f t="shared" si="139"/>
        <v>0</v>
      </c>
      <c r="AN67" s="190">
        <f t="shared" si="131"/>
        <v>0</v>
      </c>
      <c r="AO67" s="190">
        <f t="shared" si="131"/>
        <v>0</v>
      </c>
      <c r="AP67" s="190">
        <f t="shared" si="139"/>
        <v>0</v>
      </c>
      <c r="AQ67" s="190">
        <f t="shared" si="139"/>
        <v>0</v>
      </c>
      <c r="AR67" s="225">
        <f t="shared" si="139"/>
        <v>0</v>
      </c>
      <c r="AS67" s="23">
        <f t="shared" ref="AS67:AW78" si="194">0/150</f>
        <v>0</v>
      </c>
      <c r="AT67" s="190">
        <f t="shared" si="194"/>
        <v>0</v>
      </c>
      <c r="AU67" s="190">
        <f t="shared" si="194"/>
        <v>0</v>
      </c>
      <c r="AV67" s="190">
        <f t="shared" si="194"/>
        <v>0</v>
      </c>
      <c r="AW67" s="190">
        <f t="shared" si="194"/>
        <v>0</v>
      </c>
      <c r="AX67" s="190">
        <f t="shared" si="157"/>
        <v>0</v>
      </c>
      <c r="AY67" s="190">
        <f t="shared" si="157"/>
        <v>0</v>
      </c>
      <c r="AZ67" s="190">
        <f t="shared" si="157"/>
        <v>0</v>
      </c>
      <c r="BA67" s="190">
        <f t="shared" si="157"/>
        <v>0</v>
      </c>
      <c r="BB67" s="225">
        <f t="shared" si="157"/>
        <v>0</v>
      </c>
      <c r="BC67" s="77">
        <f t="shared" ref="BC67:BI80" si="195">0/157.5</f>
        <v>0</v>
      </c>
      <c r="BD67" s="190">
        <f t="shared" si="195"/>
        <v>0</v>
      </c>
      <c r="BE67" s="190">
        <f t="shared" si="195"/>
        <v>0</v>
      </c>
      <c r="BF67" s="190">
        <f t="shared" si="195"/>
        <v>0</v>
      </c>
      <c r="BG67" s="190">
        <f t="shared" si="195"/>
        <v>0</v>
      </c>
      <c r="BH67" s="190">
        <f t="shared" si="195"/>
        <v>0</v>
      </c>
      <c r="BI67" s="190">
        <f t="shared" si="195"/>
        <v>0</v>
      </c>
      <c r="BJ67" s="190">
        <f t="shared" ref="BJ67:BL86" si="196">0/165</f>
        <v>0</v>
      </c>
      <c r="BK67" s="190">
        <f t="shared" si="196"/>
        <v>0</v>
      </c>
      <c r="BL67" s="190">
        <f t="shared" si="196"/>
        <v>0</v>
      </c>
      <c r="BM67" s="77">
        <f>(10)/165</f>
        <v>6.0606060606060608E-2</v>
      </c>
      <c r="BN67" s="190">
        <f t="shared" si="114"/>
        <v>0</v>
      </c>
      <c r="BO67" s="190">
        <f>(30)/165</f>
        <v>0.18181818181818182</v>
      </c>
      <c r="BP67" s="190">
        <f t="shared" si="114"/>
        <v>0</v>
      </c>
      <c r="BQ67" s="190">
        <f t="shared" si="114"/>
        <v>0</v>
      </c>
      <c r="BR67" s="190">
        <f>(30)/165</f>
        <v>0.18181818181818182</v>
      </c>
      <c r="BS67" s="190">
        <f t="shared" si="109"/>
        <v>0</v>
      </c>
      <c r="BT67" s="190">
        <f>(30)/165</f>
        <v>0.18181818181818182</v>
      </c>
      <c r="BU67" s="190">
        <f t="shared" si="109"/>
        <v>0</v>
      </c>
      <c r="BV67" s="190">
        <f t="shared" si="109"/>
        <v>0</v>
      </c>
      <c r="BW67" s="23">
        <f>(15)/150</f>
        <v>0.1</v>
      </c>
      <c r="BX67" s="190">
        <f t="shared" si="191"/>
        <v>0</v>
      </c>
      <c r="BY67" s="190">
        <f>(25)/150</f>
        <v>0.16666666666666666</v>
      </c>
      <c r="BZ67" s="190">
        <f t="shared" si="189"/>
        <v>0</v>
      </c>
      <c r="CA67" s="190">
        <f t="shared" si="189"/>
        <v>0</v>
      </c>
      <c r="CB67" s="190">
        <f>(25)/150</f>
        <v>0.16666666666666666</v>
      </c>
      <c r="CC67" s="190">
        <f t="shared" si="190"/>
        <v>0</v>
      </c>
      <c r="CD67" s="190">
        <f>(25)/150</f>
        <v>0.16666666666666666</v>
      </c>
      <c r="CE67" s="190">
        <f>(25)/150</f>
        <v>0.16666666666666666</v>
      </c>
      <c r="CF67" s="190">
        <f>(25)/150</f>
        <v>0.16666666666666666</v>
      </c>
      <c r="CG67" s="23">
        <f t="shared" si="181"/>
        <v>0</v>
      </c>
      <c r="CH67" s="190">
        <f t="shared" si="181"/>
        <v>0</v>
      </c>
      <c r="CI67" s="190">
        <f t="shared" si="181"/>
        <v>0</v>
      </c>
      <c r="CJ67" s="190">
        <f t="shared" si="181"/>
        <v>0</v>
      </c>
      <c r="CK67" s="190">
        <f t="shared" si="181"/>
        <v>0</v>
      </c>
      <c r="CL67" s="190">
        <f t="shared" si="181"/>
        <v>0</v>
      </c>
      <c r="CM67" s="190">
        <f t="shared" si="181"/>
        <v>0</v>
      </c>
      <c r="CN67" s="190">
        <f t="shared" si="181"/>
        <v>0</v>
      </c>
      <c r="CO67" s="190">
        <f t="shared" si="181"/>
        <v>0</v>
      </c>
      <c r="CP67" s="190">
        <f t="shared" si="181"/>
        <v>0</v>
      </c>
      <c r="CQ67" s="23">
        <f t="shared" si="148"/>
        <v>0</v>
      </c>
      <c r="CR67" s="190">
        <f t="shared" si="148"/>
        <v>0</v>
      </c>
      <c r="CS67" s="190">
        <f t="shared" si="148"/>
        <v>0</v>
      </c>
      <c r="CT67" s="190">
        <f t="shared" si="148"/>
        <v>0</v>
      </c>
      <c r="CU67" s="190">
        <f t="shared" si="148"/>
        <v>0</v>
      </c>
      <c r="CV67" s="190">
        <f t="shared" si="148"/>
        <v>0</v>
      </c>
      <c r="CW67" s="190">
        <f t="shared" si="148"/>
        <v>0</v>
      </c>
      <c r="CX67" s="77">
        <f t="shared" si="127"/>
        <v>0</v>
      </c>
      <c r="CY67" s="190">
        <f t="shared" si="127"/>
        <v>0</v>
      </c>
      <c r="CZ67" s="190">
        <f t="shared" si="127"/>
        <v>0</v>
      </c>
      <c r="DA67" s="190">
        <f t="shared" si="127"/>
        <v>0</v>
      </c>
      <c r="DB67" s="190">
        <f t="shared" si="127"/>
        <v>0</v>
      </c>
      <c r="DC67" s="190">
        <f t="shared" si="158"/>
        <v>0</v>
      </c>
      <c r="DD67" s="190">
        <f t="shared" si="158"/>
        <v>0</v>
      </c>
      <c r="DE67" s="23">
        <f t="shared" si="182"/>
        <v>0</v>
      </c>
      <c r="DF67" s="190">
        <f t="shared" si="182"/>
        <v>0</v>
      </c>
      <c r="DG67" s="190">
        <f t="shared" si="182"/>
        <v>0</v>
      </c>
      <c r="DH67" s="190">
        <f t="shared" si="182"/>
        <v>0</v>
      </c>
      <c r="DI67" s="190">
        <f t="shared" si="182"/>
        <v>0</v>
      </c>
      <c r="DJ67" s="190">
        <f t="shared" si="159"/>
        <v>0</v>
      </c>
      <c r="DK67" s="190">
        <f t="shared" si="159"/>
        <v>0</v>
      </c>
      <c r="DL67" s="23">
        <f t="shared" ref="DL67:DP76" si="197">0/142.5</f>
        <v>0</v>
      </c>
      <c r="DM67" s="10">
        <f t="shared" si="197"/>
        <v>0</v>
      </c>
      <c r="DN67" s="10">
        <f t="shared" si="197"/>
        <v>0</v>
      </c>
      <c r="DO67" s="10">
        <f t="shared" si="197"/>
        <v>0</v>
      </c>
      <c r="DP67" s="10">
        <f t="shared" si="197"/>
        <v>0</v>
      </c>
      <c r="DQ67" s="190">
        <f t="shared" si="160"/>
        <v>0</v>
      </c>
      <c r="DR67" s="190">
        <f t="shared" si="160"/>
        <v>0</v>
      </c>
      <c r="DS67" s="190">
        <f t="shared" si="160"/>
        <v>0</v>
      </c>
    </row>
    <row r="68" spans="1:124" ht="26.25" hidden="1" customHeight="1" outlineLevel="1" x14ac:dyDescent="0.4">
      <c r="A68" s="348"/>
      <c r="B68" s="348"/>
      <c r="C68" s="348"/>
      <c r="D68" s="350"/>
      <c r="E68" s="350"/>
      <c r="F68" s="350"/>
      <c r="G68" s="565"/>
      <c r="H68" s="450"/>
      <c r="I68" s="450"/>
      <c r="J68" s="448"/>
      <c r="K68" s="446"/>
      <c r="L68" s="446"/>
      <c r="M68" s="429"/>
      <c r="N68" s="209" t="s">
        <v>25</v>
      </c>
      <c r="O68" s="209">
        <f t="shared" si="152"/>
        <v>0</v>
      </c>
      <c r="P68" s="209">
        <f t="shared" si="152"/>
        <v>0</v>
      </c>
      <c r="Q68" s="209">
        <f t="shared" si="152"/>
        <v>0</v>
      </c>
      <c r="R68" s="209">
        <f t="shared" si="152"/>
        <v>0</v>
      </c>
      <c r="S68" s="209">
        <f t="shared" si="152"/>
        <v>0</v>
      </c>
      <c r="T68" s="209">
        <f t="shared" si="152"/>
        <v>0</v>
      </c>
      <c r="U68" s="209">
        <f t="shared" si="152"/>
        <v>0</v>
      </c>
      <c r="V68" s="209">
        <f t="shared" si="97"/>
        <v>0</v>
      </c>
      <c r="W68" s="209">
        <f t="shared" si="97"/>
        <v>0</v>
      </c>
      <c r="X68" s="53">
        <f t="shared" si="152"/>
        <v>0</v>
      </c>
      <c r="Y68" s="209">
        <f t="shared" si="164"/>
        <v>0</v>
      </c>
      <c r="Z68" s="209">
        <f t="shared" si="164"/>
        <v>0</v>
      </c>
      <c r="AA68" s="209">
        <f t="shared" si="164"/>
        <v>0</v>
      </c>
      <c r="AB68" s="209">
        <f t="shared" si="164"/>
        <v>0</v>
      </c>
      <c r="AC68" s="209">
        <f t="shared" si="164"/>
        <v>0</v>
      </c>
      <c r="AD68" s="209">
        <f t="shared" si="164"/>
        <v>0</v>
      </c>
      <c r="AE68" s="209">
        <f t="shared" si="170"/>
        <v>0</v>
      </c>
      <c r="AF68" s="209"/>
      <c r="AG68" s="209">
        <f t="shared" si="170"/>
        <v>0</v>
      </c>
      <c r="AH68" s="209">
        <f t="shared" si="170"/>
        <v>0</v>
      </c>
      <c r="AI68" s="58">
        <f t="shared" si="139"/>
        <v>0</v>
      </c>
      <c r="AJ68" s="209">
        <f t="shared" si="139"/>
        <v>0</v>
      </c>
      <c r="AK68" s="209">
        <f t="shared" si="139"/>
        <v>0</v>
      </c>
      <c r="AL68" s="209">
        <f t="shared" si="139"/>
        <v>0</v>
      </c>
      <c r="AM68" s="209">
        <f t="shared" si="139"/>
        <v>0</v>
      </c>
      <c r="AN68" s="209">
        <f t="shared" si="131"/>
        <v>0</v>
      </c>
      <c r="AO68" s="209">
        <f t="shared" si="131"/>
        <v>0</v>
      </c>
      <c r="AP68" s="209">
        <f t="shared" si="139"/>
        <v>0</v>
      </c>
      <c r="AQ68" s="209">
        <f t="shared" si="139"/>
        <v>0</v>
      </c>
      <c r="AR68" s="53">
        <f t="shared" si="139"/>
        <v>0</v>
      </c>
      <c r="AS68" s="65">
        <f t="shared" si="194"/>
        <v>0</v>
      </c>
      <c r="AT68" s="210">
        <f t="shared" si="194"/>
        <v>0</v>
      </c>
      <c r="AU68" s="210">
        <f t="shared" si="194"/>
        <v>0</v>
      </c>
      <c r="AV68" s="210">
        <f t="shared" si="194"/>
        <v>0</v>
      </c>
      <c r="AW68" s="280">
        <f t="shared" si="194"/>
        <v>0</v>
      </c>
      <c r="AX68" s="210">
        <f t="shared" si="157"/>
        <v>0</v>
      </c>
      <c r="AY68" s="210">
        <f t="shared" si="157"/>
        <v>0</v>
      </c>
      <c r="AZ68" s="210">
        <f t="shared" si="157"/>
        <v>0</v>
      </c>
      <c r="BA68" s="210">
        <f t="shared" si="157"/>
        <v>0</v>
      </c>
      <c r="BB68" s="53">
        <f t="shared" si="157"/>
        <v>0</v>
      </c>
      <c r="BC68" s="58">
        <f t="shared" si="195"/>
        <v>0</v>
      </c>
      <c r="BD68" s="209">
        <f t="shared" si="195"/>
        <v>0</v>
      </c>
      <c r="BE68" s="209">
        <f t="shared" si="195"/>
        <v>0</v>
      </c>
      <c r="BF68" s="209">
        <f t="shared" si="195"/>
        <v>0</v>
      </c>
      <c r="BG68" s="209">
        <f t="shared" si="195"/>
        <v>0</v>
      </c>
      <c r="BH68" s="209">
        <f t="shared" si="195"/>
        <v>0</v>
      </c>
      <c r="BI68" s="209">
        <f t="shared" si="195"/>
        <v>0</v>
      </c>
      <c r="BJ68" s="209">
        <f t="shared" si="196"/>
        <v>0</v>
      </c>
      <c r="BK68" s="209">
        <f t="shared" si="196"/>
        <v>0</v>
      </c>
      <c r="BL68" s="209">
        <f t="shared" si="196"/>
        <v>0</v>
      </c>
      <c r="BM68" s="58">
        <f>(1+4)/165</f>
        <v>3.0303030303030304E-2</v>
      </c>
      <c r="BN68" s="209">
        <f t="shared" ref="BM68:BV70" si="198">(0)/165</f>
        <v>0</v>
      </c>
      <c r="BO68" s="209">
        <f>(6+8+2.5+10.5)/165</f>
        <v>0.16363636363636364</v>
      </c>
      <c r="BP68" s="209">
        <f t="shared" si="198"/>
        <v>0</v>
      </c>
      <c r="BQ68" s="209">
        <f t="shared" si="198"/>
        <v>0</v>
      </c>
      <c r="BR68" s="209">
        <f>(6+10+10.5+2)/165</f>
        <v>0.17272727272727273</v>
      </c>
      <c r="BS68" s="209">
        <f t="shared" si="198"/>
        <v>0</v>
      </c>
      <c r="BT68" s="209">
        <f>(7+9+10)/165</f>
        <v>0.15757575757575756</v>
      </c>
      <c r="BU68" s="209">
        <f t="shared" si="198"/>
        <v>0</v>
      </c>
      <c r="BV68" s="209">
        <f t="shared" si="198"/>
        <v>0</v>
      </c>
      <c r="BW68" s="65">
        <f>(0+5+3)/150</f>
        <v>5.3333333333333337E-2</v>
      </c>
      <c r="BX68" s="209">
        <f t="shared" si="191"/>
        <v>0</v>
      </c>
      <c r="BY68" s="209">
        <f>(0+3+23+17.5)/150</f>
        <v>0.28999999999999998</v>
      </c>
      <c r="BZ68" s="209">
        <f t="shared" si="189"/>
        <v>0</v>
      </c>
      <c r="CA68" s="209">
        <f t="shared" si="189"/>
        <v>0</v>
      </c>
      <c r="CB68" s="209">
        <f>(0+12.5+16)/150</f>
        <v>0.19</v>
      </c>
      <c r="CC68" s="209">
        <f t="shared" si="190"/>
        <v>0</v>
      </c>
      <c r="CD68" s="209">
        <f>(0+17+15)/150</f>
        <v>0.21333333333333335</v>
      </c>
      <c r="CE68" s="209">
        <f>(0+14+4)/150</f>
        <v>0.12</v>
      </c>
      <c r="CF68" s="209">
        <f>(0+4)/150</f>
        <v>2.6666666666666668E-2</v>
      </c>
      <c r="CG68" s="65">
        <f t="shared" si="181"/>
        <v>0</v>
      </c>
      <c r="CH68" s="209">
        <f t="shared" si="181"/>
        <v>0</v>
      </c>
      <c r="CI68" s="209">
        <f t="shared" si="181"/>
        <v>0</v>
      </c>
      <c r="CJ68" s="209">
        <f t="shared" si="181"/>
        <v>0</v>
      </c>
      <c r="CK68" s="209">
        <f t="shared" si="181"/>
        <v>0</v>
      </c>
      <c r="CL68" s="209">
        <f t="shared" si="181"/>
        <v>0</v>
      </c>
      <c r="CM68" s="209">
        <f t="shared" si="181"/>
        <v>0</v>
      </c>
      <c r="CN68" s="209">
        <f t="shared" si="181"/>
        <v>0</v>
      </c>
      <c r="CO68" s="209">
        <f t="shared" si="181"/>
        <v>0</v>
      </c>
      <c r="CP68" s="209">
        <f t="shared" si="181"/>
        <v>0</v>
      </c>
      <c r="CQ68" s="65">
        <f t="shared" si="148"/>
        <v>0</v>
      </c>
      <c r="CR68" s="209">
        <f t="shared" si="148"/>
        <v>0</v>
      </c>
      <c r="CS68" s="209">
        <f t="shared" si="148"/>
        <v>0</v>
      </c>
      <c r="CT68" s="209">
        <f t="shared" si="148"/>
        <v>0</v>
      </c>
      <c r="CU68" s="209">
        <f t="shared" si="148"/>
        <v>0</v>
      </c>
      <c r="CV68" s="209">
        <f t="shared" si="148"/>
        <v>0</v>
      </c>
      <c r="CW68" s="209">
        <f t="shared" si="148"/>
        <v>0</v>
      </c>
      <c r="CX68" s="65">
        <f t="shared" si="127"/>
        <v>0</v>
      </c>
      <c r="CY68" s="210">
        <f t="shared" si="127"/>
        <v>0</v>
      </c>
      <c r="CZ68" s="210">
        <f t="shared" si="127"/>
        <v>0</v>
      </c>
      <c r="DA68" s="210">
        <f t="shared" si="127"/>
        <v>0</v>
      </c>
      <c r="DB68" s="210">
        <f t="shared" si="127"/>
        <v>0</v>
      </c>
      <c r="DC68" s="210">
        <f t="shared" si="158"/>
        <v>0</v>
      </c>
      <c r="DD68" s="209">
        <f t="shared" si="158"/>
        <v>0</v>
      </c>
      <c r="DE68" s="65">
        <f t="shared" si="182"/>
        <v>0</v>
      </c>
      <c r="DF68" s="210">
        <f t="shared" si="182"/>
        <v>0</v>
      </c>
      <c r="DG68" s="210">
        <f t="shared" si="182"/>
        <v>0</v>
      </c>
      <c r="DH68" s="210">
        <f t="shared" si="182"/>
        <v>0</v>
      </c>
      <c r="DI68" s="210">
        <f t="shared" si="182"/>
        <v>0</v>
      </c>
      <c r="DJ68" s="210">
        <f t="shared" si="159"/>
        <v>0</v>
      </c>
      <c r="DK68" s="210">
        <f t="shared" si="159"/>
        <v>0</v>
      </c>
      <c r="DL68" s="65">
        <f t="shared" si="197"/>
        <v>0</v>
      </c>
      <c r="DM68" s="60">
        <f t="shared" si="197"/>
        <v>0</v>
      </c>
      <c r="DN68" s="60">
        <f t="shared" si="197"/>
        <v>0</v>
      </c>
      <c r="DO68" s="60">
        <f t="shared" si="197"/>
        <v>0</v>
      </c>
      <c r="DP68" s="60">
        <f t="shared" si="197"/>
        <v>0</v>
      </c>
      <c r="DQ68" s="210">
        <f t="shared" si="160"/>
        <v>0</v>
      </c>
      <c r="DR68" s="210">
        <f t="shared" si="160"/>
        <v>0</v>
      </c>
      <c r="DS68" s="210">
        <f t="shared" si="160"/>
        <v>0</v>
      </c>
    </row>
    <row r="69" spans="1:124" ht="26.25" hidden="1" customHeight="1" outlineLevel="1" x14ac:dyDescent="0.4">
      <c r="A69" s="347">
        <v>32</v>
      </c>
      <c r="B69" s="347" t="s">
        <v>47</v>
      </c>
      <c r="C69" s="347" t="s">
        <v>14</v>
      </c>
      <c r="D69" s="349" t="s">
        <v>392</v>
      </c>
      <c r="E69" s="349" t="s">
        <v>679</v>
      </c>
      <c r="F69" s="349" t="s">
        <v>386</v>
      </c>
      <c r="G69" s="563" t="s">
        <v>683</v>
      </c>
      <c r="H69" s="449">
        <f t="shared" ref="H69" si="199">SUM(DE69:DK69)</f>
        <v>0</v>
      </c>
      <c r="I69" s="449">
        <f t="shared" ref="I69" si="200">SUM(DE70:DK70)</f>
        <v>0</v>
      </c>
      <c r="J69" s="447"/>
      <c r="K69" s="445"/>
      <c r="L69" s="445"/>
      <c r="M69" s="428"/>
      <c r="N69" s="21" t="s">
        <v>24</v>
      </c>
      <c r="O69" s="190">
        <f t="shared" si="152"/>
        <v>0</v>
      </c>
      <c r="P69" s="190">
        <f t="shared" si="152"/>
        <v>0</v>
      </c>
      <c r="Q69" s="190">
        <f t="shared" si="152"/>
        <v>0</v>
      </c>
      <c r="R69" s="190">
        <f t="shared" si="152"/>
        <v>0</v>
      </c>
      <c r="S69" s="190">
        <f t="shared" si="152"/>
        <v>0</v>
      </c>
      <c r="T69" s="190">
        <f t="shared" si="152"/>
        <v>0</v>
      </c>
      <c r="U69" s="190">
        <f t="shared" si="152"/>
        <v>0</v>
      </c>
      <c r="V69" s="190">
        <f t="shared" si="97"/>
        <v>0</v>
      </c>
      <c r="W69" s="190">
        <f t="shared" si="97"/>
        <v>0</v>
      </c>
      <c r="X69" s="86">
        <f t="shared" si="152"/>
        <v>0</v>
      </c>
      <c r="Y69" s="190">
        <f t="shared" si="164"/>
        <v>0</v>
      </c>
      <c r="Z69" s="190">
        <f t="shared" si="164"/>
        <v>0</v>
      </c>
      <c r="AA69" s="190">
        <f t="shared" si="164"/>
        <v>0</v>
      </c>
      <c r="AB69" s="190">
        <f t="shared" si="164"/>
        <v>0</v>
      </c>
      <c r="AC69" s="190">
        <f t="shared" si="164"/>
        <v>0</v>
      </c>
      <c r="AD69" s="190">
        <f t="shared" si="164"/>
        <v>0</v>
      </c>
      <c r="AE69" s="190">
        <f t="shared" si="170"/>
        <v>0</v>
      </c>
      <c r="AF69" s="190"/>
      <c r="AG69" s="190">
        <f t="shared" si="170"/>
        <v>0</v>
      </c>
      <c r="AH69" s="190">
        <f t="shared" si="170"/>
        <v>0</v>
      </c>
      <c r="AI69" s="77">
        <f t="shared" si="139"/>
        <v>0</v>
      </c>
      <c r="AJ69" s="190">
        <f t="shared" si="139"/>
        <v>0</v>
      </c>
      <c r="AK69" s="190">
        <f t="shared" si="139"/>
        <v>0</v>
      </c>
      <c r="AL69" s="190">
        <f t="shared" si="139"/>
        <v>0</v>
      </c>
      <c r="AM69" s="190">
        <f t="shared" si="139"/>
        <v>0</v>
      </c>
      <c r="AN69" s="190">
        <f t="shared" si="131"/>
        <v>0</v>
      </c>
      <c r="AO69" s="190">
        <f t="shared" si="131"/>
        <v>0</v>
      </c>
      <c r="AP69" s="190">
        <f t="shared" si="139"/>
        <v>0</v>
      </c>
      <c r="AQ69" s="190">
        <f t="shared" si="139"/>
        <v>0</v>
      </c>
      <c r="AR69" s="225">
        <f t="shared" si="139"/>
        <v>0</v>
      </c>
      <c r="AS69" s="23">
        <f t="shared" si="194"/>
        <v>0</v>
      </c>
      <c r="AT69" s="190">
        <f t="shared" si="194"/>
        <v>0</v>
      </c>
      <c r="AU69" s="190">
        <f t="shared" si="194"/>
        <v>0</v>
      </c>
      <c r="AV69" s="190">
        <f t="shared" si="194"/>
        <v>0</v>
      </c>
      <c r="AW69" s="190">
        <f t="shared" si="194"/>
        <v>0</v>
      </c>
      <c r="AX69" s="190">
        <f t="shared" si="157"/>
        <v>0</v>
      </c>
      <c r="AY69" s="190">
        <f t="shared" si="157"/>
        <v>0</v>
      </c>
      <c r="AZ69" s="190">
        <f t="shared" si="157"/>
        <v>0</v>
      </c>
      <c r="BA69" s="190">
        <f t="shared" si="157"/>
        <v>0</v>
      </c>
      <c r="BB69" s="225">
        <f t="shared" si="157"/>
        <v>0</v>
      </c>
      <c r="BC69" s="77">
        <f t="shared" si="195"/>
        <v>0</v>
      </c>
      <c r="BD69" s="190">
        <f t="shared" si="195"/>
        <v>0</v>
      </c>
      <c r="BE69" s="190">
        <f t="shared" si="195"/>
        <v>0</v>
      </c>
      <c r="BF69" s="190">
        <f t="shared" si="195"/>
        <v>0</v>
      </c>
      <c r="BG69" s="190">
        <f t="shared" si="195"/>
        <v>0</v>
      </c>
      <c r="BH69" s="190">
        <f t="shared" si="195"/>
        <v>0</v>
      </c>
      <c r="BI69" s="190">
        <f t="shared" si="195"/>
        <v>0</v>
      </c>
      <c r="BJ69" s="190">
        <f t="shared" si="196"/>
        <v>0</v>
      </c>
      <c r="BK69" s="190">
        <f t="shared" si="196"/>
        <v>0</v>
      </c>
      <c r="BL69" s="190">
        <f t="shared" si="196"/>
        <v>0</v>
      </c>
      <c r="BM69" s="77">
        <f t="shared" si="114"/>
        <v>0</v>
      </c>
      <c r="BN69" s="190">
        <f t="shared" si="114"/>
        <v>0</v>
      </c>
      <c r="BO69" s="190">
        <f>(6)/165</f>
        <v>3.6363636363636362E-2</v>
      </c>
      <c r="BP69" s="190">
        <f t="shared" si="114"/>
        <v>0</v>
      </c>
      <c r="BQ69" s="190">
        <f t="shared" si="114"/>
        <v>0</v>
      </c>
      <c r="BR69" s="190">
        <f>(8)/165</f>
        <v>4.8484848484848485E-2</v>
      </c>
      <c r="BS69" s="190">
        <f t="shared" si="114"/>
        <v>0</v>
      </c>
      <c r="BT69" s="190">
        <f t="shared" si="114"/>
        <v>0</v>
      </c>
      <c r="BU69" s="190">
        <f t="shared" si="114"/>
        <v>0</v>
      </c>
      <c r="BV69" s="190">
        <f t="shared" si="114"/>
        <v>0</v>
      </c>
      <c r="BW69" s="23">
        <f>(0)/150</f>
        <v>0</v>
      </c>
      <c r="BX69" s="190">
        <f t="shared" si="191"/>
        <v>0</v>
      </c>
      <c r="BY69" s="190">
        <f>(0)/150</f>
        <v>0</v>
      </c>
      <c r="BZ69" s="190">
        <f t="shared" si="189"/>
        <v>0</v>
      </c>
      <c r="CA69" s="190">
        <f t="shared" si="189"/>
        <v>0</v>
      </c>
      <c r="CB69" s="190">
        <f>(0)/150</f>
        <v>0</v>
      </c>
      <c r="CC69" s="190">
        <f t="shared" si="190"/>
        <v>0</v>
      </c>
      <c r="CD69" s="190">
        <f>(0)/150</f>
        <v>0</v>
      </c>
      <c r="CE69" s="190">
        <f t="shared" si="180"/>
        <v>0</v>
      </c>
      <c r="CF69" s="190">
        <f t="shared" si="180"/>
        <v>0</v>
      </c>
      <c r="CG69" s="23">
        <f t="shared" si="181"/>
        <v>0</v>
      </c>
      <c r="CH69" s="190">
        <f t="shared" si="181"/>
        <v>0</v>
      </c>
      <c r="CI69" s="190">
        <f t="shared" si="181"/>
        <v>0</v>
      </c>
      <c r="CJ69" s="190">
        <f t="shared" si="181"/>
        <v>0</v>
      </c>
      <c r="CK69" s="190">
        <f t="shared" si="181"/>
        <v>0</v>
      </c>
      <c r="CL69" s="190">
        <f t="shared" si="181"/>
        <v>0</v>
      </c>
      <c r="CM69" s="190">
        <f t="shared" si="181"/>
        <v>0</v>
      </c>
      <c r="CN69" s="190">
        <f t="shared" si="181"/>
        <v>0</v>
      </c>
      <c r="CO69" s="190">
        <f t="shared" si="181"/>
        <v>0</v>
      </c>
      <c r="CP69" s="190">
        <f t="shared" si="181"/>
        <v>0</v>
      </c>
      <c r="CQ69" s="23">
        <f t="shared" si="148"/>
        <v>0</v>
      </c>
      <c r="CR69" s="190">
        <f t="shared" si="148"/>
        <v>0</v>
      </c>
      <c r="CS69" s="190">
        <f t="shared" si="148"/>
        <v>0</v>
      </c>
      <c r="CT69" s="190">
        <f t="shared" si="148"/>
        <v>0</v>
      </c>
      <c r="CU69" s="190">
        <f t="shared" si="148"/>
        <v>0</v>
      </c>
      <c r="CV69" s="190">
        <f t="shared" si="148"/>
        <v>0</v>
      </c>
      <c r="CW69" s="190">
        <f t="shared" si="148"/>
        <v>0</v>
      </c>
      <c r="CX69" s="77">
        <f t="shared" si="127"/>
        <v>0</v>
      </c>
      <c r="CY69" s="190">
        <f t="shared" si="127"/>
        <v>0</v>
      </c>
      <c r="CZ69" s="190">
        <f t="shared" si="127"/>
        <v>0</v>
      </c>
      <c r="DA69" s="190">
        <f t="shared" si="127"/>
        <v>0</v>
      </c>
      <c r="DB69" s="190">
        <f t="shared" si="127"/>
        <v>0</v>
      </c>
      <c r="DC69" s="190">
        <f t="shared" si="158"/>
        <v>0</v>
      </c>
      <c r="DD69" s="190">
        <f t="shared" si="158"/>
        <v>0</v>
      </c>
      <c r="DE69" s="23">
        <f t="shared" si="182"/>
        <v>0</v>
      </c>
      <c r="DF69" s="190">
        <f t="shared" si="182"/>
        <v>0</v>
      </c>
      <c r="DG69" s="190">
        <f t="shared" si="182"/>
        <v>0</v>
      </c>
      <c r="DH69" s="190">
        <f t="shared" si="182"/>
        <v>0</v>
      </c>
      <c r="DI69" s="190">
        <f t="shared" si="182"/>
        <v>0</v>
      </c>
      <c r="DJ69" s="190">
        <f t="shared" si="159"/>
        <v>0</v>
      </c>
      <c r="DK69" s="190">
        <f t="shared" si="159"/>
        <v>0</v>
      </c>
      <c r="DL69" s="23">
        <f t="shared" si="197"/>
        <v>0</v>
      </c>
      <c r="DM69" s="10">
        <f t="shared" si="197"/>
        <v>0</v>
      </c>
      <c r="DN69" s="10">
        <f t="shared" si="197"/>
        <v>0</v>
      </c>
      <c r="DO69" s="10">
        <f t="shared" si="197"/>
        <v>0</v>
      </c>
      <c r="DP69" s="10">
        <f t="shared" si="197"/>
        <v>0</v>
      </c>
      <c r="DQ69" s="190">
        <f t="shared" si="160"/>
        <v>0</v>
      </c>
      <c r="DR69" s="190">
        <f t="shared" si="160"/>
        <v>0</v>
      </c>
      <c r="DS69" s="190">
        <f t="shared" si="160"/>
        <v>0</v>
      </c>
    </row>
    <row r="70" spans="1:124" ht="26.25" hidden="1" customHeight="1" outlineLevel="1" x14ac:dyDescent="0.4">
      <c r="A70" s="348"/>
      <c r="B70" s="348"/>
      <c r="C70" s="348"/>
      <c r="D70" s="350"/>
      <c r="E70" s="350"/>
      <c r="F70" s="350"/>
      <c r="G70" s="565"/>
      <c r="H70" s="450"/>
      <c r="I70" s="450"/>
      <c r="J70" s="448"/>
      <c r="K70" s="446"/>
      <c r="L70" s="446"/>
      <c r="M70" s="429"/>
      <c r="N70" s="209" t="s">
        <v>25</v>
      </c>
      <c r="O70" s="209">
        <f t="shared" si="152"/>
        <v>0</v>
      </c>
      <c r="P70" s="209">
        <f t="shared" si="152"/>
        <v>0</v>
      </c>
      <c r="Q70" s="209">
        <f t="shared" si="152"/>
        <v>0</v>
      </c>
      <c r="R70" s="209">
        <f t="shared" si="152"/>
        <v>0</v>
      </c>
      <c r="S70" s="209">
        <f t="shared" si="152"/>
        <v>0</v>
      </c>
      <c r="T70" s="209">
        <f t="shared" si="152"/>
        <v>0</v>
      </c>
      <c r="U70" s="209">
        <f t="shared" si="152"/>
        <v>0</v>
      </c>
      <c r="V70" s="209">
        <f t="shared" si="97"/>
        <v>0</v>
      </c>
      <c r="W70" s="209">
        <f t="shared" si="97"/>
        <v>0</v>
      </c>
      <c r="X70" s="53">
        <f t="shared" si="152"/>
        <v>0</v>
      </c>
      <c r="Y70" s="209">
        <f t="shared" si="164"/>
        <v>0</v>
      </c>
      <c r="Z70" s="209">
        <f t="shared" si="164"/>
        <v>0</v>
      </c>
      <c r="AA70" s="209">
        <f t="shared" si="164"/>
        <v>0</v>
      </c>
      <c r="AB70" s="209">
        <f t="shared" si="164"/>
        <v>0</v>
      </c>
      <c r="AC70" s="209">
        <f t="shared" si="164"/>
        <v>0</v>
      </c>
      <c r="AD70" s="209">
        <f t="shared" si="164"/>
        <v>0</v>
      </c>
      <c r="AE70" s="209">
        <f t="shared" si="170"/>
        <v>0</v>
      </c>
      <c r="AF70" s="209"/>
      <c r="AG70" s="209">
        <f t="shared" si="170"/>
        <v>0</v>
      </c>
      <c r="AH70" s="209">
        <f t="shared" si="170"/>
        <v>0</v>
      </c>
      <c r="AI70" s="58">
        <f t="shared" si="139"/>
        <v>0</v>
      </c>
      <c r="AJ70" s="209">
        <f t="shared" si="139"/>
        <v>0</v>
      </c>
      <c r="AK70" s="209">
        <f t="shared" si="139"/>
        <v>0</v>
      </c>
      <c r="AL70" s="209">
        <f t="shared" si="139"/>
        <v>0</v>
      </c>
      <c r="AM70" s="209">
        <f t="shared" si="139"/>
        <v>0</v>
      </c>
      <c r="AN70" s="209">
        <f t="shared" si="131"/>
        <v>0</v>
      </c>
      <c r="AO70" s="209">
        <f t="shared" si="131"/>
        <v>0</v>
      </c>
      <c r="AP70" s="209">
        <f t="shared" si="139"/>
        <v>0</v>
      </c>
      <c r="AQ70" s="209">
        <f t="shared" si="139"/>
        <v>0</v>
      </c>
      <c r="AR70" s="53">
        <f t="shared" si="139"/>
        <v>0</v>
      </c>
      <c r="AS70" s="65">
        <f t="shared" si="194"/>
        <v>0</v>
      </c>
      <c r="AT70" s="210">
        <f t="shared" si="194"/>
        <v>0</v>
      </c>
      <c r="AU70" s="210">
        <f t="shared" si="194"/>
        <v>0</v>
      </c>
      <c r="AV70" s="210">
        <f t="shared" si="194"/>
        <v>0</v>
      </c>
      <c r="AW70" s="280">
        <f t="shared" si="194"/>
        <v>0</v>
      </c>
      <c r="AX70" s="210">
        <f t="shared" si="157"/>
        <v>0</v>
      </c>
      <c r="AY70" s="210">
        <f t="shared" si="157"/>
        <v>0</v>
      </c>
      <c r="AZ70" s="210">
        <f t="shared" si="157"/>
        <v>0</v>
      </c>
      <c r="BA70" s="210">
        <f t="shared" si="157"/>
        <v>0</v>
      </c>
      <c r="BB70" s="53">
        <f t="shared" si="157"/>
        <v>0</v>
      </c>
      <c r="BC70" s="58">
        <f t="shared" si="195"/>
        <v>0</v>
      </c>
      <c r="BD70" s="209">
        <f t="shared" si="195"/>
        <v>0</v>
      </c>
      <c r="BE70" s="209">
        <f t="shared" si="195"/>
        <v>0</v>
      </c>
      <c r="BF70" s="209">
        <f t="shared" si="195"/>
        <v>0</v>
      </c>
      <c r="BG70" s="209">
        <f t="shared" si="195"/>
        <v>0</v>
      </c>
      <c r="BH70" s="209">
        <f t="shared" si="195"/>
        <v>0</v>
      </c>
      <c r="BI70" s="209">
        <f t="shared" si="195"/>
        <v>0</v>
      </c>
      <c r="BJ70" s="209">
        <f t="shared" si="196"/>
        <v>0</v>
      </c>
      <c r="BK70" s="209">
        <f t="shared" si="196"/>
        <v>0</v>
      </c>
      <c r="BL70" s="209">
        <f t="shared" si="196"/>
        <v>0</v>
      </c>
      <c r="BM70" s="58">
        <f t="shared" si="198"/>
        <v>0</v>
      </c>
      <c r="BN70" s="209">
        <f t="shared" si="198"/>
        <v>0</v>
      </c>
      <c r="BO70" s="209">
        <f>(5)/165</f>
        <v>3.0303030303030304E-2</v>
      </c>
      <c r="BP70" s="209">
        <f t="shared" si="198"/>
        <v>0</v>
      </c>
      <c r="BQ70" s="209">
        <f t="shared" si="198"/>
        <v>0</v>
      </c>
      <c r="BR70" s="209">
        <f>(7)/165</f>
        <v>4.2424242424242427E-2</v>
      </c>
      <c r="BS70" s="209">
        <f t="shared" si="198"/>
        <v>0</v>
      </c>
      <c r="BT70" s="209">
        <f t="shared" si="198"/>
        <v>0</v>
      </c>
      <c r="BU70" s="209">
        <f t="shared" si="198"/>
        <v>0</v>
      </c>
      <c r="BV70" s="209">
        <f t="shared" si="198"/>
        <v>0</v>
      </c>
      <c r="BW70" s="65">
        <f>(0)/150</f>
        <v>0</v>
      </c>
      <c r="BX70" s="209">
        <f t="shared" si="191"/>
        <v>0</v>
      </c>
      <c r="BY70" s="209">
        <f>(0)/150</f>
        <v>0</v>
      </c>
      <c r="BZ70" s="209">
        <f t="shared" si="189"/>
        <v>0</v>
      </c>
      <c r="CA70" s="209">
        <f t="shared" si="189"/>
        <v>0</v>
      </c>
      <c r="CB70" s="209">
        <f>(0)/150</f>
        <v>0</v>
      </c>
      <c r="CC70" s="209">
        <f t="shared" si="190"/>
        <v>0</v>
      </c>
      <c r="CD70" s="209">
        <f>(0)/150</f>
        <v>0</v>
      </c>
      <c r="CE70" s="209">
        <f t="shared" si="180"/>
        <v>0</v>
      </c>
      <c r="CF70" s="209">
        <f t="shared" si="180"/>
        <v>0</v>
      </c>
      <c r="CG70" s="65">
        <f t="shared" si="181"/>
        <v>0</v>
      </c>
      <c r="CH70" s="209">
        <f t="shared" si="181"/>
        <v>0</v>
      </c>
      <c r="CI70" s="209">
        <f t="shared" si="181"/>
        <v>0</v>
      </c>
      <c r="CJ70" s="209">
        <f t="shared" si="181"/>
        <v>0</v>
      </c>
      <c r="CK70" s="209">
        <f t="shared" si="181"/>
        <v>0</v>
      </c>
      <c r="CL70" s="209">
        <f t="shared" si="181"/>
        <v>0</v>
      </c>
      <c r="CM70" s="209">
        <f t="shared" si="181"/>
        <v>0</v>
      </c>
      <c r="CN70" s="209">
        <f t="shared" si="181"/>
        <v>0</v>
      </c>
      <c r="CO70" s="209">
        <f t="shared" si="181"/>
        <v>0</v>
      </c>
      <c r="CP70" s="209">
        <f t="shared" si="181"/>
        <v>0</v>
      </c>
      <c r="CQ70" s="65">
        <f t="shared" si="148"/>
        <v>0</v>
      </c>
      <c r="CR70" s="209">
        <f t="shared" si="148"/>
        <v>0</v>
      </c>
      <c r="CS70" s="209">
        <f t="shared" si="148"/>
        <v>0</v>
      </c>
      <c r="CT70" s="209">
        <f t="shared" si="148"/>
        <v>0</v>
      </c>
      <c r="CU70" s="209">
        <f t="shared" si="148"/>
        <v>0</v>
      </c>
      <c r="CV70" s="209">
        <f t="shared" si="148"/>
        <v>0</v>
      </c>
      <c r="CW70" s="209">
        <f t="shared" si="148"/>
        <v>0</v>
      </c>
      <c r="CX70" s="65">
        <f t="shared" si="127"/>
        <v>0</v>
      </c>
      <c r="CY70" s="210">
        <f t="shared" si="127"/>
        <v>0</v>
      </c>
      <c r="CZ70" s="210">
        <f t="shared" si="127"/>
        <v>0</v>
      </c>
      <c r="DA70" s="210">
        <f t="shared" si="127"/>
        <v>0</v>
      </c>
      <c r="DB70" s="210">
        <f t="shared" si="127"/>
        <v>0</v>
      </c>
      <c r="DC70" s="210">
        <f t="shared" si="158"/>
        <v>0</v>
      </c>
      <c r="DD70" s="209">
        <f t="shared" si="158"/>
        <v>0</v>
      </c>
      <c r="DE70" s="65">
        <f t="shared" si="182"/>
        <v>0</v>
      </c>
      <c r="DF70" s="210">
        <f t="shared" si="182"/>
        <v>0</v>
      </c>
      <c r="DG70" s="210">
        <f t="shared" si="182"/>
        <v>0</v>
      </c>
      <c r="DH70" s="210">
        <f t="shared" si="182"/>
        <v>0</v>
      </c>
      <c r="DI70" s="210">
        <f t="shared" si="182"/>
        <v>0</v>
      </c>
      <c r="DJ70" s="210">
        <f t="shared" si="159"/>
        <v>0</v>
      </c>
      <c r="DK70" s="210">
        <f t="shared" si="159"/>
        <v>0</v>
      </c>
      <c r="DL70" s="65">
        <f t="shared" si="197"/>
        <v>0</v>
      </c>
      <c r="DM70" s="60">
        <f t="shared" si="197"/>
        <v>0</v>
      </c>
      <c r="DN70" s="60">
        <f t="shared" si="197"/>
        <v>0</v>
      </c>
      <c r="DO70" s="60">
        <f t="shared" si="197"/>
        <v>0</v>
      </c>
      <c r="DP70" s="60">
        <f t="shared" si="197"/>
        <v>0</v>
      </c>
      <c r="DQ70" s="210">
        <f t="shared" si="160"/>
        <v>0</v>
      </c>
      <c r="DR70" s="210">
        <f t="shared" si="160"/>
        <v>0</v>
      </c>
      <c r="DS70" s="210">
        <f t="shared" si="160"/>
        <v>0</v>
      </c>
    </row>
    <row r="71" spans="1:124" ht="26.25" hidden="1" customHeight="1" outlineLevel="1" collapsed="1" x14ac:dyDescent="0.4">
      <c r="A71" s="347">
        <v>33</v>
      </c>
      <c r="B71" s="347" t="s">
        <v>47</v>
      </c>
      <c r="C71" s="347" t="s">
        <v>347</v>
      </c>
      <c r="D71" s="349" t="s">
        <v>662</v>
      </c>
      <c r="E71" s="349" t="s">
        <v>700</v>
      </c>
      <c r="F71" s="349" t="s">
        <v>702</v>
      </c>
      <c r="G71" s="563" t="s">
        <v>701</v>
      </c>
      <c r="H71" s="449">
        <f t="shared" ref="H71" si="201">SUM(DE71:DK71)</f>
        <v>0</v>
      </c>
      <c r="I71" s="449">
        <f t="shared" ref="I71" si="202">SUM(DE72:DK72)</f>
        <v>0</v>
      </c>
      <c r="J71" s="447"/>
      <c r="K71" s="445"/>
      <c r="L71" s="445"/>
      <c r="M71" s="428"/>
      <c r="N71" s="21" t="s">
        <v>24</v>
      </c>
      <c r="O71" s="190">
        <f t="shared" si="152"/>
        <v>0</v>
      </c>
      <c r="P71" s="190">
        <f t="shared" si="152"/>
        <v>0</v>
      </c>
      <c r="Q71" s="190">
        <f t="shared" si="152"/>
        <v>0</v>
      </c>
      <c r="R71" s="190">
        <f t="shared" si="152"/>
        <v>0</v>
      </c>
      <c r="S71" s="190">
        <f t="shared" si="152"/>
        <v>0</v>
      </c>
      <c r="T71" s="190">
        <f t="shared" si="152"/>
        <v>0</v>
      </c>
      <c r="U71" s="190">
        <f t="shared" si="152"/>
        <v>0</v>
      </c>
      <c r="V71" s="190">
        <f t="shared" si="97"/>
        <v>0</v>
      </c>
      <c r="W71" s="190">
        <f t="shared" si="97"/>
        <v>0</v>
      </c>
      <c r="X71" s="86">
        <f t="shared" si="152"/>
        <v>0</v>
      </c>
      <c r="Y71" s="190">
        <f t="shared" si="164"/>
        <v>0</v>
      </c>
      <c r="Z71" s="190">
        <f t="shared" si="164"/>
        <v>0</v>
      </c>
      <c r="AA71" s="190">
        <f t="shared" si="164"/>
        <v>0</v>
      </c>
      <c r="AB71" s="190">
        <f t="shared" si="164"/>
        <v>0</v>
      </c>
      <c r="AC71" s="190">
        <f t="shared" si="164"/>
        <v>0</v>
      </c>
      <c r="AD71" s="190">
        <f t="shared" si="164"/>
        <v>0</v>
      </c>
      <c r="AE71" s="190">
        <f t="shared" si="170"/>
        <v>0</v>
      </c>
      <c r="AF71" s="190"/>
      <c r="AG71" s="190">
        <f t="shared" si="170"/>
        <v>0</v>
      </c>
      <c r="AH71" s="190">
        <f t="shared" si="170"/>
        <v>0</v>
      </c>
      <c r="AI71" s="77">
        <f t="shared" si="139"/>
        <v>0</v>
      </c>
      <c r="AJ71" s="190">
        <f t="shared" si="139"/>
        <v>0</v>
      </c>
      <c r="AK71" s="190">
        <f t="shared" si="139"/>
        <v>0</v>
      </c>
      <c r="AL71" s="190">
        <f t="shared" si="139"/>
        <v>0</v>
      </c>
      <c r="AM71" s="190">
        <f t="shared" si="139"/>
        <v>0</v>
      </c>
      <c r="AN71" s="190">
        <f t="shared" si="131"/>
        <v>0</v>
      </c>
      <c r="AO71" s="190">
        <f t="shared" si="131"/>
        <v>0</v>
      </c>
      <c r="AP71" s="190">
        <f t="shared" si="139"/>
        <v>0</v>
      </c>
      <c r="AQ71" s="190">
        <f t="shared" si="139"/>
        <v>0</v>
      </c>
      <c r="AR71" s="225">
        <f t="shared" si="139"/>
        <v>0</v>
      </c>
      <c r="AS71" s="23">
        <f t="shared" si="194"/>
        <v>0</v>
      </c>
      <c r="AT71" s="190">
        <f t="shared" si="194"/>
        <v>0</v>
      </c>
      <c r="AU71" s="190">
        <f t="shared" si="194"/>
        <v>0</v>
      </c>
      <c r="AV71" s="190">
        <f t="shared" si="194"/>
        <v>0</v>
      </c>
      <c r="AW71" s="190">
        <f t="shared" si="194"/>
        <v>0</v>
      </c>
      <c r="AX71" s="190">
        <f t="shared" si="157"/>
        <v>0</v>
      </c>
      <c r="AY71" s="190">
        <f t="shared" si="157"/>
        <v>0</v>
      </c>
      <c r="AZ71" s="190">
        <f t="shared" si="157"/>
        <v>0</v>
      </c>
      <c r="BA71" s="190">
        <f t="shared" si="157"/>
        <v>0</v>
      </c>
      <c r="BB71" s="225">
        <f t="shared" si="157"/>
        <v>0</v>
      </c>
      <c r="BC71" s="77">
        <f t="shared" si="195"/>
        <v>0</v>
      </c>
      <c r="BD71" s="190">
        <f t="shared" si="195"/>
        <v>0</v>
      </c>
      <c r="BE71" s="190">
        <f t="shared" si="195"/>
        <v>0</v>
      </c>
      <c r="BF71" s="190">
        <f t="shared" si="195"/>
        <v>0</v>
      </c>
      <c r="BG71" s="190">
        <f t="shared" si="195"/>
        <v>0</v>
      </c>
      <c r="BH71" s="190">
        <f t="shared" si="195"/>
        <v>0</v>
      </c>
      <c r="BI71" s="190">
        <f t="shared" si="195"/>
        <v>0</v>
      </c>
      <c r="BJ71" s="190">
        <f t="shared" si="196"/>
        <v>0</v>
      </c>
      <c r="BK71" s="190">
        <f t="shared" si="196"/>
        <v>0</v>
      </c>
      <c r="BL71" s="190">
        <f t="shared" si="196"/>
        <v>0</v>
      </c>
      <c r="BM71" s="77">
        <f t="shared" ref="BM71:BV72" si="203">0/172.5</f>
        <v>0</v>
      </c>
      <c r="BN71" s="190">
        <f t="shared" si="203"/>
        <v>0</v>
      </c>
      <c r="BO71" s="190">
        <f t="shared" si="203"/>
        <v>0</v>
      </c>
      <c r="BP71" s="190">
        <f t="shared" si="203"/>
        <v>0</v>
      </c>
      <c r="BQ71" s="190">
        <f t="shared" si="203"/>
        <v>0</v>
      </c>
      <c r="BR71" s="190">
        <f t="shared" si="203"/>
        <v>0</v>
      </c>
      <c r="BS71" s="190">
        <f t="shared" si="203"/>
        <v>0</v>
      </c>
      <c r="BT71" s="190"/>
      <c r="BU71" s="190"/>
      <c r="BV71" s="190">
        <f t="shared" si="203"/>
        <v>0</v>
      </c>
      <c r="BW71" s="23">
        <f>(26)/150</f>
        <v>0.17333333333333334</v>
      </c>
      <c r="BX71" s="190">
        <f t="shared" si="191"/>
        <v>0</v>
      </c>
      <c r="BY71" s="190">
        <f>(0)/150</f>
        <v>0</v>
      </c>
      <c r="BZ71" s="190">
        <f t="shared" si="189"/>
        <v>0</v>
      </c>
      <c r="CA71" s="190">
        <f t="shared" si="189"/>
        <v>0</v>
      </c>
      <c r="CB71" s="190">
        <f>(30)/150</f>
        <v>0.2</v>
      </c>
      <c r="CC71" s="190">
        <f t="shared" si="190"/>
        <v>0</v>
      </c>
      <c r="CD71" s="190">
        <f>(30)/150</f>
        <v>0.2</v>
      </c>
      <c r="CE71" s="190">
        <f t="shared" si="180"/>
        <v>0</v>
      </c>
      <c r="CF71" s="190">
        <f t="shared" si="180"/>
        <v>0</v>
      </c>
      <c r="CG71" s="23">
        <f t="shared" si="181"/>
        <v>0</v>
      </c>
      <c r="CH71" s="190">
        <f t="shared" si="181"/>
        <v>0</v>
      </c>
      <c r="CI71" s="190">
        <f t="shared" si="181"/>
        <v>0</v>
      </c>
      <c r="CJ71" s="190">
        <f t="shared" si="181"/>
        <v>0</v>
      </c>
      <c r="CK71" s="190">
        <f t="shared" si="181"/>
        <v>0</v>
      </c>
      <c r="CL71" s="190">
        <f t="shared" si="181"/>
        <v>0</v>
      </c>
      <c r="CM71" s="190">
        <f t="shared" si="181"/>
        <v>0</v>
      </c>
      <c r="CN71" s="190">
        <f t="shared" si="181"/>
        <v>0</v>
      </c>
      <c r="CO71" s="190">
        <f t="shared" si="181"/>
        <v>0</v>
      </c>
      <c r="CP71" s="190">
        <f t="shared" si="181"/>
        <v>0</v>
      </c>
      <c r="CQ71" s="23">
        <f t="shared" si="148"/>
        <v>0</v>
      </c>
      <c r="CR71" s="190">
        <f t="shared" si="148"/>
        <v>0</v>
      </c>
      <c r="CS71" s="190">
        <f t="shared" si="148"/>
        <v>0</v>
      </c>
      <c r="CT71" s="190">
        <f t="shared" si="148"/>
        <v>0</v>
      </c>
      <c r="CU71" s="190">
        <f t="shared" si="148"/>
        <v>0</v>
      </c>
      <c r="CV71" s="190">
        <f t="shared" si="148"/>
        <v>0</v>
      </c>
      <c r="CW71" s="190">
        <f t="shared" si="148"/>
        <v>0</v>
      </c>
      <c r="CX71" s="77">
        <f t="shared" si="127"/>
        <v>0</v>
      </c>
      <c r="CY71" s="190">
        <f t="shared" si="127"/>
        <v>0</v>
      </c>
      <c r="CZ71" s="190">
        <f t="shared" si="127"/>
        <v>0</v>
      </c>
      <c r="DA71" s="190">
        <f t="shared" si="127"/>
        <v>0</v>
      </c>
      <c r="DB71" s="190">
        <f t="shared" si="127"/>
        <v>0</v>
      </c>
      <c r="DC71" s="190">
        <f t="shared" si="158"/>
        <v>0</v>
      </c>
      <c r="DD71" s="190">
        <f t="shared" si="158"/>
        <v>0</v>
      </c>
      <c r="DE71" s="23">
        <f t="shared" ref="DE71:DI82" si="204">0/127.5</f>
        <v>0</v>
      </c>
      <c r="DF71" s="190">
        <f t="shared" si="204"/>
        <v>0</v>
      </c>
      <c r="DG71" s="190">
        <f t="shared" si="204"/>
        <v>0</v>
      </c>
      <c r="DH71" s="190">
        <f t="shared" si="204"/>
        <v>0</v>
      </c>
      <c r="DI71" s="190">
        <f t="shared" si="204"/>
        <v>0</v>
      </c>
      <c r="DJ71" s="190">
        <f t="shared" si="159"/>
        <v>0</v>
      </c>
      <c r="DK71" s="190">
        <f t="shared" si="159"/>
        <v>0</v>
      </c>
      <c r="DL71" s="23">
        <f t="shared" si="197"/>
        <v>0</v>
      </c>
      <c r="DM71" s="10">
        <f t="shared" si="197"/>
        <v>0</v>
      </c>
      <c r="DN71" s="10">
        <f t="shared" si="197"/>
        <v>0</v>
      </c>
      <c r="DO71" s="10">
        <f t="shared" si="197"/>
        <v>0</v>
      </c>
      <c r="DP71" s="10">
        <f t="shared" si="197"/>
        <v>0</v>
      </c>
      <c r="DQ71" s="190">
        <f t="shared" si="160"/>
        <v>0</v>
      </c>
      <c r="DR71" s="190">
        <f t="shared" si="160"/>
        <v>0</v>
      </c>
      <c r="DS71" s="190">
        <f t="shared" si="160"/>
        <v>0</v>
      </c>
    </row>
    <row r="72" spans="1:124" ht="26.25" hidden="1" customHeight="1" outlineLevel="1" x14ac:dyDescent="0.4">
      <c r="A72" s="348"/>
      <c r="B72" s="348"/>
      <c r="C72" s="348"/>
      <c r="D72" s="350"/>
      <c r="E72" s="350"/>
      <c r="F72" s="350"/>
      <c r="G72" s="565"/>
      <c r="H72" s="450"/>
      <c r="I72" s="450"/>
      <c r="J72" s="448"/>
      <c r="K72" s="446"/>
      <c r="L72" s="446"/>
      <c r="M72" s="429"/>
      <c r="N72" s="209" t="s">
        <v>25</v>
      </c>
      <c r="O72" s="209">
        <f t="shared" si="152"/>
        <v>0</v>
      </c>
      <c r="P72" s="209">
        <f t="shared" si="152"/>
        <v>0</v>
      </c>
      <c r="Q72" s="209">
        <f t="shared" si="152"/>
        <v>0</v>
      </c>
      <c r="R72" s="209">
        <f t="shared" si="152"/>
        <v>0</v>
      </c>
      <c r="S72" s="209">
        <f t="shared" si="152"/>
        <v>0</v>
      </c>
      <c r="T72" s="209">
        <f t="shared" si="152"/>
        <v>0</v>
      </c>
      <c r="U72" s="209">
        <f t="shared" si="152"/>
        <v>0</v>
      </c>
      <c r="V72" s="209">
        <f t="shared" si="97"/>
        <v>0</v>
      </c>
      <c r="W72" s="209">
        <f t="shared" si="97"/>
        <v>0</v>
      </c>
      <c r="X72" s="53">
        <f t="shared" si="152"/>
        <v>0</v>
      </c>
      <c r="Y72" s="209">
        <f t="shared" si="164"/>
        <v>0</v>
      </c>
      <c r="Z72" s="209">
        <f t="shared" si="164"/>
        <v>0</v>
      </c>
      <c r="AA72" s="209">
        <f t="shared" si="164"/>
        <v>0</v>
      </c>
      <c r="AB72" s="209">
        <f t="shared" si="164"/>
        <v>0</v>
      </c>
      <c r="AC72" s="209">
        <f t="shared" si="164"/>
        <v>0</v>
      </c>
      <c r="AD72" s="209">
        <f t="shared" si="164"/>
        <v>0</v>
      </c>
      <c r="AE72" s="209">
        <f t="shared" si="170"/>
        <v>0</v>
      </c>
      <c r="AF72" s="209"/>
      <c r="AG72" s="209">
        <f t="shared" si="170"/>
        <v>0</v>
      </c>
      <c r="AH72" s="209">
        <f t="shared" si="170"/>
        <v>0</v>
      </c>
      <c r="AI72" s="58">
        <f t="shared" si="139"/>
        <v>0</v>
      </c>
      <c r="AJ72" s="209">
        <f t="shared" si="139"/>
        <v>0</v>
      </c>
      <c r="AK72" s="209">
        <f t="shared" si="139"/>
        <v>0</v>
      </c>
      <c r="AL72" s="209">
        <f t="shared" si="139"/>
        <v>0</v>
      </c>
      <c r="AM72" s="209">
        <f t="shared" si="139"/>
        <v>0</v>
      </c>
      <c r="AN72" s="209">
        <f t="shared" ref="AN72:AO80" si="205">0/165</f>
        <v>0</v>
      </c>
      <c r="AO72" s="209">
        <f t="shared" si="205"/>
        <v>0</v>
      </c>
      <c r="AP72" s="209">
        <f t="shared" si="139"/>
        <v>0</v>
      </c>
      <c r="AQ72" s="209">
        <f t="shared" si="139"/>
        <v>0</v>
      </c>
      <c r="AR72" s="53">
        <f t="shared" si="139"/>
        <v>0</v>
      </c>
      <c r="AS72" s="65">
        <f t="shared" si="194"/>
        <v>0</v>
      </c>
      <c r="AT72" s="210">
        <f t="shared" si="194"/>
        <v>0</v>
      </c>
      <c r="AU72" s="210">
        <f t="shared" si="194"/>
        <v>0</v>
      </c>
      <c r="AV72" s="210">
        <f t="shared" si="194"/>
        <v>0</v>
      </c>
      <c r="AW72" s="280">
        <f t="shared" si="194"/>
        <v>0</v>
      </c>
      <c r="AX72" s="210">
        <f t="shared" si="157"/>
        <v>0</v>
      </c>
      <c r="AY72" s="210">
        <f t="shared" si="157"/>
        <v>0</v>
      </c>
      <c r="AZ72" s="210">
        <f t="shared" si="157"/>
        <v>0</v>
      </c>
      <c r="BA72" s="210">
        <f t="shared" si="157"/>
        <v>0</v>
      </c>
      <c r="BB72" s="53">
        <f t="shared" si="157"/>
        <v>0</v>
      </c>
      <c r="BC72" s="58">
        <f t="shared" si="195"/>
        <v>0</v>
      </c>
      <c r="BD72" s="209">
        <f t="shared" si="195"/>
        <v>0</v>
      </c>
      <c r="BE72" s="209">
        <f t="shared" si="195"/>
        <v>0</v>
      </c>
      <c r="BF72" s="209">
        <f t="shared" si="195"/>
        <v>0</v>
      </c>
      <c r="BG72" s="209">
        <f t="shared" si="195"/>
        <v>0</v>
      </c>
      <c r="BH72" s="209">
        <f t="shared" si="195"/>
        <v>0</v>
      </c>
      <c r="BI72" s="209">
        <f t="shared" si="195"/>
        <v>0</v>
      </c>
      <c r="BJ72" s="209">
        <f t="shared" si="196"/>
        <v>0</v>
      </c>
      <c r="BK72" s="209">
        <f t="shared" si="196"/>
        <v>0</v>
      </c>
      <c r="BL72" s="209">
        <f t="shared" si="196"/>
        <v>0</v>
      </c>
      <c r="BM72" s="58">
        <f t="shared" si="203"/>
        <v>0</v>
      </c>
      <c r="BN72" s="209">
        <f t="shared" si="203"/>
        <v>0</v>
      </c>
      <c r="BO72" s="209">
        <f t="shared" si="203"/>
        <v>0</v>
      </c>
      <c r="BP72" s="209">
        <f t="shared" si="203"/>
        <v>0</v>
      </c>
      <c r="BQ72" s="209">
        <f t="shared" si="203"/>
        <v>0</v>
      </c>
      <c r="BR72" s="209">
        <f t="shared" si="203"/>
        <v>0</v>
      </c>
      <c r="BS72" s="209">
        <f t="shared" ref="BS72" si="206">0/172.5</f>
        <v>0</v>
      </c>
      <c r="BT72" s="209"/>
      <c r="BU72" s="209"/>
      <c r="BV72" s="209">
        <f t="shared" si="203"/>
        <v>0</v>
      </c>
      <c r="BW72" s="65">
        <f>(1+5+2+3)/150</f>
        <v>7.3333333333333334E-2</v>
      </c>
      <c r="BX72" s="209">
        <f t="shared" si="191"/>
        <v>0</v>
      </c>
      <c r="BY72" s="209">
        <f>(0)/150</f>
        <v>0</v>
      </c>
      <c r="BZ72" s="209">
        <f t="shared" si="189"/>
        <v>0</v>
      </c>
      <c r="CA72" s="209">
        <f t="shared" si="189"/>
        <v>0</v>
      </c>
      <c r="CB72" s="209">
        <f>(7+20.5+12)/150</f>
        <v>0.26333333333333331</v>
      </c>
      <c r="CC72" s="209">
        <f t="shared" si="190"/>
        <v>0</v>
      </c>
      <c r="CD72" s="209">
        <f>(7+14+13)/150</f>
        <v>0.22666666666666666</v>
      </c>
      <c r="CE72" s="209">
        <f t="shared" si="180"/>
        <v>0</v>
      </c>
      <c r="CF72" s="209">
        <f t="shared" si="180"/>
        <v>0</v>
      </c>
      <c r="CG72" s="65">
        <f t="shared" si="181"/>
        <v>0</v>
      </c>
      <c r="CH72" s="209">
        <f t="shared" si="181"/>
        <v>0</v>
      </c>
      <c r="CI72" s="209">
        <f t="shared" si="181"/>
        <v>0</v>
      </c>
      <c r="CJ72" s="209">
        <f t="shared" si="181"/>
        <v>0</v>
      </c>
      <c r="CK72" s="209">
        <f t="shared" si="181"/>
        <v>0</v>
      </c>
      <c r="CL72" s="209">
        <f t="shared" si="181"/>
        <v>0</v>
      </c>
      <c r="CM72" s="209">
        <f t="shared" si="181"/>
        <v>0</v>
      </c>
      <c r="CN72" s="209">
        <f t="shared" si="181"/>
        <v>0</v>
      </c>
      <c r="CO72" s="209">
        <f t="shared" si="181"/>
        <v>0</v>
      </c>
      <c r="CP72" s="209">
        <f t="shared" si="181"/>
        <v>0</v>
      </c>
      <c r="CQ72" s="65">
        <f t="shared" si="148"/>
        <v>0</v>
      </c>
      <c r="CR72" s="209">
        <f t="shared" si="148"/>
        <v>0</v>
      </c>
      <c r="CS72" s="209">
        <f t="shared" si="148"/>
        <v>0</v>
      </c>
      <c r="CT72" s="209">
        <f t="shared" si="148"/>
        <v>0</v>
      </c>
      <c r="CU72" s="209">
        <f t="shared" si="148"/>
        <v>0</v>
      </c>
      <c r="CV72" s="209">
        <f t="shared" si="148"/>
        <v>0</v>
      </c>
      <c r="CW72" s="209">
        <f t="shared" si="148"/>
        <v>0</v>
      </c>
      <c r="CX72" s="65">
        <f t="shared" si="127"/>
        <v>0</v>
      </c>
      <c r="CY72" s="210">
        <f t="shared" si="127"/>
        <v>0</v>
      </c>
      <c r="CZ72" s="210">
        <f t="shared" si="127"/>
        <v>0</v>
      </c>
      <c r="DA72" s="210">
        <f t="shared" si="127"/>
        <v>0</v>
      </c>
      <c r="DB72" s="210">
        <f t="shared" si="127"/>
        <v>0</v>
      </c>
      <c r="DC72" s="210">
        <f t="shared" si="158"/>
        <v>0</v>
      </c>
      <c r="DD72" s="209">
        <f t="shared" si="158"/>
        <v>0</v>
      </c>
      <c r="DE72" s="65">
        <f t="shared" si="204"/>
        <v>0</v>
      </c>
      <c r="DF72" s="210">
        <f t="shared" si="204"/>
        <v>0</v>
      </c>
      <c r="DG72" s="210">
        <f t="shared" si="204"/>
        <v>0</v>
      </c>
      <c r="DH72" s="210">
        <f t="shared" si="204"/>
        <v>0</v>
      </c>
      <c r="DI72" s="210">
        <f t="shared" si="204"/>
        <v>0</v>
      </c>
      <c r="DJ72" s="210">
        <f t="shared" si="159"/>
        <v>0</v>
      </c>
      <c r="DK72" s="210">
        <f t="shared" si="159"/>
        <v>0</v>
      </c>
      <c r="DL72" s="65">
        <f t="shared" si="197"/>
        <v>0</v>
      </c>
      <c r="DM72" s="60">
        <f t="shared" si="197"/>
        <v>0</v>
      </c>
      <c r="DN72" s="60">
        <f t="shared" si="197"/>
        <v>0</v>
      </c>
      <c r="DO72" s="60">
        <f t="shared" si="197"/>
        <v>0</v>
      </c>
      <c r="DP72" s="60">
        <f t="shared" si="197"/>
        <v>0</v>
      </c>
      <c r="DQ72" s="210">
        <f t="shared" si="160"/>
        <v>0</v>
      </c>
      <c r="DR72" s="210">
        <f t="shared" si="160"/>
        <v>0</v>
      </c>
      <c r="DS72" s="210">
        <f t="shared" si="160"/>
        <v>0</v>
      </c>
    </row>
    <row r="73" spans="1:124" ht="26.25" hidden="1" customHeight="1" outlineLevel="1" x14ac:dyDescent="0.4">
      <c r="A73" s="347">
        <v>34</v>
      </c>
      <c r="B73" s="347" t="s">
        <v>47</v>
      </c>
      <c r="C73" s="347" t="s">
        <v>347</v>
      </c>
      <c r="D73" s="349" t="s">
        <v>662</v>
      </c>
      <c r="E73" s="349" t="s">
        <v>709</v>
      </c>
      <c r="F73" s="349" t="s">
        <v>707</v>
      </c>
      <c r="G73" s="563" t="s">
        <v>708</v>
      </c>
      <c r="H73" s="449">
        <f t="shared" ref="H73" si="207">SUM(DE73:DK73)</f>
        <v>0</v>
      </c>
      <c r="I73" s="449">
        <f t="shared" ref="I73" si="208">SUM(DE74:DK74)</f>
        <v>0</v>
      </c>
      <c r="J73" s="447"/>
      <c r="K73" s="445"/>
      <c r="L73" s="445"/>
      <c r="M73" s="428"/>
      <c r="N73" s="21" t="s">
        <v>24</v>
      </c>
      <c r="O73" s="190">
        <f t="shared" si="152"/>
        <v>0</v>
      </c>
      <c r="P73" s="190">
        <f t="shared" si="152"/>
        <v>0</v>
      </c>
      <c r="Q73" s="190">
        <f t="shared" si="152"/>
        <v>0</v>
      </c>
      <c r="R73" s="190">
        <f t="shared" si="152"/>
        <v>0</v>
      </c>
      <c r="S73" s="190">
        <f t="shared" si="152"/>
        <v>0</v>
      </c>
      <c r="T73" s="190">
        <f t="shared" si="152"/>
        <v>0</v>
      </c>
      <c r="U73" s="190">
        <f t="shared" si="152"/>
        <v>0</v>
      </c>
      <c r="V73" s="190">
        <f t="shared" si="97"/>
        <v>0</v>
      </c>
      <c r="W73" s="190">
        <f t="shared" si="97"/>
        <v>0</v>
      </c>
      <c r="X73" s="86">
        <f t="shared" si="152"/>
        <v>0</v>
      </c>
      <c r="Y73" s="190">
        <f t="shared" si="164"/>
        <v>0</v>
      </c>
      <c r="Z73" s="190">
        <f t="shared" si="164"/>
        <v>0</v>
      </c>
      <c r="AA73" s="190">
        <f t="shared" si="164"/>
        <v>0</v>
      </c>
      <c r="AB73" s="190">
        <f t="shared" si="164"/>
        <v>0</v>
      </c>
      <c r="AC73" s="190">
        <f t="shared" si="164"/>
        <v>0</v>
      </c>
      <c r="AD73" s="190">
        <f t="shared" si="164"/>
        <v>0</v>
      </c>
      <c r="AE73" s="190">
        <f t="shared" si="170"/>
        <v>0</v>
      </c>
      <c r="AF73" s="190"/>
      <c r="AG73" s="190">
        <f t="shared" si="170"/>
        <v>0</v>
      </c>
      <c r="AH73" s="190">
        <f t="shared" si="170"/>
        <v>0</v>
      </c>
      <c r="AI73" s="77">
        <f t="shared" si="139"/>
        <v>0</v>
      </c>
      <c r="AJ73" s="190">
        <f t="shared" si="139"/>
        <v>0</v>
      </c>
      <c r="AK73" s="190">
        <f t="shared" si="139"/>
        <v>0</v>
      </c>
      <c r="AL73" s="190">
        <f t="shared" si="139"/>
        <v>0</v>
      </c>
      <c r="AM73" s="190">
        <f t="shared" si="139"/>
        <v>0</v>
      </c>
      <c r="AN73" s="190">
        <f t="shared" si="205"/>
        <v>0</v>
      </c>
      <c r="AO73" s="190">
        <f t="shared" si="205"/>
        <v>0</v>
      </c>
      <c r="AP73" s="190">
        <f t="shared" si="139"/>
        <v>0</v>
      </c>
      <c r="AQ73" s="190">
        <f t="shared" si="139"/>
        <v>0</v>
      </c>
      <c r="AR73" s="225">
        <f t="shared" si="139"/>
        <v>0</v>
      </c>
      <c r="AS73" s="23">
        <f t="shared" ref="AS73:AW88" si="209">0/150</f>
        <v>0</v>
      </c>
      <c r="AT73" s="190">
        <f t="shared" si="209"/>
        <v>0</v>
      </c>
      <c r="AU73" s="190">
        <f t="shared" si="194"/>
        <v>0</v>
      </c>
      <c r="AV73" s="190">
        <f t="shared" si="194"/>
        <v>0</v>
      </c>
      <c r="AW73" s="190">
        <f t="shared" si="209"/>
        <v>0</v>
      </c>
      <c r="AX73" s="190">
        <f t="shared" si="157"/>
        <v>0</v>
      </c>
      <c r="AY73" s="190">
        <f t="shared" si="157"/>
        <v>0</v>
      </c>
      <c r="AZ73" s="190">
        <f t="shared" si="157"/>
        <v>0</v>
      </c>
      <c r="BA73" s="190">
        <f t="shared" si="157"/>
        <v>0</v>
      </c>
      <c r="BB73" s="225">
        <f t="shared" si="157"/>
        <v>0</v>
      </c>
      <c r="BC73" s="77">
        <f t="shared" si="195"/>
        <v>0</v>
      </c>
      <c r="BD73" s="190">
        <f t="shared" si="195"/>
        <v>0</v>
      </c>
      <c r="BE73" s="190">
        <f t="shared" si="195"/>
        <v>0</v>
      </c>
      <c r="BF73" s="190">
        <f t="shared" si="195"/>
        <v>0</v>
      </c>
      <c r="BG73" s="190">
        <f t="shared" si="195"/>
        <v>0</v>
      </c>
      <c r="BH73" s="190">
        <f t="shared" si="195"/>
        <v>0</v>
      </c>
      <c r="BI73" s="190">
        <f t="shared" si="195"/>
        <v>0</v>
      </c>
      <c r="BJ73" s="190">
        <f t="shared" si="196"/>
        <v>0</v>
      </c>
      <c r="BK73" s="190">
        <f t="shared" si="196"/>
        <v>0</v>
      </c>
      <c r="BL73" s="190">
        <f t="shared" si="196"/>
        <v>0</v>
      </c>
      <c r="BM73" s="77">
        <f t="shared" ref="BM73:BV106" si="210">0/172.5</f>
        <v>0</v>
      </c>
      <c r="BN73" s="190">
        <f t="shared" si="210"/>
        <v>0</v>
      </c>
      <c r="BO73" s="190">
        <f t="shared" si="210"/>
        <v>0</v>
      </c>
      <c r="BP73" s="190">
        <f t="shared" si="210"/>
        <v>0</v>
      </c>
      <c r="BQ73" s="190">
        <f t="shared" si="210"/>
        <v>0</v>
      </c>
      <c r="BR73" s="190">
        <f t="shared" si="210"/>
        <v>0</v>
      </c>
      <c r="BS73" s="190">
        <f t="shared" si="210"/>
        <v>0</v>
      </c>
      <c r="BT73" s="190"/>
      <c r="BU73" s="190"/>
      <c r="BV73" s="190">
        <f t="shared" si="210"/>
        <v>0</v>
      </c>
      <c r="BW73" s="23">
        <f>(10)/150</f>
        <v>6.6666666666666666E-2</v>
      </c>
      <c r="BX73" s="190">
        <f t="shared" ref="BX73:CF84" si="211">(0)/150</f>
        <v>0</v>
      </c>
      <c r="BY73" s="190">
        <f t="shared" si="211"/>
        <v>0</v>
      </c>
      <c r="BZ73" s="190">
        <f>(20)/150</f>
        <v>0.13333333333333333</v>
      </c>
      <c r="CA73" s="190">
        <f>(7.5)/150</f>
        <v>0.05</v>
      </c>
      <c r="CB73" s="190">
        <f t="shared" si="211"/>
        <v>0</v>
      </c>
      <c r="CC73" s="190">
        <f t="shared" si="211"/>
        <v>0</v>
      </c>
      <c r="CD73" s="190">
        <f>(7.5)/150</f>
        <v>0.05</v>
      </c>
      <c r="CE73" s="190">
        <f t="shared" si="211"/>
        <v>0</v>
      </c>
      <c r="CF73" s="190">
        <f>(20)/150</f>
        <v>0.13333333333333333</v>
      </c>
      <c r="CG73" s="23">
        <f t="shared" si="181"/>
        <v>0</v>
      </c>
      <c r="CH73" s="190">
        <f t="shared" si="181"/>
        <v>0</v>
      </c>
      <c r="CI73" s="190">
        <f t="shared" si="181"/>
        <v>0</v>
      </c>
      <c r="CJ73" s="190">
        <f t="shared" si="181"/>
        <v>0</v>
      </c>
      <c r="CK73" s="190">
        <f t="shared" si="181"/>
        <v>0</v>
      </c>
      <c r="CL73" s="190">
        <f t="shared" si="181"/>
        <v>0</v>
      </c>
      <c r="CM73" s="190">
        <f t="shared" si="181"/>
        <v>0</v>
      </c>
      <c r="CN73" s="190">
        <f t="shared" si="181"/>
        <v>0</v>
      </c>
      <c r="CO73" s="190">
        <f t="shared" si="181"/>
        <v>0</v>
      </c>
      <c r="CP73" s="190">
        <f t="shared" si="181"/>
        <v>0</v>
      </c>
      <c r="CQ73" s="23">
        <f t="shared" si="148"/>
        <v>0</v>
      </c>
      <c r="CR73" s="190">
        <f t="shared" si="148"/>
        <v>0</v>
      </c>
      <c r="CS73" s="190">
        <f t="shared" si="148"/>
        <v>0</v>
      </c>
      <c r="CT73" s="190">
        <f t="shared" si="148"/>
        <v>0</v>
      </c>
      <c r="CU73" s="190">
        <f t="shared" si="148"/>
        <v>0</v>
      </c>
      <c r="CV73" s="190">
        <f t="shared" si="148"/>
        <v>0</v>
      </c>
      <c r="CW73" s="190">
        <f t="shared" si="148"/>
        <v>0</v>
      </c>
      <c r="CX73" s="77">
        <f t="shared" ref="CX73:DB94" si="212">0/157.5</f>
        <v>0</v>
      </c>
      <c r="CY73" s="190">
        <f t="shared" si="212"/>
        <v>0</v>
      </c>
      <c r="CZ73" s="190">
        <f t="shared" si="212"/>
        <v>0</v>
      </c>
      <c r="DA73" s="190">
        <f t="shared" si="212"/>
        <v>0</v>
      </c>
      <c r="DB73" s="190">
        <f t="shared" si="212"/>
        <v>0</v>
      </c>
      <c r="DC73" s="190">
        <f t="shared" si="158"/>
        <v>0</v>
      </c>
      <c r="DD73" s="190">
        <f t="shared" si="158"/>
        <v>0</v>
      </c>
      <c r="DE73" s="23">
        <f t="shared" si="204"/>
        <v>0</v>
      </c>
      <c r="DF73" s="190">
        <f t="shared" si="204"/>
        <v>0</v>
      </c>
      <c r="DG73" s="190">
        <f t="shared" si="204"/>
        <v>0</v>
      </c>
      <c r="DH73" s="190">
        <f t="shared" si="204"/>
        <v>0</v>
      </c>
      <c r="DI73" s="190">
        <f t="shared" si="204"/>
        <v>0</v>
      </c>
      <c r="DJ73" s="190">
        <f t="shared" si="159"/>
        <v>0</v>
      </c>
      <c r="DK73" s="190">
        <f t="shared" si="159"/>
        <v>0</v>
      </c>
      <c r="DL73" s="23">
        <f t="shared" si="197"/>
        <v>0</v>
      </c>
      <c r="DM73" s="10">
        <f t="shared" si="197"/>
        <v>0</v>
      </c>
      <c r="DN73" s="10">
        <f t="shared" si="197"/>
        <v>0</v>
      </c>
      <c r="DO73" s="10">
        <f t="shared" si="197"/>
        <v>0</v>
      </c>
      <c r="DP73" s="10">
        <f t="shared" si="197"/>
        <v>0</v>
      </c>
      <c r="DQ73" s="190">
        <f t="shared" si="160"/>
        <v>0</v>
      </c>
      <c r="DR73" s="190">
        <f t="shared" si="160"/>
        <v>0</v>
      </c>
      <c r="DS73" s="190">
        <f t="shared" si="160"/>
        <v>0</v>
      </c>
    </row>
    <row r="74" spans="1:124" ht="25.9" hidden="1" customHeight="1" outlineLevel="1" x14ac:dyDescent="0.4">
      <c r="A74" s="348"/>
      <c r="B74" s="348"/>
      <c r="C74" s="348"/>
      <c r="D74" s="350"/>
      <c r="E74" s="350"/>
      <c r="F74" s="350"/>
      <c r="G74" s="565"/>
      <c r="H74" s="450"/>
      <c r="I74" s="450"/>
      <c r="J74" s="448"/>
      <c r="K74" s="446"/>
      <c r="L74" s="446"/>
      <c r="M74" s="429"/>
      <c r="N74" s="209" t="s">
        <v>25</v>
      </c>
      <c r="O74" s="209">
        <f t="shared" si="152"/>
        <v>0</v>
      </c>
      <c r="P74" s="209">
        <f t="shared" si="152"/>
        <v>0</v>
      </c>
      <c r="Q74" s="209">
        <f t="shared" si="152"/>
        <v>0</v>
      </c>
      <c r="R74" s="209">
        <f t="shared" si="152"/>
        <v>0</v>
      </c>
      <c r="S74" s="209">
        <f t="shared" si="152"/>
        <v>0</v>
      </c>
      <c r="T74" s="209">
        <f t="shared" si="152"/>
        <v>0</v>
      </c>
      <c r="U74" s="209">
        <f t="shared" si="152"/>
        <v>0</v>
      </c>
      <c r="V74" s="209">
        <f t="shared" si="97"/>
        <v>0</v>
      </c>
      <c r="W74" s="209">
        <f t="shared" si="97"/>
        <v>0</v>
      </c>
      <c r="X74" s="53">
        <f t="shared" si="152"/>
        <v>0</v>
      </c>
      <c r="Y74" s="209">
        <f t="shared" si="164"/>
        <v>0</v>
      </c>
      <c r="Z74" s="209">
        <f t="shared" si="164"/>
        <v>0</v>
      </c>
      <c r="AA74" s="209">
        <f t="shared" si="164"/>
        <v>0</v>
      </c>
      <c r="AB74" s="209">
        <f t="shared" si="164"/>
        <v>0</v>
      </c>
      <c r="AC74" s="209">
        <f t="shared" si="164"/>
        <v>0</v>
      </c>
      <c r="AD74" s="209">
        <f t="shared" si="164"/>
        <v>0</v>
      </c>
      <c r="AE74" s="209">
        <f t="shared" si="170"/>
        <v>0</v>
      </c>
      <c r="AF74" s="209"/>
      <c r="AG74" s="209">
        <f t="shared" si="170"/>
        <v>0</v>
      </c>
      <c r="AH74" s="209">
        <f t="shared" si="170"/>
        <v>0</v>
      </c>
      <c r="AI74" s="58">
        <f t="shared" si="139"/>
        <v>0</v>
      </c>
      <c r="AJ74" s="209">
        <f t="shared" si="139"/>
        <v>0</v>
      </c>
      <c r="AK74" s="209">
        <f t="shared" si="139"/>
        <v>0</v>
      </c>
      <c r="AL74" s="209">
        <f t="shared" si="139"/>
        <v>0</v>
      </c>
      <c r="AM74" s="209">
        <f t="shared" si="139"/>
        <v>0</v>
      </c>
      <c r="AN74" s="209">
        <f t="shared" si="205"/>
        <v>0</v>
      </c>
      <c r="AO74" s="209">
        <f t="shared" si="205"/>
        <v>0</v>
      </c>
      <c r="AP74" s="209">
        <f t="shared" si="139"/>
        <v>0</v>
      </c>
      <c r="AQ74" s="209">
        <f t="shared" si="139"/>
        <v>0</v>
      </c>
      <c r="AR74" s="53">
        <f t="shared" si="139"/>
        <v>0</v>
      </c>
      <c r="AS74" s="65">
        <f t="shared" si="209"/>
        <v>0</v>
      </c>
      <c r="AT74" s="210">
        <f t="shared" si="209"/>
        <v>0</v>
      </c>
      <c r="AU74" s="210">
        <f t="shared" si="194"/>
        <v>0</v>
      </c>
      <c r="AV74" s="210">
        <f t="shared" si="194"/>
        <v>0</v>
      </c>
      <c r="AW74" s="280">
        <f t="shared" si="209"/>
        <v>0</v>
      </c>
      <c r="AX74" s="210">
        <f t="shared" si="157"/>
        <v>0</v>
      </c>
      <c r="AY74" s="210">
        <f t="shared" si="157"/>
        <v>0</v>
      </c>
      <c r="AZ74" s="210">
        <f t="shared" si="157"/>
        <v>0</v>
      </c>
      <c r="BA74" s="210">
        <f t="shared" si="157"/>
        <v>0</v>
      </c>
      <c r="BB74" s="53">
        <f t="shared" si="157"/>
        <v>0</v>
      </c>
      <c r="BC74" s="58">
        <f t="shared" si="195"/>
        <v>0</v>
      </c>
      <c r="BD74" s="209">
        <f t="shared" si="195"/>
        <v>0</v>
      </c>
      <c r="BE74" s="209">
        <f t="shared" si="195"/>
        <v>0</v>
      </c>
      <c r="BF74" s="209">
        <f t="shared" si="195"/>
        <v>0</v>
      </c>
      <c r="BG74" s="209">
        <f t="shared" si="195"/>
        <v>0</v>
      </c>
      <c r="BH74" s="209">
        <f t="shared" si="195"/>
        <v>0</v>
      </c>
      <c r="BI74" s="209">
        <f t="shared" si="195"/>
        <v>0</v>
      </c>
      <c r="BJ74" s="209">
        <f t="shared" si="196"/>
        <v>0</v>
      </c>
      <c r="BK74" s="209">
        <f t="shared" si="196"/>
        <v>0</v>
      </c>
      <c r="BL74" s="209">
        <f t="shared" si="196"/>
        <v>0</v>
      </c>
      <c r="BM74" s="58">
        <f t="shared" si="210"/>
        <v>0</v>
      </c>
      <c r="BN74" s="209">
        <f t="shared" si="210"/>
        <v>0</v>
      </c>
      <c r="BO74" s="209">
        <f t="shared" si="210"/>
        <v>0</v>
      </c>
      <c r="BP74" s="209">
        <f t="shared" si="210"/>
        <v>0</v>
      </c>
      <c r="BQ74" s="209">
        <f t="shared" si="210"/>
        <v>0</v>
      </c>
      <c r="BR74" s="209">
        <f t="shared" si="210"/>
        <v>0</v>
      </c>
      <c r="BS74" s="209">
        <f t="shared" si="210"/>
        <v>0</v>
      </c>
      <c r="BT74" s="209"/>
      <c r="BU74" s="209"/>
      <c r="BV74" s="209">
        <f t="shared" si="210"/>
        <v>0</v>
      </c>
      <c r="BW74" s="65">
        <f>(0+3.5+1.5+1)/150</f>
        <v>0.04</v>
      </c>
      <c r="BX74" s="209">
        <f t="shared" si="211"/>
        <v>0</v>
      </c>
      <c r="BY74" s="209">
        <f t="shared" si="211"/>
        <v>0</v>
      </c>
      <c r="BZ74" s="209">
        <f>(0+17+4.5)/150</f>
        <v>0.14333333333333334</v>
      </c>
      <c r="CA74" s="209">
        <f>(0+2)/150</f>
        <v>1.3333333333333334E-2</v>
      </c>
      <c r="CB74" s="209">
        <f t="shared" si="211"/>
        <v>0</v>
      </c>
      <c r="CC74" s="209">
        <f t="shared" si="211"/>
        <v>0</v>
      </c>
      <c r="CD74" s="209">
        <f>(0+2)/150</f>
        <v>1.3333333333333334E-2</v>
      </c>
      <c r="CE74" s="209">
        <f t="shared" si="211"/>
        <v>0</v>
      </c>
      <c r="CF74" s="209">
        <f>(0+18.5+3.5+10)/150</f>
        <v>0.21333333333333335</v>
      </c>
      <c r="CG74" s="65">
        <f t="shared" si="181"/>
        <v>0</v>
      </c>
      <c r="CH74" s="209">
        <f t="shared" si="181"/>
        <v>0</v>
      </c>
      <c r="CI74" s="209">
        <f t="shared" si="181"/>
        <v>0</v>
      </c>
      <c r="CJ74" s="209">
        <f t="shared" si="181"/>
        <v>0</v>
      </c>
      <c r="CK74" s="209">
        <f t="shared" si="181"/>
        <v>0</v>
      </c>
      <c r="CL74" s="209">
        <f t="shared" si="181"/>
        <v>0</v>
      </c>
      <c r="CM74" s="209">
        <f t="shared" si="181"/>
        <v>0</v>
      </c>
      <c r="CN74" s="209">
        <f t="shared" si="181"/>
        <v>0</v>
      </c>
      <c r="CO74" s="209">
        <f t="shared" si="181"/>
        <v>0</v>
      </c>
      <c r="CP74" s="209">
        <f t="shared" si="181"/>
        <v>0</v>
      </c>
      <c r="CQ74" s="65">
        <f t="shared" si="148"/>
        <v>0</v>
      </c>
      <c r="CR74" s="209">
        <f t="shared" si="148"/>
        <v>0</v>
      </c>
      <c r="CS74" s="209">
        <f t="shared" si="148"/>
        <v>0</v>
      </c>
      <c r="CT74" s="209">
        <f t="shared" si="148"/>
        <v>0</v>
      </c>
      <c r="CU74" s="209">
        <f t="shared" si="148"/>
        <v>0</v>
      </c>
      <c r="CV74" s="209">
        <f t="shared" si="148"/>
        <v>0</v>
      </c>
      <c r="CW74" s="209">
        <f t="shared" si="148"/>
        <v>0</v>
      </c>
      <c r="CX74" s="65">
        <f t="shared" si="212"/>
        <v>0</v>
      </c>
      <c r="CY74" s="210">
        <f t="shared" si="212"/>
        <v>0</v>
      </c>
      <c r="CZ74" s="210">
        <f t="shared" si="212"/>
        <v>0</v>
      </c>
      <c r="DA74" s="210">
        <f t="shared" si="212"/>
        <v>0</v>
      </c>
      <c r="DB74" s="210">
        <f t="shared" si="212"/>
        <v>0</v>
      </c>
      <c r="DC74" s="210">
        <f t="shared" si="158"/>
        <v>0</v>
      </c>
      <c r="DD74" s="209">
        <f t="shared" si="158"/>
        <v>0</v>
      </c>
      <c r="DE74" s="65">
        <f t="shared" si="204"/>
        <v>0</v>
      </c>
      <c r="DF74" s="210">
        <f t="shared" si="204"/>
        <v>0</v>
      </c>
      <c r="DG74" s="210">
        <f t="shared" si="204"/>
        <v>0</v>
      </c>
      <c r="DH74" s="210">
        <f t="shared" si="204"/>
        <v>0</v>
      </c>
      <c r="DI74" s="210">
        <f t="shared" si="204"/>
        <v>0</v>
      </c>
      <c r="DJ74" s="210">
        <f t="shared" si="159"/>
        <v>0</v>
      </c>
      <c r="DK74" s="210">
        <f t="shared" si="159"/>
        <v>0</v>
      </c>
      <c r="DL74" s="65">
        <f t="shared" si="197"/>
        <v>0</v>
      </c>
      <c r="DM74" s="60">
        <f t="shared" si="197"/>
        <v>0</v>
      </c>
      <c r="DN74" s="60">
        <f t="shared" si="197"/>
        <v>0</v>
      </c>
      <c r="DO74" s="60">
        <f t="shared" si="197"/>
        <v>0</v>
      </c>
      <c r="DP74" s="60">
        <f t="shared" si="197"/>
        <v>0</v>
      </c>
      <c r="DQ74" s="210">
        <f t="shared" si="160"/>
        <v>0</v>
      </c>
      <c r="DR74" s="210">
        <f t="shared" si="160"/>
        <v>0</v>
      </c>
      <c r="DS74" s="210">
        <f t="shared" si="160"/>
        <v>0</v>
      </c>
    </row>
    <row r="75" spans="1:124" ht="26.25" hidden="1" customHeight="1" outlineLevel="1" collapsed="1" x14ac:dyDescent="0.4">
      <c r="A75" s="347">
        <v>35</v>
      </c>
      <c r="B75" s="347" t="s">
        <v>47</v>
      </c>
      <c r="C75" s="347" t="s">
        <v>14</v>
      </c>
      <c r="D75" s="349" t="s">
        <v>348</v>
      </c>
      <c r="E75" s="349" t="s">
        <v>717</v>
      </c>
      <c r="F75" s="349"/>
      <c r="G75" s="563" t="s">
        <v>718</v>
      </c>
      <c r="H75" s="449">
        <f t="shared" ref="H75" si="213">SUM(DE75:DK75)</f>
        <v>0</v>
      </c>
      <c r="I75" s="449">
        <f t="shared" ref="I75" si="214">SUM(DE76:DK76)</f>
        <v>0</v>
      </c>
      <c r="J75" s="447"/>
      <c r="K75" s="445"/>
      <c r="L75" s="445"/>
      <c r="M75" s="463"/>
      <c r="N75" s="21" t="s">
        <v>24</v>
      </c>
      <c r="O75" s="190">
        <f t="shared" si="152"/>
        <v>0</v>
      </c>
      <c r="P75" s="190">
        <f t="shared" si="152"/>
        <v>0</v>
      </c>
      <c r="Q75" s="190">
        <f t="shared" si="152"/>
        <v>0</v>
      </c>
      <c r="R75" s="190">
        <f t="shared" si="152"/>
        <v>0</v>
      </c>
      <c r="S75" s="190">
        <f t="shared" si="152"/>
        <v>0</v>
      </c>
      <c r="T75" s="190">
        <f t="shared" si="152"/>
        <v>0</v>
      </c>
      <c r="U75" s="190">
        <f t="shared" si="152"/>
        <v>0</v>
      </c>
      <c r="V75" s="190">
        <f t="shared" si="97"/>
        <v>0</v>
      </c>
      <c r="W75" s="190">
        <f t="shared" si="97"/>
        <v>0</v>
      </c>
      <c r="X75" s="86">
        <f t="shared" si="152"/>
        <v>0</v>
      </c>
      <c r="Y75" s="190">
        <f t="shared" si="164"/>
        <v>0</v>
      </c>
      <c r="Z75" s="190">
        <f t="shared" si="164"/>
        <v>0</v>
      </c>
      <c r="AA75" s="190">
        <f t="shared" si="164"/>
        <v>0</v>
      </c>
      <c r="AB75" s="190">
        <f t="shared" si="164"/>
        <v>0</v>
      </c>
      <c r="AC75" s="190">
        <f t="shared" si="164"/>
        <v>0</v>
      </c>
      <c r="AD75" s="190">
        <f t="shared" si="164"/>
        <v>0</v>
      </c>
      <c r="AE75" s="190">
        <f t="shared" si="170"/>
        <v>0</v>
      </c>
      <c r="AF75" s="190"/>
      <c r="AG75" s="190">
        <f t="shared" si="170"/>
        <v>0</v>
      </c>
      <c r="AH75" s="190">
        <f t="shared" si="170"/>
        <v>0</v>
      </c>
      <c r="AI75" s="77">
        <f t="shared" si="139"/>
        <v>0</v>
      </c>
      <c r="AJ75" s="190">
        <f t="shared" si="139"/>
        <v>0</v>
      </c>
      <c r="AK75" s="190">
        <f t="shared" si="139"/>
        <v>0</v>
      </c>
      <c r="AL75" s="190">
        <f t="shared" si="139"/>
        <v>0</v>
      </c>
      <c r="AM75" s="190">
        <f t="shared" si="139"/>
        <v>0</v>
      </c>
      <c r="AN75" s="190">
        <f t="shared" si="205"/>
        <v>0</v>
      </c>
      <c r="AO75" s="190">
        <f t="shared" si="205"/>
        <v>0</v>
      </c>
      <c r="AP75" s="190">
        <f t="shared" si="139"/>
        <v>0</v>
      </c>
      <c r="AQ75" s="190">
        <f t="shared" si="139"/>
        <v>0</v>
      </c>
      <c r="AR75" s="225">
        <f t="shared" si="139"/>
        <v>0</v>
      </c>
      <c r="AS75" s="23">
        <f t="shared" si="209"/>
        <v>0</v>
      </c>
      <c r="AT75" s="190">
        <f t="shared" si="209"/>
        <v>0</v>
      </c>
      <c r="AU75" s="190">
        <f t="shared" si="194"/>
        <v>0</v>
      </c>
      <c r="AV75" s="190">
        <f t="shared" si="194"/>
        <v>0</v>
      </c>
      <c r="AW75" s="190">
        <f t="shared" si="209"/>
        <v>0</v>
      </c>
      <c r="AX75" s="190">
        <f t="shared" si="157"/>
        <v>0</v>
      </c>
      <c r="AY75" s="190">
        <f t="shared" si="157"/>
        <v>0</v>
      </c>
      <c r="AZ75" s="190">
        <f t="shared" si="157"/>
        <v>0</v>
      </c>
      <c r="BA75" s="190">
        <f t="shared" si="157"/>
        <v>0</v>
      </c>
      <c r="BB75" s="225">
        <f t="shared" si="157"/>
        <v>0</v>
      </c>
      <c r="BC75" s="77">
        <f t="shared" si="195"/>
        <v>0</v>
      </c>
      <c r="BD75" s="190">
        <f t="shared" si="195"/>
        <v>0</v>
      </c>
      <c r="BE75" s="190">
        <f t="shared" si="195"/>
        <v>0</v>
      </c>
      <c r="BF75" s="190">
        <f t="shared" si="195"/>
        <v>0</v>
      </c>
      <c r="BG75" s="190">
        <f t="shared" si="195"/>
        <v>0</v>
      </c>
      <c r="BH75" s="190">
        <f t="shared" si="195"/>
        <v>0</v>
      </c>
      <c r="BI75" s="190">
        <f t="shared" si="195"/>
        <v>0</v>
      </c>
      <c r="BJ75" s="190">
        <f t="shared" si="196"/>
        <v>0</v>
      </c>
      <c r="BK75" s="190">
        <f t="shared" si="196"/>
        <v>0</v>
      </c>
      <c r="BL75" s="190">
        <f t="shared" si="196"/>
        <v>0</v>
      </c>
      <c r="BM75" s="77">
        <f t="shared" si="210"/>
        <v>0</v>
      </c>
      <c r="BN75" s="190">
        <f t="shared" si="210"/>
        <v>0</v>
      </c>
      <c r="BO75" s="190">
        <f t="shared" si="210"/>
        <v>0</v>
      </c>
      <c r="BP75" s="190">
        <f t="shared" si="210"/>
        <v>0</v>
      </c>
      <c r="BQ75" s="190">
        <f t="shared" si="210"/>
        <v>0</v>
      </c>
      <c r="BR75" s="190">
        <f t="shared" si="210"/>
        <v>0</v>
      </c>
      <c r="BS75" s="190">
        <f t="shared" si="210"/>
        <v>0</v>
      </c>
      <c r="BT75" s="190"/>
      <c r="BU75" s="190"/>
      <c r="BV75" s="190">
        <f t="shared" si="210"/>
        <v>0</v>
      </c>
      <c r="BW75" s="23">
        <f>(10)/150</f>
        <v>6.6666666666666666E-2</v>
      </c>
      <c r="BX75" s="190">
        <f>(30)/150</f>
        <v>0.2</v>
      </c>
      <c r="BY75" s="190">
        <f t="shared" si="211"/>
        <v>0</v>
      </c>
      <c r="BZ75" s="190">
        <f t="shared" si="211"/>
        <v>0</v>
      </c>
      <c r="CA75" s="190">
        <f>(20)/150</f>
        <v>0.13333333333333333</v>
      </c>
      <c r="CB75" s="190">
        <f>(50)/150</f>
        <v>0.33333333333333331</v>
      </c>
      <c r="CC75" s="190">
        <f>(80)/150</f>
        <v>0.53333333333333333</v>
      </c>
      <c r="CD75" s="190">
        <f>(10)/150</f>
        <v>6.6666666666666666E-2</v>
      </c>
      <c r="CE75" s="190">
        <f t="shared" si="211"/>
        <v>0</v>
      </c>
      <c r="CF75" s="190">
        <f>(25)/150</f>
        <v>0.16666666666666666</v>
      </c>
      <c r="CG75" s="23">
        <f>(10)/135</f>
        <v>7.407407407407407E-2</v>
      </c>
      <c r="CH75" s="190">
        <f>(30)/135</f>
        <v>0.22222222222222221</v>
      </c>
      <c r="CI75" s="190">
        <f t="shared" si="181"/>
        <v>0</v>
      </c>
      <c r="CJ75" s="190">
        <f>(10)/135</f>
        <v>7.407407407407407E-2</v>
      </c>
      <c r="CK75" s="190">
        <f t="shared" si="181"/>
        <v>0</v>
      </c>
      <c r="CL75" s="190">
        <f>(10)/135</f>
        <v>7.407407407407407E-2</v>
      </c>
      <c r="CM75" s="190">
        <f>(20)/135</f>
        <v>0.14814814814814814</v>
      </c>
      <c r="CN75" s="190">
        <f>(5)/135</f>
        <v>3.7037037037037035E-2</v>
      </c>
      <c r="CO75" s="190">
        <f t="shared" si="181"/>
        <v>0</v>
      </c>
      <c r="CP75" s="190">
        <f>(5)/135</f>
        <v>3.7037037037037035E-2</v>
      </c>
      <c r="CQ75" s="23">
        <f>(5)/150</f>
        <v>3.3333333333333333E-2</v>
      </c>
      <c r="CR75" s="190">
        <f>(20)/150</f>
        <v>0.13333333333333333</v>
      </c>
      <c r="CS75" s="190">
        <f>(5)/150</f>
        <v>3.3333333333333333E-2</v>
      </c>
      <c r="CT75" s="190">
        <f>(40)/150</f>
        <v>0.26666666666666666</v>
      </c>
      <c r="CU75" s="190">
        <f>(40)/150</f>
        <v>0.26666666666666666</v>
      </c>
      <c r="CV75" s="190">
        <f>(10)/150</f>
        <v>6.6666666666666666E-2</v>
      </c>
      <c r="CW75" s="190">
        <f t="shared" ref="CQ75:CW78" si="215">(0)/150</f>
        <v>0</v>
      </c>
      <c r="CX75" s="77">
        <f t="shared" si="212"/>
        <v>0</v>
      </c>
      <c r="CY75" s="190">
        <f t="shared" si="212"/>
        <v>0</v>
      </c>
      <c r="CZ75" s="190">
        <f t="shared" si="212"/>
        <v>0</v>
      </c>
      <c r="DA75" s="190">
        <f t="shared" si="212"/>
        <v>0</v>
      </c>
      <c r="DB75" s="190">
        <f t="shared" si="212"/>
        <v>0</v>
      </c>
      <c r="DC75" s="190">
        <f t="shared" si="158"/>
        <v>0</v>
      </c>
      <c r="DD75" s="190">
        <f t="shared" si="158"/>
        <v>0</v>
      </c>
      <c r="DE75" s="23">
        <f t="shared" si="204"/>
        <v>0</v>
      </c>
      <c r="DF75" s="190">
        <f t="shared" si="204"/>
        <v>0</v>
      </c>
      <c r="DG75" s="190">
        <f t="shared" si="204"/>
        <v>0</v>
      </c>
      <c r="DH75" s="190">
        <f t="shared" si="204"/>
        <v>0</v>
      </c>
      <c r="DI75" s="190">
        <f t="shared" si="204"/>
        <v>0</v>
      </c>
      <c r="DJ75" s="190">
        <f t="shared" si="159"/>
        <v>0</v>
      </c>
      <c r="DK75" s="190">
        <f t="shared" si="159"/>
        <v>0</v>
      </c>
      <c r="DL75" s="23">
        <f t="shared" si="197"/>
        <v>0</v>
      </c>
      <c r="DM75" s="10">
        <f t="shared" si="197"/>
        <v>0</v>
      </c>
      <c r="DN75" s="10">
        <f t="shared" si="197"/>
        <v>0</v>
      </c>
      <c r="DO75" s="10">
        <f t="shared" si="197"/>
        <v>0</v>
      </c>
      <c r="DP75" s="10">
        <f t="shared" si="197"/>
        <v>0</v>
      </c>
      <c r="DQ75" s="190">
        <f t="shared" si="160"/>
        <v>0</v>
      </c>
      <c r="DR75" s="190">
        <f t="shared" si="160"/>
        <v>0</v>
      </c>
      <c r="DS75" s="190">
        <f t="shared" si="160"/>
        <v>0</v>
      </c>
    </row>
    <row r="76" spans="1:124" ht="26.25" hidden="1" customHeight="1" outlineLevel="1" x14ac:dyDescent="0.4">
      <c r="A76" s="348"/>
      <c r="B76" s="348"/>
      <c r="C76" s="348"/>
      <c r="D76" s="350"/>
      <c r="E76" s="350"/>
      <c r="F76" s="350"/>
      <c r="G76" s="565"/>
      <c r="H76" s="450"/>
      <c r="I76" s="450"/>
      <c r="J76" s="448"/>
      <c r="K76" s="446"/>
      <c r="L76" s="446"/>
      <c r="M76" s="464"/>
      <c r="N76" s="209" t="s">
        <v>25</v>
      </c>
      <c r="O76" s="209">
        <f t="shared" si="152"/>
        <v>0</v>
      </c>
      <c r="P76" s="209">
        <f t="shared" si="152"/>
        <v>0</v>
      </c>
      <c r="Q76" s="209">
        <f t="shared" si="152"/>
        <v>0</v>
      </c>
      <c r="R76" s="209">
        <f t="shared" si="152"/>
        <v>0</v>
      </c>
      <c r="S76" s="209">
        <f t="shared" si="152"/>
        <v>0</v>
      </c>
      <c r="T76" s="209">
        <f t="shared" si="152"/>
        <v>0</v>
      </c>
      <c r="U76" s="209">
        <f t="shared" si="152"/>
        <v>0</v>
      </c>
      <c r="V76" s="209">
        <f t="shared" si="97"/>
        <v>0</v>
      </c>
      <c r="W76" s="209">
        <f t="shared" si="97"/>
        <v>0</v>
      </c>
      <c r="X76" s="53">
        <f t="shared" si="152"/>
        <v>0</v>
      </c>
      <c r="Y76" s="209">
        <f t="shared" si="164"/>
        <v>0</v>
      </c>
      <c r="Z76" s="209">
        <f t="shared" si="164"/>
        <v>0</v>
      </c>
      <c r="AA76" s="209">
        <f t="shared" si="164"/>
        <v>0</v>
      </c>
      <c r="AB76" s="209">
        <f t="shared" si="164"/>
        <v>0</v>
      </c>
      <c r="AC76" s="209">
        <f t="shared" si="164"/>
        <v>0</v>
      </c>
      <c r="AD76" s="209">
        <f t="shared" si="164"/>
        <v>0</v>
      </c>
      <c r="AE76" s="209">
        <f t="shared" si="170"/>
        <v>0</v>
      </c>
      <c r="AF76" s="209"/>
      <c r="AG76" s="209">
        <f t="shared" si="170"/>
        <v>0</v>
      </c>
      <c r="AH76" s="209">
        <f t="shared" si="170"/>
        <v>0</v>
      </c>
      <c r="AI76" s="58">
        <f t="shared" si="139"/>
        <v>0</v>
      </c>
      <c r="AJ76" s="209">
        <f t="shared" si="139"/>
        <v>0</v>
      </c>
      <c r="AK76" s="209">
        <f t="shared" si="139"/>
        <v>0</v>
      </c>
      <c r="AL76" s="209">
        <f t="shared" si="139"/>
        <v>0</v>
      </c>
      <c r="AM76" s="209">
        <f t="shared" si="139"/>
        <v>0</v>
      </c>
      <c r="AN76" s="209">
        <f t="shared" si="205"/>
        <v>0</v>
      </c>
      <c r="AO76" s="209">
        <f t="shared" si="205"/>
        <v>0</v>
      </c>
      <c r="AP76" s="209">
        <f t="shared" si="139"/>
        <v>0</v>
      </c>
      <c r="AQ76" s="209">
        <f t="shared" si="139"/>
        <v>0</v>
      </c>
      <c r="AR76" s="53">
        <f t="shared" si="139"/>
        <v>0</v>
      </c>
      <c r="AS76" s="65">
        <f t="shared" si="209"/>
        <v>0</v>
      </c>
      <c r="AT76" s="210">
        <f t="shared" si="209"/>
        <v>0</v>
      </c>
      <c r="AU76" s="210">
        <f t="shared" si="194"/>
        <v>0</v>
      </c>
      <c r="AV76" s="210">
        <f t="shared" si="194"/>
        <v>0</v>
      </c>
      <c r="AW76" s="280">
        <f t="shared" si="209"/>
        <v>0</v>
      </c>
      <c r="AX76" s="210">
        <f t="shared" si="157"/>
        <v>0</v>
      </c>
      <c r="AY76" s="210">
        <f t="shared" si="157"/>
        <v>0</v>
      </c>
      <c r="AZ76" s="210">
        <f t="shared" si="157"/>
        <v>0</v>
      </c>
      <c r="BA76" s="210">
        <f t="shared" si="157"/>
        <v>0</v>
      </c>
      <c r="BB76" s="53">
        <f t="shared" si="157"/>
        <v>0</v>
      </c>
      <c r="BC76" s="58">
        <f t="shared" si="195"/>
        <v>0</v>
      </c>
      <c r="BD76" s="209">
        <f t="shared" si="195"/>
        <v>0</v>
      </c>
      <c r="BE76" s="209">
        <f t="shared" si="195"/>
        <v>0</v>
      </c>
      <c r="BF76" s="209">
        <f t="shared" si="195"/>
        <v>0</v>
      </c>
      <c r="BG76" s="209">
        <f t="shared" si="195"/>
        <v>0</v>
      </c>
      <c r="BH76" s="209">
        <f t="shared" si="195"/>
        <v>0</v>
      </c>
      <c r="BI76" s="209">
        <f t="shared" si="195"/>
        <v>0</v>
      </c>
      <c r="BJ76" s="209">
        <f t="shared" si="196"/>
        <v>0</v>
      </c>
      <c r="BK76" s="209">
        <f t="shared" si="196"/>
        <v>0</v>
      </c>
      <c r="BL76" s="209">
        <f t="shared" si="196"/>
        <v>0</v>
      </c>
      <c r="BM76" s="58">
        <f t="shared" si="210"/>
        <v>0</v>
      </c>
      <c r="BN76" s="209">
        <f t="shared" si="210"/>
        <v>0</v>
      </c>
      <c r="BO76" s="209">
        <f t="shared" si="210"/>
        <v>0</v>
      </c>
      <c r="BP76" s="209">
        <f t="shared" si="210"/>
        <v>0</v>
      </c>
      <c r="BQ76" s="209">
        <f t="shared" si="210"/>
        <v>0</v>
      </c>
      <c r="BR76" s="209">
        <f t="shared" si="210"/>
        <v>0</v>
      </c>
      <c r="BS76" s="209">
        <f t="shared" si="210"/>
        <v>0</v>
      </c>
      <c r="BT76" s="209"/>
      <c r="BU76" s="209"/>
      <c r="BV76" s="209">
        <f t="shared" si="210"/>
        <v>0</v>
      </c>
      <c r="BW76" s="65">
        <f>(0+4.5+1+5+5)/150</f>
        <v>0.10333333333333333</v>
      </c>
      <c r="BX76" s="209">
        <f>(0+7.5+6.5+14.5+7)/150</f>
        <v>0.23666666666666666</v>
      </c>
      <c r="BY76" s="209">
        <f t="shared" si="211"/>
        <v>0</v>
      </c>
      <c r="BZ76" s="209">
        <f t="shared" si="211"/>
        <v>0</v>
      </c>
      <c r="CA76" s="209">
        <f>(0+18)/150</f>
        <v>0.12</v>
      </c>
      <c r="CB76" s="209">
        <f>(0+34.5+11.5)/150</f>
        <v>0.30666666666666664</v>
      </c>
      <c r="CC76" s="209">
        <f>(0+14+28+28.5+9.5)/150</f>
        <v>0.53333333333333333</v>
      </c>
      <c r="CD76" s="209">
        <f>(0+1+6.5)/150</f>
        <v>0.05</v>
      </c>
      <c r="CE76" s="209">
        <f t="shared" si="211"/>
        <v>0</v>
      </c>
      <c r="CF76" s="209">
        <f>(0+12+10)/150</f>
        <v>0.14666666666666667</v>
      </c>
      <c r="CG76" s="65">
        <f>(3.5+2.5+1.5)/135</f>
        <v>5.5555555555555552E-2</v>
      </c>
      <c r="CH76" s="209">
        <f>(4+13.5+9.5)/135</f>
        <v>0.2</v>
      </c>
      <c r="CI76" s="209">
        <f t="shared" ref="CI76:CK77" si="216">(0)/135</f>
        <v>0</v>
      </c>
      <c r="CJ76" s="209">
        <f>(0+5)/135</f>
        <v>3.7037037037037035E-2</v>
      </c>
      <c r="CK76" s="209">
        <f t="shared" si="216"/>
        <v>0</v>
      </c>
      <c r="CL76" s="209">
        <f>(5.5+5)/135</f>
        <v>7.7777777777777779E-2</v>
      </c>
      <c r="CM76" s="209">
        <f>(7+8.5+3)/135</f>
        <v>0.13703703703703704</v>
      </c>
      <c r="CN76" s="209">
        <f>(4)/135</f>
        <v>2.9629629629629631E-2</v>
      </c>
      <c r="CO76" s="209">
        <f t="shared" ref="CO76:CO82" si="217">(0)/135</f>
        <v>0</v>
      </c>
      <c r="CP76" s="209">
        <f>(5)/135</f>
        <v>3.7037037037037035E-2</v>
      </c>
      <c r="CQ76" s="65">
        <f>(2+4)/150</f>
        <v>0.04</v>
      </c>
      <c r="CR76" s="209">
        <f>(0+4+4+10)/150</f>
        <v>0.12</v>
      </c>
      <c r="CS76" s="209">
        <f>(0+5)/150</f>
        <v>3.3333333333333333E-2</v>
      </c>
      <c r="CT76" s="209">
        <f>(0+6+18.5+14)/150</f>
        <v>0.25666666666666665</v>
      </c>
      <c r="CU76" s="209">
        <f>(1+8.5+16.5+14)/150</f>
        <v>0.26666666666666666</v>
      </c>
      <c r="CV76" s="209">
        <f>(0+3+7)/150</f>
        <v>6.6666666666666666E-2</v>
      </c>
      <c r="CW76" s="209">
        <f t="shared" si="215"/>
        <v>0</v>
      </c>
      <c r="CX76" s="65">
        <f t="shared" si="212"/>
        <v>0</v>
      </c>
      <c r="CY76" s="210">
        <f t="shared" si="212"/>
        <v>0</v>
      </c>
      <c r="CZ76" s="210">
        <f t="shared" si="212"/>
        <v>0</v>
      </c>
      <c r="DA76" s="210">
        <f t="shared" si="212"/>
        <v>0</v>
      </c>
      <c r="DB76" s="210">
        <f t="shared" si="212"/>
        <v>0</v>
      </c>
      <c r="DC76" s="210">
        <f t="shared" si="158"/>
        <v>0</v>
      </c>
      <c r="DD76" s="209">
        <f t="shared" si="158"/>
        <v>0</v>
      </c>
      <c r="DE76" s="65">
        <f t="shared" si="204"/>
        <v>0</v>
      </c>
      <c r="DF76" s="210">
        <f t="shared" si="204"/>
        <v>0</v>
      </c>
      <c r="DG76" s="210">
        <f t="shared" si="204"/>
        <v>0</v>
      </c>
      <c r="DH76" s="210">
        <f t="shared" si="204"/>
        <v>0</v>
      </c>
      <c r="DI76" s="210">
        <f t="shared" si="204"/>
        <v>0</v>
      </c>
      <c r="DJ76" s="210">
        <f t="shared" si="159"/>
        <v>0</v>
      </c>
      <c r="DK76" s="210">
        <f t="shared" si="159"/>
        <v>0</v>
      </c>
      <c r="DL76" s="65">
        <f t="shared" si="197"/>
        <v>0</v>
      </c>
      <c r="DM76" s="60">
        <f t="shared" si="197"/>
        <v>0</v>
      </c>
      <c r="DN76" s="60">
        <f t="shared" si="197"/>
        <v>0</v>
      </c>
      <c r="DO76" s="60">
        <f t="shared" si="197"/>
        <v>0</v>
      </c>
      <c r="DP76" s="60">
        <f t="shared" si="197"/>
        <v>0</v>
      </c>
      <c r="DQ76" s="210">
        <f t="shared" si="160"/>
        <v>0</v>
      </c>
      <c r="DR76" s="210">
        <f t="shared" si="160"/>
        <v>0</v>
      </c>
      <c r="DS76" s="210">
        <f t="shared" si="160"/>
        <v>0</v>
      </c>
    </row>
    <row r="77" spans="1:124" ht="25.9" hidden="1" customHeight="1" outlineLevel="1" x14ac:dyDescent="0.4">
      <c r="A77" s="347">
        <v>36</v>
      </c>
      <c r="B77" s="347" t="s">
        <v>47</v>
      </c>
      <c r="C77" s="347" t="s">
        <v>14</v>
      </c>
      <c r="D77" s="349" t="s">
        <v>576</v>
      </c>
      <c r="E77" s="349" t="s">
        <v>714</v>
      </c>
      <c r="F77" s="349"/>
      <c r="G77" s="563" t="s">
        <v>715</v>
      </c>
      <c r="H77" s="449">
        <f t="shared" ref="H77" si="218">SUM(DE77:DK77)</f>
        <v>0</v>
      </c>
      <c r="I77" s="449">
        <f t="shared" ref="I77" si="219">SUM(DE78:DK78)</f>
        <v>0</v>
      </c>
      <c r="J77" s="447"/>
      <c r="K77" s="445"/>
      <c r="L77" s="445"/>
      <c r="M77" s="428"/>
      <c r="N77" s="21" t="s">
        <v>24</v>
      </c>
      <c r="O77" s="190">
        <f t="shared" si="152"/>
        <v>0</v>
      </c>
      <c r="P77" s="190">
        <f t="shared" si="152"/>
        <v>0</v>
      </c>
      <c r="Q77" s="190">
        <f t="shared" si="152"/>
        <v>0</v>
      </c>
      <c r="R77" s="190">
        <f t="shared" si="152"/>
        <v>0</v>
      </c>
      <c r="S77" s="190">
        <f t="shared" si="152"/>
        <v>0</v>
      </c>
      <c r="T77" s="190">
        <f t="shared" si="152"/>
        <v>0</v>
      </c>
      <c r="U77" s="190">
        <f t="shared" si="152"/>
        <v>0</v>
      </c>
      <c r="V77" s="190">
        <f t="shared" si="97"/>
        <v>0</v>
      </c>
      <c r="W77" s="190">
        <f t="shared" si="97"/>
        <v>0</v>
      </c>
      <c r="X77" s="86">
        <f t="shared" si="152"/>
        <v>0</v>
      </c>
      <c r="Y77" s="190">
        <f t="shared" si="164"/>
        <v>0</v>
      </c>
      <c r="Z77" s="190">
        <f t="shared" si="164"/>
        <v>0</v>
      </c>
      <c r="AA77" s="190">
        <f t="shared" si="164"/>
        <v>0</v>
      </c>
      <c r="AB77" s="190">
        <f t="shared" si="164"/>
        <v>0</v>
      </c>
      <c r="AC77" s="190">
        <f t="shared" si="164"/>
        <v>0</v>
      </c>
      <c r="AD77" s="190">
        <f t="shared" si="164"/>
        <v>0</v>
      </c>
      <c r="AE77" s="190">
        <f t="shared" si="170"/>
        <v>0</v>
      </c>
      <c r="AF77" s="190"/>
      <c r="AG77" s="190">
        <f t="shared" si="170"/>
        <v>0</v>
      </c>
      <c r="AH77" s="190">
        <f t="shared" si="170"/>
        <v>0</v>
      </c>
      <c r="AI77" s="77">
        <f t="shared" si="139"/>
        <v>0</v>
      </c>
      <c r="AJ77" s="190">
        <f t="shared" si="139"/>
        <v>0</v>
      </c>
      <c r="AK77" s="190">
        <f t="shared" si="139"/>
        <v>0</v>
      </c>
      <c r="AL77" s="190">
        <f t="shared" si="139"/>
        <v>0</v>
      </c>
      <c r="AM77" s="190">
        <f t="shared" si="139"/>
        <v>0</v>
      </c>
      <c r="AN77" s="190">
        <f t="shared" si="205"/>
        <v>0</v>
      </c>
      <c r="AO77" s="190">
        <f t="shared" si="205"/>
        <v>0</v>
      </c>
      <c r="AP77" s="190">
        <f t="shared" si="139"/>
        <v>0</v>
      </c>
      <c r="AQ77" s="190">
        <f t="shared" si="139"/>
        <v>0</v>
      </c>
      <c r="AR77" s="225">
        <f t="shared" si="139"/>
        <v>0</v>
      </c>
      <c r="AS77" s="23">
        <f t="shared" si="209"/>
        <v>0</v>
      </c>
      <c r="AT77" s="190">
        <f t="shared" si="209"/>
        <v>0</v>
      </c>
      <c r="AU77" s="190">
        <f t="shared" si="194"/>
        <v>0</v>
      </c>
      <c r="AV77" s="190">
        <f t="shared" si="194"/>
        <v>0</v>
      </c>
      <c r="AW77" s="190">
        <f t="shared" si="209"/>
        <v>0</v>
      </c>
      <c r="AX77" s="190">
        <f t="shared" si="157"/>
        <v>0</v>
      </c>
      <c r="AY77" s="190">
        <f t="shared" si="157"/>
        <v>0</v>
      </c>
      <c r="AZ77" s="190">
        <f t="shared" si="157"/>
        <v>0</v>
      </c>
      <c r="BA77" s="190">
        <f t="shared" si="157"/>
        <v>0</v>
      </c>
      <c r="BB77" s="225">
        <f t="shared" si="157"/>
        <v>0</v>
      </c>
      <c r="BC77" s="77">
        <f t="shared" si="195"/>
        <v>0</v>
      </c>
      <c r="BD77" s="190">
        <f t="shared" si="195"/>
        <v>0</v>
      </c>
      <c r="BE77" s="190">
        <f t="shared" si="195"/>
        <v>0</v>
      </c>
      <c r="BF77" s="190">
        <f t="shared" si="195"/>
        <v>0</v>
      </c>
      <c r="BG77" s="190">
        <f t="shared" si="195"/>
        <v>0</v>
      </c>
      <c r="BH77" s="190">
        <f t="shared" si="195"/>
        <v>0</v>
      </c>
      <c r="BI77" s="190">
        <f t="shared" si="195"/>
        <v>0</v>
      </c>
      <c r="BJ77" s="190">
        <f t="shared" si="196"/>
        <v>0</v>
      </c>
      <c r="BK77" s="190">
        <f t="shared" si="196"/>
        <v>0</v>
      </c>
      <c r="BL77" s="190">
        <f t="shared" si="196"/>
        <v>0</v>
      </c>
      <c r="BM77" s="77">
        <f t="shared" si="210"/>
        <v>0</v>
      </c>
      <c r="BN77" s="190">
        <f t="shared" si="210"/>
        <v>0</v>
      </c>
      <c r="BO77" s="190">
        <f t="shared" si="210"/>
        <v>0</v>
      </c>
      <c r="BP77" s="190">
        <f t="shared" si="210"/>
        <v>0</v>
      </c>
      <c r="BQ77" s="190">
        <f t="shared" si="210"/>
        <v>0</v>
      </c>
      <c r="BR77" s="190">
        <f t="shared" si="210"/>
        <v>0</v>
      </c>
      <c r="BS77" s="190">
        <f t="shared" si="210"/>
        <v>0</v>
      </c>
      <c r="BT77" s="190"/>
      <c r="BU77" s="190"/>
      <c r="BV77" s="190">
        <f t="shared" si="210"/>
        <v>0</v>
      </c>
      <c r="BW77" s="23">
        <f>(10)/150</f>
        <v>6.6666666666666666E-2</v>
      </c>
      <c r="BX77" s="190">
        <f>(30)/150</f>
        <v>0.2</v>
      </c>
      <c r="BY77" s="190">
        <f>(20)/150</f>
        <v>0.13333333333333333</v>
      </c>
      <c r="BZ77" s="190">
        <f>(50)/150</f>
        <v>0.33333333333333331</v>
      </c>
      <c r="CA77" s="190">
        <f>(80)/150</f>
        <v>0.53333333333333333</v>
      </c>
      <c r="CB77" s="190">
        <f t="shared" si="211"/>
        <v>0</v>
      </c>
      <c r="CC77" s="190">
        <f t="shared" si="211"/>
        <v>0</v>
      </c>
      <c r="CD77" s="190">
        <f>(10)/150</f>
        <v>6.6666666666666666E-2</v>
      </c>
      <c r="CE77" s="190">
        <f>(25)/150</f>
        <v>0.16666666666666666</v>
      </c>
      <c r="CF77" s="190">
        <f t="shared" si="211"/>
        <v>0</v>
      </c>
      <c r="CG77" s="23">
        <f>(5)/135</f>
        <v>3.7037037037037035E-2</v>
      </c>
      <c r="CH77" s="190">
        <f>(5)/135</f>
        <v>3.7037037037037035E-2</v>
      </c>
      <c r="CI77" s="190">
        <f t="shared" si="216"/>
        <v>0</v>
      </c>
      <c r="CJ77" s="190">
        <f>(10)/135</f>
        <v>7.407407407407407E-2</v>
      </c>
      <c r="CK77" s="190">
        <f>(10)/135</f>
        <v>7.407407407407407E-2</v>
      </c>
      <c r="CL77" s="190">
        <f t="shared" ref="CL77:CN84" si="220">(0)/135</f>
        <v>0</v>
      </c>
      <c r="CM77" s="190">
        <f t="shared" si="220"/>
        <v>0</v>
      </c>
      <c r="CN77" s="190">
        <f t="shared" si="220"/>
        <v>0</v>
      </c>
      <c r="CO77" s="190">
        <f t="shared" si="217"/>
        <v>0</v>
      </c>
      <c r="CP77" s="190">
        <f t="shared" ref="CP77:CP82" si="221">(0)/135</f>
        <v>0</v>
      </c>
      <c r="CQ77" s="23">
        <f t="shared" si="215"/>
        <v>0</v>
      </c>
      <c r="CR77" s="190">
        <f t="shared" si="215"/>
        <v>0</v>
      </c>
      <c r="CS77" s="190">
        <f t="shared" si="215"/>
        <v>0</v>
      </c>
      <c r="CT77" s="190">
        <f t="shared" si="215"/>
        <v>0</v>
      </c>
      <c r="CU77" s="190">
        <f t="shared" si="215"/>
        <v>0</v>
      </c>
      <c r="CV77" s="190">
        <f t="shared" si="215"/>
        <v>0</v>
      </c>
      <c r="CW77" s="190">
        <f t="shared" si="215"/>
        <v>0</v>
      </c>
      <c r="CX77" s="77">
        <f t="shared" si="212"/>
        <v>0</v>
      </c>
      <c r="CY77" s="190">
        <f t="shared" si="212"/>
        <v>0</v>
      </c>
      <c r="CZ77" s="190">
        <f t="shared" si="212"/>
        <v>0</v>
      </c>
      <c r="DA77" s="190">
        <f t="shared" si="212"/>
        <v>0</v>
      </c>
      <c r="DB77" s="190">
        <f t="shared" si="212"/>
        <v>0</v>
      </c>
      <c r="DC77" s="190">
        <f t="shared" si="158"/>
        <v>0</v>
      </c>
      <c r="DD77" s="190">
        <f t="shared" si="158"/>
        <v>0</v>
      </c>
      <c r="DE77" s="23">
        <f t="shared" si="204"/>
        <v>0</v>
      </c>
      <c r="DF77" s="190">
        <f t="shared" si="204"/>
        <v>0</v>
      </c>
      <c r="DG77" s="190">
        <f t="shared" si="204"/>
        <v>0</v>
      </c>
      <c r="DH77" s="190">
        <f t="shared" si="204"/>
        <v>0</v>
      </c>
      <c r="DI77" s="190">
        <f t="shared" si="204"/>
        <v>0</v>
      </c>
      <c r="DJ77" s="190">
        <f t="shared" si="159"/>
        <v>0</v>
      </c>
      <c r="DK77" s="190">
        <f t="shared" si="159"/>
        <v>0</v>
      </c>
      <c r="DL77" s="23">
        <f t="shared" ref="DL77:DP86" si="222">0/142.5</f>
        <v>0</v>
      </c>
      <c r="DM77" s="10">
        <f t="shared" si="222"/>
        <v>0</v>
      </c>
      <c r="DN77" s="10">
        <f t="shared" si="222"/>
        <v>0</v>
      </c>
      <c r="DO77" s="10">
        <f t="shared" si="222"/>
        <v>0</v>
      </c>
      <c r="DP77" s="10">
        <f t="shared" si="222"/>
        <v>0</v>
      </c>
      <c r="DQ77" s="190">
        <f t="shared" si="160"/>
        <v>0</v>
      </c>
      <c r="DR77" s="190">
        <f t="shared" si="160"/>
        <v>0</v>
      </c>
      <c r="DS77" s="190">
        <f t="shared" si="160"/>
        <v>0</v>
      </c>
    </row>
    <row r="78" spans="1:124" ht="26.25" hidden="1" customHeight="1" outlineLevel="1" x14ac:dyDescent="0.4">
      <c r="A78" s="348"/>
      <c r="B78" s="348"/>
      <c r="C78" s="348"/>
      <c r="D78" s="350"/>
      <c r="E78" s="350"/>
      <c r="F78" s="350"/>
      <c r="G78" s="565"/>
      <c r="H78" s="450"/>
      <c r="I78" s="450"/>
      <c r="J78" s="448"/>
      <c r="K78" s="446"/>
      <c r="L78" s="446"/>
      <c r="M78" s="429"/>
      <c r="N78" s="209" t="s">
        <v>25</v>
      </c>
      <c r="O78" s="209">
        <f t="shared" si="152"/>
        <v>0</v>
      </c>
      <c r="P78" s="209">
        <f t="shared" si="152"/>
        <v>0</v>
      </c>
      <c r="Q78" s="209">
        <f t="shared" si="152"/>
        <v>0</v>
      </c>
      <c r="R78" s="209">
        <f t="shared" si="152"/>
        <v>0</v>
      </c>
      <c r="S78" s="209">
        <f t="shared" si="152"/>
        <v>0</v>
      </c>
      <c r="T78" s="209">
        <f t="shared" si="152"/>
        <v>0</v>
      </c>
      <c r="U78" s="209">
        <f t="shared" si="152"/>
        <v>0</v>
      </c>
      <c r="V78" s="209">
        <f t="shared" si="97"/>
        <v>0</v>
      </c>
      <c r="W78" s="209">
        <f t="shared" si="97"/>
        <v>0</v>
      </c>
      <c r="X78" s="53">
        <f t="shared" si="152"/>
        <v>0</v>
      </c>
      <c r="Y78" s="209">
        <f t="shared" si="164"/>
        <v>0</v>
      </c>
      <c r="Z78" s="209">
        <f t="shared" si="164"/>
        <v>0</v>
      </c>
      <c r="AA78" s="209">
        <f t="shared" si="164"/>
        <v>0</v>
      </c>
      <c r="AB78" s="209">
        <f t="shared" si="164"/>
        <v>0</v>
      </c>
      <c r="AC78" s="209">
        <f t="shared" si="164"/>
        <v>0</v>
      </c>
      <c r="AD78" s="209">
        <f t="shared" si="164"/>
        <v>0</v>
      </c>
      <c r="AE78" s="209">
        <f t="shared" si="170"/>
        <v>0</v>
      </c>
      <c r="AF78" s="209"/>
      <c r="AG78" s="209">
        <f t="shared" si="170"/>
        <v>0</v>
      </c>
      <c r="AH78" s="209">
        <f t="shared" si="170"/>
        <v>0</v>
      </c>
      <c r="AI78" s="58">
        <f t="shared" si="139"/>
        <v>0</v>
      </c>
      <c r="AJ78" s="209">
        <f t="shared" si="139"/>
        <v>0</v>
      </c>
      <c r="AK78" s="209">
        <f t="shared" si="139"/>
        <v>0</v>
      </c>
      <c r="AL78" s="209">
        <f t="shared" si="139"/>
        <v>0</v>
      </c>
      <c r="AM78" s="209">
        <f t="shared" si="139"/>
        <v>0</v>
      </c>
      <c r="AN78" s="209">
        <f t="shared" si="205"/>
        <v>0</v>
      </c>
      <c r="AO78" s="209">
        <f t="shared" si="205"/>
        <v>0</v>
      </c>
      <c r="AP78" s="209">
        <f t="shared" si="139"/>
        <v>0</v>
      </c>
      <c r="AQ78" s="209">
        <f t="shared" si="139"/>
        <v>0</v>
      </c>
      <c r="AR78" s="53">
        <f t="shared" si="139"/>
        <v>0</v>
      </c>
      <c r="AS78" s="65">
        <f t="shared" si="209"/>
        <v>0</v>
      </c>
      <c r="AT78" s="210">
        <f t="shared" si="209"/>
        <v>0</v>
      </c>
      <c r="AU78" s="210">
        <f t="shared" si="194"/>
        <v>0</v>
      </c>
      <c r="AV78" s="210">
        <f t="shared" si="194"/>
        <v>0</v>
      </c>
      <c r="AW78" s="280">
        <f t="shared" si="209"/>
        <v>0</v>
      </c>
      <c r="AX78" s="210">
        <f t="shared" si="157"/>
        <v>0</v>
      </c>
      <c r="AY78" s="210">
        <f t="shared" si="157"/>
        <v>0</v>
      </c>
      <c r="AZ78" s="210">
        <f t="shared" si="157"/>
        <v>0</v>
      </c>
      <c r="BA78" s="210">
        <f t="shared" si="157"/>
        <v>0</v>
      </c>
      <c r="BB78" s="53">
        <f t="shared" si="157"/>
        <v>0</v>
      </c>
      <c r="BC78" s="58">
        <f t="shared" si="195"/>
        <v>0</v>
      </c>
      <c r="BD78" s="209">
        <f t="shared" si="195"/>
        <v>0</v>
      </c>
      <c r="BE78" s="209">
        <f t="shared" si="195"/>
        <v>0</v>
      </c>
      <c r="BF78" s="209">
        <f t="shared" si="195"/>
        <v>0</v>
      </c>
      <c r="BG78" s="209">
        <f t="shared" si="195"/>
        <v>0</v>
      </c>
      <c r="BH78" s="209">
        <f t="shared" si="195"/>
        <v>0</v>
      </c>
      <c r="BI78" s="209">
        <f t="shared" si="195"/>
        <v>0</v>
      </c>
      <c r="BJ78" s="209">
        <f t="shared" si="196"/>
        <v>0</v>
      </c>
      <c r="BK78" s="209">
        <f t="shared" si="196"/>
        <v>0</v>
      </c>
      <c r="BL78" s="209">
        <f t="shared" si="196"/>
        <v>0</v>
      </c>
      <c r="BM78" s="58">
        <f t="shared" si="210"/>
        <v>0</v>
      </c>
      <c r="BN78" s="209">
        <f t="shared" si="210"/>
        <v>0</v>
      </c>
      <c r="BO78" s="209">
        <f t="shared" si="210"/>
        <v>0</v>
      </c>
      <c r="BP78" s="209">
        <f t="shared" si="210"/>
        <v>0</v>
      </c>
      <c r="BQ78" s="209">
        <f t="shared" si="210"/>
        <v>0</v>
      </c>
      <c r="BR78" s="209">
        <f t="shared" si="210"/>
        <v>0</v>
      </c>
      <c r="BS78" s="209">
        <f t="shared" si="210"/>
        <v>0</v>
      </c>
      <c r="BT78" s="209"/>
      <c r="BU78" s="209"/>
      <c r="BV78" s="209">
        <f t="shared" si="210"/>
        <v>0</v>
      </c>
      <c r="BW78" s="65">
        <f>(2.5+5+3)/150</f>
        <v>7.0000000000000007E-2</v>
      </c>
      <c r="BX78" s="209">
        <f>(7.5+20+6.5)/150</f>
        <v>0.22666666666666666</v>
      </c>
      <c r="BY78" s="209">
        <f>(0+9+7.5)/150</f>
        <v>0.11</v>
      </c>
      <c r="BZ78" s="209">
        <f>(20.5+24+10)/150</f>
        <v>0.36333333333333334</v>
      </c>
      <c r="CA78" s="209">
        <f>(25+32.5+13.5)/150</f>
        <v>0.47333333333333333</v>
      </c>
      <c r="CB78" s="209">
        <f t="shared" si="211"/>
        <v>0</v>
      </c>
      <c r="CC78" s="209">
        <f t="shared" si="211"/>
        <v>0</v>
      </c>
      <c r="CD78" s="209">
        <f>(0+13)/150</f>
        <v>8.666666666666667E-2</v>
      </c>
      <c r="CE78" s="209">
        <f>(0+19+3.5)/150</f>
        <v>0.15</v>
      </c>
      <c r="CF78" s="209">
        <f t="shared" si="211"/>
        <v>0</v>
      </c>
      <c r="CG78" s="65">
        <f>(1+1)/135</f>
        <v>1.4814814814814815E-2</v>
      </c>
      <c r="CH78" s="209">
        <f>(3)/135</f>
        <v>2.2222222222222223E-2</v>
      </c>
      <c r="CI78" s="209">
        <f t="shared" ref="CI78:CI82" si="223">(0)/135</f>
        <v>0</v>
      </c>
      <c r="CJ78" s="209">
        <f>(7)/135</f>
        <v>5.185185185185185E-2</v>
      </c>
      <c r="CK78" s="209">
        <f>(7)/135</f>
        <v>5.185185185185185E-2</v>
      </c>
      <c r="CL78" s="209">
        <f t="shared" si="220"/>
        <v>0</v>
      </c>
      <c r="CM78" s="209">
        <f t="shared" si="220"/>
        <v>0</v>
      </c>
      <c r="CN78" s="209">
        <f t="shared" si="220"/>
        <v>0</v>
      </c>
      <c r="CO78" s="209">
        <f t="shared" si="217"/>
        <v>0</v>
      </c>
      <c r="CP78" s="209">
        <f t="shared" si="221"/>
        <v>0</v>
      </c>
      <c r="CQ78" s="65">
        <f t="shared" si="215"/>
        <v>0</v>
      </c>
      <c r="CR78" s="209">
        <f t="shared" si="215"/>
        <v>0</v>
      </c>
      <c r="CS78" s="209">
        <f t="shared" si="215"/>
        <v>0</v>
      </c>
      <c r="CT78" s="209">
        <f t="shared" si="215"/>
        <v>0</v>
      </c>
      <c r="CU78" s="209">
        <f t="shared" si="215"/>
        <v>0</v>
      </c>
      <c r="CV78" s="209">
        <f t="shared" si="215"/>
        <v>0</v>
      </c>
      <c r="CW78" s="209">
        <f t="shared" si="215"/>
        <v>0</v>
      </c>
      <c r="CX78" s="65">
        <f t="shared" si="212"/>
        <v>0</v>
      </c>
      <c r="CY78" s="210">
        <f t="shared" si="212"/>
        <v>0</v>
      </c>
      <c r="CZ78" s="210">
        <f t="shared" si="212"/>
        <v>0</v>
      </c>
      <c r="DA78" s="210">
        <f t="shared" si="212"/>
        <v>0</v>
      </c>
      <c r="DB78" s="210">
        <f t="shared" si="212"/>
        <v>0</v>
      </c>
      <c r="DC78" s="210">
        <f t="shared" si="158"/>
        <v>0</v>
      </c>
      <c r="DD78" s="209">
        <f t="shared" si="158"/>
        <v>0</v>
      </c>
      <c r="DE78" s="65">
        <f t="shared" si="204"/>
        <v>0</v>
      </c>
      <c r="DF78" s="210">
        <f t="shared" si="204"/>
        <v>0</v>
      </c>
      <c r="DG78" s="210">
        <f t="shared" si="204"/>
        <v>0</v>
      </c>
      <c r="DH78" s="210">
        <f t="shared" si="204"/>
        <v>0</v>
      </c>
      <c r="DI78" s="210">
        <f t="shared" si="204"/>
        <v>0</v>
      </c>
      <c r="DJ78" s="210">
        <f t="shared" si="159"/>
        <v>0</v>
      </c>
      <c r="DK78" s="210">
        <f t="shared" si="159"/>
        <v>0</v>
      </c>
      <c r="DL78" s="65">
        <f t="shared" si="222"/>
        <v>0</v>
      </c>
      <c r="DM78" s="60">
        <f t="shared" si="222"/>
        <v>0</v>
      </c>
      <c r="DN78" s="60">
        <f t="shared" si="222"/>
        <v>0</v>
      </c>
      <c r="DO78" s="60">
        <f t="shared" si="222"/>
        <v>0</v>
      </c>
      <c r="DP78" s="60">
        <f t="shared" si="222"/>
        <v>0</v>
      </c>
      <c r="DQ78" s="210">
        <f t="shared" si="160"/>
        <v>0</v>
      </c>
      <c r="DR78" s="210">
        <f t="shared" si="160"/>
        <v>0</v>
      </c>
      <c r="DS78" s="210">
        <f t="shared" si="160"/>
        <v>0</v>
      </c>
    </row>
    <row r="79" spans="1:124" ht="26.25" hidden="1" customHeight="1" outlineLevel="1" x14ac:dyDescent="0.4">
      <c r="A79" s="347">
        <v>37</v>
      </c>
      <c r="B79" s="347" t="s">
        <v>47</v>
      </c>
      <c r="C79" s="347" t="s">
        <v>347</v>
      </c>
      <c r="D79" s="349" t="s">
        <v>348</v>
      </c>
      <c r="E79" s="349" t="s">
        <v>726</v>
      </c>
      <c r="F79" s="349" t="s">
        <v>727</v>
      </c>
      <c r="G79" s="563" t="s">
        <v>728</v>
      </c>
      <c r="H79" s="449">
        <f t="shared" ref="H79" si="224">SUM(DE79:DK79)</f>
        <v>0</v>
      </c>
      <c r="I79" s="449">
        <f t="shared" ref="I79" si="225">SUM(DE80:DK80)</f>
        <v>0</v>
      </c>
      <c r="J79" s="447"/>
      <c r="K79" s="445"/>
      <c r="L79" s="445"/>
      <c r="M79" s="428"/>
      <c r="N79" s="21" t="s">
        <v>24</v>
      </c>
      <c r="O79" s="190">
        <f t="shared" si="152"/>
        <v>0</v>
      </c>
      <c r="P79" s="190">
        <f t="shared" si="152"/>
        <v>0</v>
      </c>
      <c r="Q79" s="190">
        <f t="shared" si="152"/>
        <v>0</v>
      </c>
      <c r="R79" s="190">
        <f t="shared" si="152"/>
        <v>0</v>
      </c>
      <c r="S79" s="190">
        <f t="shared" si="152"/>
        <v>0</v>
      </c>
      <c r="T79" s="190">
        <f t="shared" si="152"/>
        <v>0</v>
      </c>
      <c r="U79" s="190">
        <f t="shared" si="152"/>
        <v>0</v>
      </c>
      <c r="V79" s="190">
        <f t="shared" si="97"/>
        <v>0</v>
      </c>
      <c r="W79" s="190">
        <f t="shared" si="97"/>
        <v>0</v>
      </c>
      <c r="X79" s="86">
        <f t="shared" si="152"/>
        <v>0</v>
      </c>
      <c r="Y79" s="190">
        <f t="shared" si="164"/>
        <v>0</v>
      </c>
      <c r="Z79" s="190">
        <f t="shared" si="164"/>
        <v>0</v>
      </c>
      <c r="AA79" s="190">
        <f t="shared" si="164"/>
        <v>0</v>
      </c>
      <c r="AB79" s="190">
        <f t="shared" si="164"/>
        <v>0</v>
      </c>
      <c r="AC79" s="190">
        <f t="shared" si="164"/>
        <v>0</v>
      </c>
      <c r="AD79" s="190">
        <f t="shared" si="164"/>
        <v>0</v>
      </c>
      <c r="AE79" s="190">
        <f t="shared" si="170"/>
        <v>0</v>
      </c>
      <c r="AF79" s="190"/>
      <c r="AG79" s="190">
        <f t="shared" si="170"/>
        <v>0</v>
      </c>
      <c r="AH79" s="190">
        <f t="shared" si="170"/>
        <v>0</v>
      </c>
      <c r="AI79" s="77">
        <f t="shared" si="139"/>
        <v>0</v>
      </c>
      <c r="AJ79" s="190">
        <f t="shared" si="139"/>
        <v>0</v>
      </c>
      <c r="AK79" s="190">
        <f t="shared" si="139"/>
        <v>0</v>
      </c>
      <c r="AL79" s="190">
        <f t="shared" si="139"/>
        <v>0</v>
      </c>
      <c r="AM79" s="190">
        <f t="shared" si="139"/>
        <v>0</v>
      </c>
      <c r="AN79" s="190">
        <f t="shared" si="205"/>
        <v>0</v>
      </c>
      <c r="AO79" s="190">
        <f t="shared" si="205"/>
        <v>0</v>
      </c>
      <c r="AP79" s="190">
        <f t="shared" si="139"/>
        <v>0</v>
      </c>
      <c r="AQ79" s="190">
        <f t="shared" si="139"/>
        <v>0</v>
      </c>
      <c r="AR79" s="225">
        <f t="shared" si="139"/>
        <v>0</v>
      </c>
      <c r="AS79" s="23">
        <f t="shared" si="209"/>
        <v>0</v>
      </c>
      <c r="AT79" s="190">
        <f t="shared" si="209"/>
        <v>0</v>
      </c>
      <c r="AU79" s="190">
        <f t="shared" si="209"/>
        <v>0</v>
      </c>
      <c r="AV79" s="190">
        <f t="shared" si="209"/>
        <v>0</v>
      </c>
      <c r="AW79" s="190">
        <f t="shared" si="209"/>
        <v>0</v>
      </c>
      <c r="AX79" s="190">
        <f t="shared" si="157"/>
        <v>0</v>
      </c>
      <c r="AY79" s="190">
        <f t="shared" si="157"/>
        <v>0</v>
      </c>
      <c r="AZ79" s="190">
        <f t="shared" si="157"/>
        <v>0</v>
      </c>
      <c r="BA79" s="190">
        <f t="shared" si="157"/>
        <v>0</v>
      </c>
      <c r="BB79" s="225">
        <f t="shared" si="157"/>
        <v>0</v>
      </c>
      <c r="BC79" s="77">
        <f t="shared" si="195"/>
        <v>0</v>
      </c>
      <c r="BD79" s="190">
        <f t="shared" si="195"/>
        <v>0</v>
      </c>
      <c r="BE79" s="190">
        <f t="shared" si="195"/>
        <v>0</v>
      </c>
      <c r="BF79" s="190">
        <f t="shared" si="195"/>
        <v>0</v>
      </c>
      <c r="BG79" s="190">
        <f t="shared" si="195"/>
        <v>0</v>
      </c>
      <c r="BH79" s="190">
        <f t="shared" si="195"/>
        <v>0</v>
      </c>
      <c r="BI79" s="190">
        <f t="shared" si="195"/>
        <v>0</v>
      </c>
      <c r="BJ79" s="190">
        <f t="shared" si="196"/>
        <v>0</v>
      </c>
      <c r="BK79" s="190">
        <f t="shared" si="196"/>
        <v>0</v>
      </c>
      <c r="BL79" s="190">
        <f t="shared" si="196"/>
        <v>0</v>
      </c>
      <c r="BM79" s="77">
        <f t="shared" si="210"/>
        <v>0</v>
      </c>
      <c r="BN79" s="190">
        <f t="shared" si="210"/>
        <v>0</v>
      </c>
      <c r="BO79" s="190">
        <f t="shared" si="210"/>
        <v>0</v>
      </c>
      <c r="BP79" s="190">
        <f t="shared" si="210"/>
        <v>0</v>
      </c>
      <c r="BQ79" s="190">
        <f t="shared" si="210"/>
        <v>0</v>
      </c>
      <c r="BR79" s="190">
        <f t="shared" si="210"/>
        <v>0</v>
      </c>
      <c r="BS79" s="190">
        <f t="shared" si="210"/>
        <v>0</v>
      </c>
      <c r="BT79" s="190"/>
      <c r="BU79" s="190"/>
      <c r="BV79" s="190">
        <f t="shared" si="210"/>
        <v>0</v>
      </c>
      <c r="BW79" s="23">
        <f>(10)/150</f>
        <v>6.6666666666666666E-2</v>
      </c>
      <c r="BX79" s="190">
        <f>(10)/150</f>
        <v>6.6666666666666666E-2</v>
      </c>
      <c r="BY79" s="190">
        <f t="shared" si="211"/>
        <v>0</v>
      </c>
      <c r="BZ79" s="190">
        <f t="shared" si="211"/>
        <v>0</v>
      </c>
      <c r="CA79" s="190">
        <f t="shared" si="211"/>
        <v>0</v>
      </c>
      <c r="CB79" s="190">
        <f t="shared" si="211"/>
        <v>0</v>
      </c>
      <c r="CC79" s="190">
        <f t="shared" si="211"/>
        <v>0</v>
      </c>
      <c r="CD79" s="190">
        <f t="shared" si="211"/>
        <v>0</v>
      </c>
      <c r="CE79" s="190">
        <f>(10)/150</f>
        <v>6.6666666666666666E-2</v>
      </c>
      <c r="CF79" s="190">
        <f t="shared" si="211"/>
        <v>0</v>
      </c>
      <c r="CG79" s="23">
        <f t="shared" ref="CG79:CG82" si="226">(0)/135</f>
        <v>0</v>
      </c>
      <c r="CH79" s="190">
        <f t="shared" ref="CH79:CH82" si="227">(0)/135</f>
        <v>0</v>
      </c>
      <c r="CI79" s="190">
        <f t="shared" si="223"/>
        <v>0</v>
      </c>
      <c r="CJ79" s="190">
        <f t="shared" ref="CJ79:CK84" si="228">(0)/135</f>
        <v>0</v>
      </c>
      <c r="CK79" s="190">
        <f t="shared" si="228"/>
        <v>0</v>
      </c>
      <c r="CL79" s="190">
        <f t="shared" si="220"/>
        <v>0</v>
      </c>
      <c r="CM79" s="190">
        <f t="shared" si="220"/>
        <v>0</v>
      </c>
      <c r="CN79" s="190">
        <f t="shared" si="220"/>
        <v>0</v>
      </c>
      <c r="CO79" s="190">
        <f t="shared" si="217"/>
        <v>0</v>
      </c>
      <c r="CP79" s="190">
        <f t="shared" si="221"/>
        <v>0</v>
      </c>
      <c r="CQ79" s="23">
        <f t="shared" si="148"/>
        <v>0</v>
      </c>
      <c r="CR79" s="190">
        <f t="shared" si="148"/>
        <v>0</v>
      </c>
      <c r="CS79" s="190">
        <f t="shared" si="148"/>
        <v>0</v>
      </c>
      <c r="CT79" s="190">
        <f t="shared" si="148"/>
        <v>0</v>
      </c>
      <c r="CU79" s="190">
        <f t="shared" si="148"/>
        <v>0</v>
      </c>
      <c r="CV79" s="190">
        <f t="shared" si="148"/>
        <v>0</v>
      </c>
      <c r="CW79" s="190">
        <f t="shared" si="148"/>
        <v>0</v>
      </c>
      <c r="CX79" s="77">
        <f t="shared" si="212"/>
        <v>0</v>
      </c>
      <c r="CY79" s="190">
        <f t="shared" si="212"/>
        <v>0</v>
      </c>
      <c r="CZ79" s="190">
        <f t="shared" si="212"/>
        <v>0</v>
      </c>
      <c r="DA79" s="190">
        <f t="shared" si="212"/>
        <v>0</v>
      </c>
      <c r="DB79" s="190">
        <f t="shared" si="212"/>
        <v>0</v>
      </c>
      <c r="DC79" s="190">
        <f t="shared" si="158"/>
        <v>0</v>
      </c>
      <c r="DD79" s="190">
        <f t="shared" si="158"/>
        <v>0</v>
      </c>
      <c r="DE79" s="23">
        <f t="shared" si="204"/>
        <v>0</v>
      </c>
      <c r="DF79" s="190">
        <f t="shared" si="204"/>
        <v>0</v>
      </c>
      <c r="DG79" s="190">
        <f t="shared" si="204"/>
        <v>0</v>
      </c>
      <c r="DH79" s="190">
        <f t="shared" si="204"/>
        <v>0</v>
      </c>
      <c r="DI79" s="190">
        <f t="shared" si="204"/>
        <v>0</v>
      </c>
      <c r="DJ79" s="190">
        <f t="shared" si="159"/>
        <v>0</v>
      </c>
      <c r="DK79" s="190">
        <f t="shared" si="159"/>
        <v>0</v>
      </c>
      <c r="DL79" s="23">
        <f t="shared" si="222"/>
        <v>0</v>
      </c>
      <c r="DM79" s="10">
        <f t="shared" si="222"/>
        <v>0</v>
      </c>
      <c r="DN79" s="10">
        <f t="shared" si="222"/>
        <v>0</v>
      </c>
      <c r="DO79" s="10">
        <f t="shared" si="222"/>
        <v>0</v>
      </c>
      <c r="DP79" s="10">
        <f t="shared" si="222"/>
        <v>0</v>
      </c>
      <c r="DQ79" s="190">
        <f t="shared" si="160"/>
        <v>0</v>
      </c>
      <c r="DR79" s="190">
        <f t="shared" si="160"/>
        <v>0</v>
      </c>
      <c r="DS79" s="190">
        <f t="shared" si="160"/>
        <v>0</v>
      </c>
    </row>
    <row r="80" spans="1:124" ht="26.25" hidden="1" customHeight="1" outlineLevel="1" x14ac:dyDescent="0.4">
      <c r="A80" s="348"/>
      <c r="B80" s="348"/>
      <c r="C80" s="348"/>
      <c r="D80" s="350"/>
      <c r="E80" s="350"/>
      <c r="F80" s="350"/>
      <c r="G80" s="565"/>
      <c r="H80" s="450"/>
      <c r="I80" s="450"/>
      <c r="J80" s="448"/>
      <c r="K80" s="446"/>
      <c r="L80" s="446"/>
      <c r="M80" s="429"/>
      <c r="N80" s="209" t="s">
        <v>25</v>
      </c>
      <c r="O80" s="209">
        <f t="shared" si="152"/>
        <v>0</v>
      </c>
      <c r="P80" s="209">
        <f t="shared" si="152"/>
        <v>0</v>
      </c>
      <c r="Q80" s="209">
        <f t="shared" si="152"/>
        <v>0</v>
      </c>
      <c r="R80" s="209">
        <f t="shared" si="152"/>
        <v>0</v>
      </c>
      <c r="S80" s="209">
        <f t="shared" si="152"/>
        <v>0</v>
      </c>
      <c r="T80" s="209">
        <f t="shared" si="152"/>
        <v>0</v>
      </c>
      <c r="U80" s="209">
        <f t="shared" si="152"/>
        <v>0</v>
      </c>
      <c r="V80" s="209">
        <f t="shared" si="97"/>
        <v>0</v>
      </c>
      <c r="W80" s="209">
        <f t="shared" si="97"/>
        <v>0</v>
      </c>
      <c r="X80" s="53">
        <f t="shared" si="152"/>
        <v>0</v>
      </c>
      <c r="Y80" s="209">
        <f t="shared" si="164"/>
        <v>0</v>
      </c>
      <c r="Z80" s="209">
        <f t="shared" si="164"/>
        <v>0</v>
      </c>
      <c r="AA80" s="209">
        <f t="shared" si="164"/>
        <v>0</v>
      </c>
      <c r="AB80" s="209">
        <f t="shared" si="164"/>
        <v>0</v>
      </c>
      <c r="AC80" s="209">
        <f t="shared" si="164"/>
        <v>0</v>
      </c>
      <c r="AD80" s="209">
        <f t="shared" si="164"/>
        <v>0</v>
      </c>
      <c r="AE80" s="209">
        <f t="shared" si="170"/>
        <v>0</v>
      </c>
      <c r="AF80" s="209"/>
      <c r="AG80" s="209">
        <f t="shared" si="170"/>
        <v>0</v>
      </c>
      <c r="AH80" s="209">
        <f t="shared" si="170"/>
        <v>0</v>
      </c>
      <c r="AI80" s="58">
        <f t="shared" si="139"/>
        <v>0</v>
      </c>
      <c r="AJ80" s="209">
        <f t="shared" si="139"/>
        <v>0</v>
      </c>
      <c r="AK80" s="209">
        <f t="shared" si="139"/>
        <v>0</v>
      </c>
      <c r="AL80" s="209">
        <f t="shared" si="139"/>
        <v>0</v>
      </c>
      <c r="AM80" s="209">
        <f t="shared" si="139"/>
        <v>0</v>
      </c>
      <c r="AN80" s="209">
        <f t="shared" si="205"/>
        <v>0</v>
      </c>
      <c r="AO80" s="209">
        <f t="shared" ref="AO80:AQ80" si="229">0/165</f>
        <v>0</v>
      </c>
      <c r="AP80" s="209">
        <f t="shared" si="139"/>
        <v>0</v>
      </c>
      <c r="AQ80" s="209">
        <f t="shared" si="229"/>
        <v>0</v>
      </c>
      <c r="AR80" s="53">
        <f t="shared" si="139"/>
        <v>0</v>
      </c>
      <c r="AS80" s="65">
        <f t="shared" si="209"/>
        <v>0</v>
      </c>
      <c r="AT80" s="210">
        <f t="shared" si="209"/>
        <v>0</v>
      </c>
      <c r="AU80" s="210">
        <f t="shared" si="209"/>
        <v>0</v>
      </c>
      <c r="AV80" s="210">
        <f t="shared" si="209"/>
        <v>0</v>
      </c>
      <c r="AW80" s="280">
        <f t="shared" si="209"/>
        <v>0</v>
      </c>
      <c r="AX80" s="210">
        <f t="shared" si="157"/>
        <v>0</v>
      </c>
      <c r="AY80" s="210">
        <f t="shared" si="157"/>
        <v>0</v>
      </c>
      <c r="AZ80" s="210">
        <f t="shared" si="157"/>
        <v>0</v>
      </c>
      <c r="BA80" s="210">
        <f t="shared" si="157"/>
        <v>0</v>
      </c>
      <c r="BB80" s="53">
        <f t="shared" si="157"/>
        <v>0</v>
      </c>
      <c r="BC80" s="58">
        <f t="shared" si="195"/>
        <v>0</v>
      </c>
      <c r="BD80" s="209">
        <f t="shared" si="195"/>
        <v>0</v>
      </c>
      <c r="BE80" s="209">
        <f t="shared" si="195"/>
        <v>0</v>
      </c>
      <c r="BF80" s="209">
        <f t="shared" si="195"/>
        <v>0</v>
      </c>
      <c r="BG80" s="209">
        <f t="shared" si="195"/>
        <v>0</v>
      </c>
      <c r="BH80" s="209">
        <f t="shared" si="195"/>
        <v>0</v>
      </c>
      <c r="BI80" s="209">
        <f t="shared" si="195"/>
        <v>0</v>
      </c>
      <c r="BJ80" s="209">
        <f t="shared" si="196"/>
        <v>0</v>
      </c>
      <c r="BK80" s="209">
        <f t="shared" si="196"/>
        <v>0</v>
      </c>
      <c r="BL80" s="209">
        <f t="shared" si="196"/>
        <v>0</v>
      </c>
      <c r="BM80" s="58">
        <f t="shared" si="210"/>
        <v>0</v>
      </c>
      <c r="BN80" s="209">
        <f t="shared" si="210"/>
        <v>0</v>
      </c>
      <c r="BO80" s="209">
        <f t="shared" si="210"/>
        <v>0</v>
      </c>
      <c r="BP80" s="209">
        <f t="shared" si="210"/>
        <v>0</v>
      </c>
      <c r="BQ80" s="209">
        <f t="shared" si="210"/>
        <v>0</v>
      </c>
      <c r="BR80" s="209">
        <f t="shared" si="210"/>
        <v>0</v>
      </c>
      <c r="BS80" s="209">
        <f t="shared" si="210"/>
        <v>0</v>
      </c>
      <c r="BT80" s="209"/>
      <c r="BU80" s="209"/>
      <c r="BV80" s="209">
        <f t="shared" si="210"/>
        <v>0</v>
      </c>
      <c r="BW80" s="65">
        <f>(3.5)/150</f>
        <v>2.3333333333333334E-2</v>
      </c>
      <c r="BX80" s="209">
        <f>(8.5)/150</f>
        <v>5.6666666666666664E-2</v>
      </c>
      <c r="BY80" s="209">
        <f t="shared" si="211"/>
        <v>0</v>
      </c>
      <c r="BZ80" s="209">
        <f t="shared" si="211"/>
        <v>0</v>
      </c>
      <c r="CA80" s="209">
        <f t="shared" si="211"/>
        <v>0</v>
      </c>
      <c r="CB80" s="209">
        <f t="shared" si="211"/>
        <v>0</v>
      </c>
      <c r="CC80" s="209">
        <f t="shared" si="211"/>
        <v>0</v>
      </c>
      <c r="CD80" s="209">
        <f t="shared" si="211"/>
        <v>0</v>
      </c>
      <c r="CE80" s="209">
        <f>(15)/150</f>
        <v>0.1</v>
      </c>
      <c r="CF80" s="209">
        <f t="shared" si="211"/>
        <v>0</v>
      </c>
      <c r="CG80" s="65">
        <f t="shared" si="226"/>
        <v>0</v>
      </c>
      <c r="CH80" s="209">
        <f t="shared" si="227"/>
        <v>0</v>
      </c>
      <c r="CI80" s="209">
        <f t="shared" si="223"/>
        <v>0</v>
      </c>
      <c r="CJ80" s="209">
        <f t="shared" si="228"/>
        <v>0</v>
      </c>
      <c r="CK80" s="209">
        <f t="shared" si="228"/>
        <v>0</v>
      </c>
      <c r="CL80" s="209">
        <f t="shared" si="220"/>
        <v>0</v>
      </c>
      <c r="CM80" s="209">
        <f t="shared" si="220"/>
        <v>0</v>
      </c>
      <c r="CN80" s="209">
        <f t="shared" si="220"/>
        <v>0</v>
      </c>
      <c r="CO80" s="209">
        <f t="shared" si="217"/>
        <v>0</v>
      </c>
      <c r="CP80" s="209">
        <f t="shared" si="221"/>
        <v>0</v>
      </c>
      <c r="CQ80" s="65">
        <f t="shared" si="148"/>
        <v>0</v>
      </c>
      <c r="CR80" s="209">
        <f t="shared" si="148"/>
        <v>0</v>
      </c>
      <c r="CS80" s="209">
        <f t="shared" si="148"/>
        <v>0</v>
      </c>
      <c r="CT80" s="209">
        <f t="shared" si="148"/>
        <v>0</v>
      </c>
      <c r="CU80" s="209">
        <f t="shared" si="148"/>
        <v>0</v>
      </c>
      <c r="CV80" s="209">
        <f t="shared" si="148"/>
        <v>0</v>
      </c>
      <c r="CW80" s="209">
        <f t="shared" si="148"/>
        <v>0</v>
      </c>
      <c r="CX80" s="65">
        <f t="shared" si="212"/>
        <v>0</v>
      </c>
      <c r="CY80" s="210">
        <f t="shared" si="212"/>
        <v>0</v>
      </c>
      <c r="CZ80" s="210">
        <f t="shared" si="212"/>
        <v>0</v>
      </c>
      <c r="DA80" s="210">
        <f t="shared" si="212"/>
        <v>0</v>
      </c>
      <c r="DB80" s="210">
        <f t="shared" si="212"/>
        <v>0</v>
      </c>
      <c r="DC80" s="210">
        <f t="shared" si="158"/>
        <v>0</v>
      </c>
      <c r="DD80" s="209">
        <f t="shared" si="158"/>
        <v>0</v>
      </c>
      <c r="DE80" s="65">
        <f t="shared" si="204"/>
        <v>0</v>
      </c>
      <c r="DF80" s="210">
        <f t="shared" si="204"/>
        <v>0</v>
      </c>
      <c r="DG80" s="210">
        <f t="shared" si="204"/>
        <v>0</v>
      </c>
      <c r="DH80" s="210">
        <f t="shared" si="204"/>
        <v>0</v>
      </c>
      <c r="DI80" s="210">
        <f t="shared" si="204"/>
        <v>0</v>
      </c>
      <c r="DJ80" s="210">
        <f t="shared" si="159"/>
        <v>0</v>
      </c>
      <c r="DK80" s="210">
        <f t="shared" si="159"/>
        <v>0</v>
      </c>
      <c r="DL80" s="65">
        <f t="shared" si="222"/>
        <v>0</v>
      </c>
      <c r="DM80" s="60">
        <f t="shared" si="222"/>
        <v>0</v>
      </c>
      <c r="DN80" s="60">
        <f t="shared" si="222"/>
        <v>0</v>
      </c>
      <c r="DO80" s="60">
        <f t="shared" si="222"/>
        <v>0</v>
      </c>
      <c r="DP80" s="60">
        <f t="shared" si="222"/>
        <v>0</v>
      </c>
      <c r="DQ80" s="210">
        <f t="shared" si="160"/>
        <v>0</v>
      </c>
      <c r="DR80" s="210">
        <f t="shared" si="160"/>
        <v>0</v>
      </c>
      <c r="DS80" s="210">
        <f t="shared" si="160"/>
        <v>0</v>
      </c>
    </row>
    <row r="81" spans="1:124" ht="26.25" hidden="1" customHeight="1" outlineLevel="1" collapsed="1" x14ac:dyDescent="0.4">
      <c r="A81" s="347">
        <v>38</v>
      </c>
      <c r="B81" s="347" t="s">
        <v>47</v>
      </c>
      <c r="C81" s="347" t="s">
        <v>14</v>
      </c>
      <c r="D81" s="349" t="s">
        <v>436</v>
      </c>
      <c r="E81" s="349" t="s">
        <v>731</v>
      </c>
      <c r="F81" s="349"/>
      <c r="G81" s="563" t="s">
        <v>730</v>
      </c>
      <c r="H81" s="449">
        <f t="shared" ref="H81" si="230">SUM(DE81:DK81)</f>
        <v>0</v>
      </c>
      <c r="I81" s="449">
        <f t="shared" ref="I81" si="231">SUM(DE82:DK82)</f>
        <v>0</v>
      </c>
      <c r="J81" s="447"/>
      <c r="K81" s="445"/>
      <c r="L81" s="445"/>
      <c r="M81" s="428"/>
      <c r="N81" s="21" t="s">
        <v>24</v>
      </c>
      <c r="O81" s="190">
        <f t="shared" si="152"/>
        <v>0</v>
      </c>
      <c r="P81" s="190">
        <f t="shared" si="152"/>
        <v>0</v>
      </c>
      <c r="Q81" s="190">
        <f t="shared" si="152"/>
        <v>0</v>
      </c>
      <c r="R81" s="190">
        <f t="shared" si="152"/>
        <v>0</v>
      </c>
      <c r="S81" s="190">
        <f t="shared" si="152"/>
        <v>0</v>
      </c>
      <c r="T81" s="190">
        <f t="shared" si="152"/>
        <v>0</v>
      </c>
      <c r="U81" s="190">
        <f t="shared" si="152"/>
        <v>0</v>
      </c>
      <c r="V81" s="190">
        <f t="shared" si="97"/>
        <v>0</v>
      </c>
      <c r="W81" s="190">
        <f t="shared" si="97"/>
        <v>0</v>
      </c>
      <c r="X81" s="86">
        <f t="shared" si="152"/>
        <v>0</v>
      </c>
      <c r="Y81" s="190">
        <f t="shared" si="164"/>
        <v>0</v>
      </c>
      <c r="Z81" s="190">
        <f t="shared" si="164"/>
        <v>0</v>
      </c>
      <c r="AA81" s="190">
        <f t="shared" si="164"/>
        <v>0</v>
      </c>
      <c r="AB81" s="190">
        <f t="shared" si="164"/>
        <v>0</v>
      </c>
      <c r="AC81" s="190">
        <f t="shared" si="164"/>
        <v>0</v>
      </c>
      <c r="AD81" s="190">
        <f t="shared" si="164"/>
        <v>0</v>
      </c>
      <c r="AE81" s="190">
        <f t="shared" ref="AE81:AR106" si="232">0/165</f>
        <v>0</v>
      </c>
      <c r="AF81" s="190"/>
      <c r="AG81" s="190">
        <f t="shared" si="232"/>
        <v>0</v>
      </c>
      <c r="AH81" s="190">
        <f t="shared" si="232"/>
        <v>0</v>
      </c>
      <c r="AI81" s="77">
        <f t="shared" si="232"/>
        <v>0</v>
      </c>
      <c r="AJ81" s="190">
        <f t="shared" si="232"/>
        <v>0</v>
      </c>
      <c r="AK81" s="190">
        <f t="shared" si="232"/>
        <v>0</v>
      </c>
      <c r="AL81" s="190">
        <f t="shared" si="232"/>
        <v>0</v>
      </c>
      <c r="AM81" s="190">
        <f t="shared" si="232"/>
        <v>0</v>
      </c>
      <c r="AN81" s="190">
        <f t="shared" si="232"/>
        <v>0</v>
      </c>
      <c r="AO81" s="190">
        <f t="shared" si="232"/>
        <v>0</v>
      </c>
      <c r="AP81" s="190">
        <f t="shared" si="232"/>
        <v>0</v>
      </c>
      <c r="AQ81" s="190">
        <f t="shared" si="232"/>
        <v>0</v>
      </c>
      <c r="AR81" s="225">
        <f t="shared" si="232"/>
        <v>0</v>
      </c>
      <c r="AS81" s="23">
        <f t="shared" si="209"/>
        <v>0</v>
      </c>
      <c r="AT81" s="190">
        <f t="shared" si="209"/>
        <v>0</v>
      </c>
      <c r="AU81" s="190">
        <f t="shared" si="209"/>
        <v>0</v>
      </c>
      <c r="AV81" s="190">
        <f t="shared" si="209"/>
        <v>0</v>
      </c>
      <c r="AW81" s="190">
        <f t="shared" si="209"/>
        <v>0</v>
      </c>
      <c r="AX81" s="190">
        <f t="shared" si="157"/>
        <v>0</v>
      </c>
      <c r="AY81" s="190">
        <f t="shared" si="157"/>
        <v>0</v>
      </c>
      <c r="AZ81" s="190">
        <f t="shared" si="157"/>
        <v>0</v>
      </c>
      <c r="BA81" s="190">
        <f t="shared" si="157"/>
        <v>0</v>
      </c>
      <c r="BB81" s="225">
        <f t="shared" si="157"/>
        <v>0</v>
      </c>
      <c r="BC81" s="77">
        <f t="shared" ref="BC81:BI106" si="233">0/157.5</f>
        <v>0</v>
      </c>
      <c r="BD81" s="190">
        <f t="shared" si="233"/>
        <v>0</v>
      </c>
      <c r="BE81" s="190">
        <f t="shared" si="233"/>
        <v>0</v>
      </c>
      <c r="BF81" s="190">
        <f t="shared" si="233"/>
        <v>0</v>
      </c>
      <c r="BG81" s="190">
        <f t="shared" si="233"/>
        <v>0</v>
      </c>
      <c r="BH81" s="190">
        <f t="shared" si="233"/>
        <v>0</v>
      </c>
      <c r="BI81" s="190">
        <f t="shared" si="233"/>
        <v>0</v>
      </c>
      <c r="BJ81" s="190">
        <f t="shared" si="196"/>
        <v>0</v>
      </c>
      <c r="BK81" s="190">
        <f t="shared" si="196"/>
        <v>0</v>
      </c>
      <c r="BL81" s="190">
        <f t="shared" si="196"/>
        <v>0</v>
      </c>
      <c r="BM81" s="77">
        <f t="shared" si="210"/>
        <v>0</v>
      </c>
      <c r="BN81" s="190">
        <f t="shared" si="210"/>
        <v>0</v>
      </c>
      <c r="BO81" s="190">
        <f t="shared" si="210"/>
        <v>0</v>
      </c>
      <c r="BP81" s="190">
        <f t="shared" si="210"/>
        <v>0</v>
      </c>
      <c r="BQ81" s="190">
        <f t="shared" si="210"/>
        <v>0</v>
      </c>
      <c r="BR81" s="190">
        <f t="shared" si="210"/>
        <v>0</v>
      </c>
      <c r="BS81" s="190">
        <f t="shared" si="210"/>
        <v>0</v>
      </c>
      <c r="BT81" s="190"/>
      <c r="BU81" s="190"/>
      <c r="BV81" s="190">
        <f t="shared" si="210"/>
        <v>0</v>
      </c>
      <c r="BW81" s="23">
        <f>(6)/150</f>
        <v>0.04</v>
      </c>
      <c r="BX81" s="190">
        <f t="shared" si="211"/>
        <v>0</v>
      </c>
      <c r="BY81" s="190">
        <f>(20)/150</f>
        <v>0.13333333333333333</v>
      </c>
      <c r="BZ81" s="190">
        <f>(16)/150</f>
        <v>0.10666666666666667</v>
      </c>
      <c r="CA81" s="190">
        <f t="shared" si="211"/>
        <v>0</v>
      </c>
      <c r="CB81" s="190">
        <f t="shared" si="211"/>
        <v>0</v>
      </c>
      <c r="CC81" s="190">
        <f t="shared" si="211"/>
        <v>0</v>
      </c>
      <c r="CD81" s="190">
        <f>(20)/150</f>
        <v>0.13333333333333333</v>
      </c>
      <c r="CE81" s="190">
        <f t="shared" si="211"/>
        <v>0</v>
      </c>
      <c r="CF81" s="190">
        <f>(20)/150</f>
        <v>0.13333333333333333</v>
      </c>
      <c r="CG81" s="23">
        <f t="shared" si="226"/>
        <v>0</v>
      </c>
      <c r="CH81" s="190">
        <f t="shared" si="227"/>
        <v>0</v>
      </c>
      <c r="CI81" s="190">
        <f t="shared" si="223"/>
        <v>0</v>
      </c>
      <c r="CJ81" s="190">
        <f t="shared" si="228"/>
        <v>0</v>
      </c>
      <c r="CK81" s="190">
        <f t="shared" si="228"/>
        <v>0</v>
      </c>
      <c r="CL81" s="190">
        <f t="shared" si="220"/>
        <v>0</v>
      </c>
      <c r="CM81" s="190">
        <f t="shared" si="220"/>
        <v>0</v>
      </c>
      <c r="CN81" s="190">
        <f t="shared" si="220"/>
        <v>0</v>
      </c>
      <c r="CO81" s="190">
        <f t="shared" si="217"/>
        <v>0</v>
      </c>
      <c r="CP81" s="190">
        <f t="shared" si="221"/>
        <v>0</v>
      </c>
      <c r="CQ81" s="23">
        <f t="shared" si="148"/>
        <v>0</v>
      </c>
      <c r="CR81" s="190">
        <f t="shared" si="148"/>
        <v>0</v>
      </c>
      <c r="CS81" s="190">
        <f t="shared" si="148"/>
        <v>0</v>
      </c>
      <c r="CT81" s="190">
        <f t="shared" si="148"/>
        <v>0</v>
      </c>
      <c r="CU81" s="190">
        <f t="shared" si="148"/>
        <v>0</v>
      </c>
      <c r="CV81" s="190">
        <f t="shared" si="148"/>
        <v>0</v>
      </c>
      <c r="CW81" s="190">
        <f t="shared" si="148"/>
        <v>0</v>
      </c>
      <c r="CX81" s="77">
        <f t="shared" si="212"/>
        <v>0</v>
      </c>
      <c r="CY81" s="190">
        <f t="shared" si="212"/>
        <v>0</v>
      </c>
      <c r="CZ81" s="190">
        <f t="shared" si="212"/>
        <v>0</v>
      </c>
      <c r="DA81" s="190">
        <f t="shared" si="212"/>
        <v>0</v>
      </c>
      <c r="DB81" s="190">
        <f t="shared" si="212"/>
        <v>0</v>
      </c>
      <c r="DC81" s="190">
        <f t="shared" si="158"/>
        <v>0</v>
      </c>
      <c r="DD81" s="190">
        <f t="shared" si="158"/>
        <v>0</v>
      </c>
      <c r="DE81" s="23">
        <f t="shared" si="204"/>
        <v>0</v>
      </c>
      <c r="DF81" s="190">
        <f t="shared" si="204"/>
        <v>0</v>
      </c>
      <c r="DG81" s="190">
        <f t="shared" si="204"/>
        <v>0</v>
      </c>
      <c r="DH81" s="190">
        <f t="shared" si="204"/>
        <v>0</v>
      </c>
      <c r="DI81" s="190">
        <f t="shared" si="204"/>
        <v>0</v>
      </c>
      <c r="DJ81" s="190">
        <f t="shared" si="159"/>
        <v>0</v>
      </c>
      <c r="DK81" s="190">
        <f t="shared" si="159"/>
        <v>0</v>
      </c>
      <c r="DL81" s="23">
        <f t="shared" si="222"/>
        <v>0</v>
      </c>
      <c r="DM81" s="10">
        <f t="shared" si="222"/>
        <v>0</v>
      </c>
      <c r="DN81" s="10">
        <f t="shared" si="222"/>
        <v>0</v>
      </c>
      <c r="DO81" s="10">
        <f t="shared" si="222"/>
        <v>0</v>
      </c>
      <c r="DP81" s="10">
        <f t="shared" si="222"/>
        <v>0</v>
      </c>
      <c r="DQ81" s="190">
        <f t="shared" si="160"/>
        <v>0</v>
      </c>
      <c r="DR81" s="190">
        <f t="shared" si="160"/>
        <v>0</v>
      </c>
      <c r="DS81" s="190">
        <f t="shared" si="160"/>
        <v>0</v>
      </c>
      <c r="DT81" s="54"/>
    </row>
    <row r="82" spans="1:124" ht="26.25" hidden="1" customHeight="1" outlineLevel="1" x14ac:dyDescent="0.4">
      <c r="A82" s="348"/>
      <c r="B82" s="348"/>
      <c r="C82" s="348"/>
      <c r="D82" s="350"/>
      <c r="E82" s="350"/>
      <c r="F82" s="350"/>
      <c r="G82" s="565"/>
      <c r="H82" s="450"/>
      <c r="I82" s="450"/>
      <c r="J82" s="448"/>
      <c r="K82" s="446"/>
      <c r="L82" s="446"/>
      <c r="M82" s="429"/>
      <c r="N82" s="209" t="s">
        <v>25</v>
      </c>
      <c r="O82" s="209">
        <f t="shared" si="152"/>
        <v>0</v>
      </c>
      <c r="P82" s="209">
        <f t="shared" si="152"/>
        <v>0</v>
      </c>
      <c r="Q82" s="209">
        <f t="shared" si="152"/>
        <v>0</v>
      </c>
      <c r="R82" s="209">
        <f t="shared" si="152"/>
        <v>0</v>
      </c>
      <c r="S82" s="209">
        <f t="shared" si="152"/>
        <v>0</v>
      </c>
      <c r="T82" s="209">
        <f t="shared" si="152"/>
        <v>0</v>
      </c>
      <c r="U82" s="209">
        <f t="shared" si="152"/>
        <v>0</v>
      </c>
      <c r="V82" s="209">
        <f t="shared" si="97"/>
        <v>0</v>
      </c>
      <c r="W82" s="209">
        <f t="shared" si="97"/>
        <v>0</v>
      </c>
      <c r="X82" s="53">
        <f t="shared" si="152"/>
        <v>0</v>
      </c>
      <c r="Y82" s="209">
        <f t="shared" si="164"/>
        <v>0</v>
      </c>
      <c r="Z82" s="209">
        <f t="shared" si="164"/>
        <v>0</v>
      </c>
      <c r="AA82" s="209">
        <f t="shared" si="164"/>
        <v>0</v>
      </c>
      <c r="AB82" s="209">
        <f t="shared" si="164"/>
        <v>0</v>
      </c>
      <c r="AC82" s="209">
        <f t="shared" si="164"/>
        <v>0</v>
      </c>
      <c r="AD82" s="209">
        <f t="shared" si="164"/>
        <v>0</v>
      </c>
      <c r="AE82" s="209">
        <f t="shared" si="232"/>
        <v>0</v>
      </c>
      <c r="AF82" s="209"/>
      <c r="AG82" s="209">
        <f t="shared" si="232"/>
        <v>0</v>
      </c>
      <c r="AH82" s="209">
        <f t="shared" si="232"/>
        <v>0</v>
      </c>
      <c r="AI82" s="58">
        <f t="shared" si="232"/>
        <v>0</v>
      </c>
      <c r="AJ82" s="209">
        <f t="shared" si="232"/>
        <v>0</v>
      </c>
      <c r="AK82" s="209">
        <f t="shared" si="232"/>
        <v>0</v>
      </c>
      <c r="AL82" s="209">
        <f t="shared" si="232"/>
        <v>0</v>
      </c>
      <c r="AM82" s="209">
        <f t="shared" si="232"/>
        <v>0</v>
      </c>
      <c r="AN82" s="209">
        <f t="shared" si="232"/>
        <v>0</v>
      </c>
      <c r="AO82" s="209">
        <f t="shared" si="232"/>
        <v>0</v>
      </c>
      <c r="AP82" s="209">
        <f t="shared" si="232"/>
        <v>0</v>
      </c>
      <c r="AQ82" s="209">
        <f t="shared" si="232"/>
        <v>0</v>
      </c>
      <c r="AR82" s="53">
        <f t="shared" si="232"/>
        <v>0</v>
      </c>
      <c r="AS82" s="65">
        <f t="shared" si="209"/>
        <v>0</v>
      </c>
      <c r="AT82" s="210">
        <f t="shared" si="209"/>
        <v>0</v>
      </c>
      <c r="AU82" s="210">
        <f t="shared" si="209"/>
        <v>0</v>
      </c>
      <c r="AV82" s="210">
        <f t="shared" si="209"/>
        <v>0</v>
      </c>
      <c r="AW82" s="280">
        <f t="shared" si="209"/>
        <v>0</v>
      </c>
      <c r="AX82" s="210">
        <f t="shared" si="157"/>
        <v>0</v>
      </c>
      <c r="AY82" s="210">
        <f t="shared" si="157"/>
        <v>0</v>
      </c>
      <c r="AZ82" s="210">
        <f t="shared" si="157"/>
        <v>0</v>
      </c>
      <c r="BA82" s="210">
        <f t="shared" si="157"/>
        <v>0</v>
      </c>
      <c r="BB82" s="53">
        <f t="shared" si="157"/>
        <v>0</v>
      </c>
      <c r="BC82" s="58">
        <f t="shared" si="233"/>
        <v>0</v>
      </c>
      <c r="BD82" s="209">
        <f t="shared" si="233"/>
        <v>0</v>
      </c>
      <c r="BE82" s="209">
        <f t="shared" si="233"/>
        <v>0</v>
      </c>
      <c r="BF82" s="209">
        <f t="shared" si="233"/>
        <v>0</v>
      </c>
      <c r="BG82" s="209">
        <f t="shared" si="233"/>
        <v>0</v>
      </c>
      <c r="BH82" s="209">
        <f t="shared" si="233"/>
        <v>0</v>
      </c>
      <c r="BI82" s="209">
        <f t="shared" si="233"/>
        <v>0</v>
      </c>
      <c r="BJ82" s="209">
        <f t="shared" si="196"/>
        <v>0</v>
      </c>
      <c r="BK82" s="209">
        <f t="shared" si="196"/>
        <v>0</v>
      </c>
      <c r="BL82" s="209">
        <f t="shared" si="196"/>
        <v>0</v>
      </c>
      <c r="BM82" s="58">
        <f t="shared" si="210"/>
        <v>0</v>
      </c>
      <c r="BN82" s="209">
        <f t="shared" si="210"/>
        <v>0</v>
      </c>
      <c r="BO82" s="209">
        <f t="shared" si="210"/>
        <v>0</v>
      </c>
      <c r="BP82" s="209">
        <f t="shared" si="210"/>
        <v>0</v>
      </c>
      <c r="BQ82" s="209">
        <f t="shared" si="210"/>
        <v>0</v>
      </c>
      <c r="BR82" s="209">
        <f t="shared" si="210"/>
        <v>0</v>
      </c>
      <c r="BS82" s="209">
        <f t="shared" si="210"/>
        <v>0</v>
      </c>
      <c r="BT82" s="209"/>
      <c r="BU82" s="209"/>
      <c r="BV82" s="209">
        <f t="shared" si="210"/>
        <v>0</v>
      </c>
      <c r="BW82" s="65">
        <f>(0+1+4)/150</f>
        <v>3.3333333333333333E-2</v>
      </c>
      <c r="BX82" s="209">
        <f t="shared" si="211"/>
        <v>0</v>
      </c>
      <c r="BY82" s="209">
        <f>(0+9+16)/150</f>
        <v>0.16666666666666666</v>
      </c>
      <c r="BZ82" s="209">
        <f>(0+4.5)/150</f>
        <v>0.03</v>
      </c>
      <c r="CA82" s="209">
        <f t="shared" si="211"/>
        <v>0</v>
      </c>
      <c r="CB82" s="209">
        <f t="shared" si="211"/>
        <v>0</v>
      </c>
      <c r="CC82" s="209">
        <f t="shared" si="211"/>
        <v>0</v>
      </c>
      <c r="CD82" s="209">
        <f>(0+20.5)/150</f>
        <v>0.13666666666666666</v>
      </c>
      <c r="CE82" s="209">
        <f t="shared" si="211"/>
        <v>0</v>
      </c>
      <c r="CF82" s="209">
        <f>(0+14+12.5)/150</f>
        <v>0.17666666666666667</v>
      </c>
      <c r="CG82" s="65">
        <f t="shared" si="226"/>
        <v>0</v>
      </c>
      <c r="CH82" s="209">
        <f t="shared" si="227"/>
        <v>0</v>
      </c>
      <c r="CI82" s="209">
        <f t="shared" si="223"/>
        <v>0</v>
      </c>
      <c r="CJ82" s="209">
        <f t="shared" si="228"/>
        <v>0</v>
      </c>
      <c r="CK82" s="209">
        <f t="shared" si="228"/>
        <v>0</v>
      </c>
      <c r="CL82" s="209">
        <f t="shared" si="220"/>
        <v>0</v>
      </c>
      <c r="CM82" s="209">
        <f t="shared" si="220"/>
        <v>0</v>
      </c>
      <c r="CN82" s="209">
        <f t="shared" si="220"/>
        <v>0</v>
      </c>
      <c r="CO82" s="209">
        <f t="shared" si="217"/>
        <v>0</v>
      </c>
      <c r="CP82" s="209">
        <f t="shared" si="221"/>
        <v>0</v>
      </c>
      <c r="CQ82" s="65">
        <f t="shared" si="148"/>
        <v>0</v>
      </c>
      <c r="CR82" s="209">
        <f t="shared" si="148"/>
        <v>0</v>
      </c>
      <c r="CS82" s="209">
        <f t="shared" si="148"/>
        <v>0</v>
      </c>
      <c r="CT82" s="209">
        <f t="shared" si="148"/>
        <v>0</v>
      </c>
      <c r="CU82" s="209">
        <f t="shared" si="148"/>
        <v>0</v>
      </c>
      <c r="CV82" s="209">
        <f t="shared" si="148"/>
        <v>0</v>
      </c>
      <c r="CW82" s="209">
        <f t="shared" si="148"/>
        <v>0</v>
      </c>
      <c r="CX82" s="65">
        <f t="shared" si="212"/>
        <v>0</v>
      </c>
      <c r="CY82" s="210">
        <f t="shared" si="212"/>
        <v>0</v>
      </c>
      <c r="CZ82" s="210">
        <f t="shared" si="212"/>
        <v>0</v>
      </c>
      <c r="DA82" s="210">
        <f t="shared" si="212"/>
        <v>0</v>
      </c>
      <c r="DB82" s="210">
        <f t="shared" si="212"/>
        <v>0</v>
      </c>
      <c r="DC82" s="210">
        <f t="shared" si="158"/>
        <v>0</v>
      </c>
      <c r="DD82" s="209">
        <f t="shared" si="158"/>
        <v>0</v>
      </c>
      <c r="DE82" s="65">
        <f t="shared" si="204"/>
        <v>0</v>
      </c>
      <c r="DF82" s="210">
        <f t="shared" si="204"/>
        <v>0</v>
      </c>
      <c r="DG82" s="210">
        <f t="shared" si="204"/>
        <v>0</v>
      </c>
      <c r="DH82" s="210">
        <f t="shared" si="204"/>
        <v>0</v>
      </c>
      <c r="DI82" s="210">
        <f t="shared" si="204"/>
        <v>0</v>
      </c>
      <c r="DJ82" s="210">
        <f t="shared" si="159"/>
        <v>0</v>
      </c>
      <c r="DK82" s="210">
        <f t="shared" si="159"/>
        <v>0</v>
      </c>
      <c r="DL82" s="65">
        <f t="shared" si="222"/>
        <v>0</v>
      </c>
      <c r="DM82" s="60">
        <f t="shared" si="222"/>
        <v>0</v>
      </c>
      <c r="DN82" s="60">
        <f t="shared" si="222"/>
        <v>0</v>
      </c>
      <c r="DO82" s="60">
        <f t="shared" si="222"/>
        <v>0</v>
      </c>
      <c r="DP82" s="60">
        <f t="shared" si="222"/>
        <v>0</v>
      </c>
      <c r="DQ82" s="210">
        <f t="shared" si="160"/>
        <v>0</v>
      </c>
      <c r="DR82" s="210">
        <f t="shared" si="160"/>
        <v>0</v>
      </c>
      <c r="DS82" s="210">
        <f t="shared" si="160"/>
        <v>0</v>
      </c>
    </row>
    <row r="83" spans="1:124" ht="26.25" hidden="1" customHeight="1" outlineLevel="1" collapsed="1" x14ac:dyDescent="0.4">
      <c r="A83" s="347">
        <v>39</v>
      </c>
      <c r="B83" s="347" t="s">
        <v>47</v>
      </c>
      <c r="C83" s="347" t="s">
        <v>14</v>
      </c>
      <c r="D83" s="349" t="s">
        <v>735</v>
      </c>
      <c r="E83" s="349" t="s">
        <v>732</v>
      </c>
      <c r="F83" s="349"/>
      <c r="G83" s="563" t="s">
        <v>733</v>
      </c>
      <c r="H83" s="449">
        <f t="shared" ref="H83" si="234">SUM(DE83:DK83)</f>
        <v>0</v>
      </c>
      <c r="I83" s="449">
        <f t="shared" ref="I83" si="235">SUM(DE84:DK84)</f>
        <v>0</v>
      </c>
      <c r="J83" s="447"/>
      <c r="K83" s="445"/>
      <c r="L83" s="445"/>
      <c r="M83" s="428"/>
      <c r="N83" s="21" t="s">
        <v>24</v>
      </c>
      <c r="O83" s="190">
        <f t="shared" si="152"/>
        <v>0</v>
      </c>
      <c r="P83" s="190">
        <f t="shared" si="152"/>
        <v>0</v>
      </c>
      <c r="Q83" s="190">
        <f t="shared" si="152"/>
        <v>0</v>
      </c>
      <c r="R83" s="190">
        <f t="shared" si="152"/>
        <v>0</v>
      </c>
      <c r="S83" s="190">
        <f t="shared" si="152"/>
        <v>0</v>
      </c>
      <c r="T83" s="190">
        <f t="shared" si="152"/>
        <v>0</v>
      </c>
      <c r="U83" s="190">
        <f t="shared" si="152"/>
        <v>0</v>
      </c>
      <c r="V83" s="190">
        <f t="shared" si="97"/>
        <v>0</v>
      </c>
      <c r="W83" s="190">
        <f t="shared" si="97"/>
        <v>0</v>
      </c>
      <c r="X83" s="86">
        <f t="shared" si="152"/>
        <v>0</v>
      </c>
      <c r="Y83" s="190">
        <f t="shared" si="164"/>
        <v>0</v>
      </c>
      <c r="Z83" s="190">
        <f t="shared" si="164"/>
        <v>0</v>
      </c>
      <c r="AA83" s="190">
        <f t="shared" si="164"/>
        <v>0</v>
      </c>
      <c r="AB83" s="190">
        <f t="shared" si="164"/>
        <v>0</v>
      </c>
      <c r="AC83" s="190">
        <f t="shared" si="164"/>
        <v>0</v>
      </c>
      <c r="AD83" s="190">
        <f t="shared" si="164"/>
        <v>0</v>
      </c>
      <c r="AE83" s="190">
        <f t="shared" si="232"/>
        <v>0</v>
      </c>
      <c r="AF83" s="190"/>
      <c r="AG83" s="190">
        <f t="shared" si="232"/>
        <v>0</v>
      </c>
      <c r="AH83" s="190">
        <f t="shared" si="232"/>
        <v>0</v>
      </c>
      <c r="AI83" s="77">
        <f t="shared" si="232"/>
        <v>0</v>
      </c>
      <c r="AJ83" s="190">
        <f t="shared" si="232"/>
        <v>0</v>
      </c>
      <c r="AK83" s="190">
        <f t="shared" si="232"/>
        <v>0</v>
      </c>
      <c r="AL83" s="190">
        <f t="shared" si="232"/>
        <v>0</v>
      </c>
      <c r="AM83" s="190">
        <f t="shared" si="232"/>
        <v>0</v>
      </c>
      <c r="AN83" s="190">
        <f t="shared" si="232"/>
        <v>0</v>
      </c>
      <c r="AO83" s="190">
        <f t="shared" si="232"/>
        <v>0</v>
      </c>
      <c r="AP83" s="190">
        <f t="shared" si="232"/>
        <v>0</v>
      </c>
      <c r="AQ83" s="190">
        <f t="shared" si="232"/>
        <v>0</v>
      </c>
      <c r="AR83" s="225">
        <f t="shared" si="232"/>
        <v>0</v>
      </c>
      <c r="AS83" s="23">
        <f t="shared" ref="AS83:AW106" si="236">0/150</f>
        <v>0</v>
      </c>
      <c r="AT83" s="190">
        <f t="shared" si="236"/>
        <v>0</v>
      </c>
      <c r="AU83" s="190">
        <f t="shared" si="209"/>
        <v>0</v>
      </c>
      <c r="AV83" s="190">
        <f t="shared" si="209"/>
        <v>0</v>
      </c>
      <c r="AW83" s="190">
        <f t="shared" si="236"/>
        <v>0</v>
      </c>
      <c r="AX83" s="190">
        <f t="shared" si="157"/>
        <v>0</v>
      </c>
      <c r="AY83" s="190">
        <f t="shared" si="157"/>
        <v>0</v>
      </c>
      <c r="AZ83" s="190">
        <f t="shared" si="157"/>
        <v>0</v>
      </c>
      <c r="BA83" s="190">
        <f t="shared" si="157"/>
        <v>0</v>
      </c>
      <c r="BB83" s="225">
        <f t="shared" si="157"/>
        <v>0</v>
      </c>
      <c r="BC83" s="77">
        <f t="shared" si="233"/>
        <v>0</v>
      </c>
      <c r="BD83" s="190">
        <f t="shared" si="233"/>
        <v>0</v>
      </c>
      <c r="BE83" s="190">
        <f t="shared" si="233"/>
        <v>0</v>
      </c>
      <c r="BF83" s="190">
        <f t="shared" si="233"/>
        <v>0</v>
      </c>
      <c r="BG83" s="190">
        <f t="shared" si="233"/>
        <v>0</v>
      </c>
      <c r="BH83" s="190">
        <f t="shared" si="233"/>
        <v>0</v>
      </c>
      <c r="BI83" s="190">
        <f t="shared" si="233"/>
        <v>0</v>
      </c>
      <c r="BJ83" s="190">
        <f t="shared" si="196"/>
        <v>0</v>
      </c>
      <c r="BK83" s="190">
        <f t="shared" si="196"/>
        <v>0</v>
      </c>
      <c r="BL83" s="190">
        <f t="shared" si="196"/>
        <v>0</v>
      </c>
      <c r="BM83" s="77">
        <f t="shared" si="210"/>
        <v>0</v>
      </c>
      <c r="BN83" s="190">
        <f t="shared" si="210"/>
        <v>0</v>
      </c>
      <c r="BO83" s="190">
        <f t="shared" si="210"/>
        <v>0</v>
      </c>
      <c r="BP83" s="190">
        <f t="shared" si="210"/>
        <v>0</v>
      </c>
      <c r="BQ83" s="190">
        <f t="shared" si="210"/>
        <v>0</v>
      </c>
      <c r="BR83" s="190">
        <f t="shared" si="210"/>
        <v>0</v>
      </c>
      <c r="BS83" s="190">
        <f t="shared" si="210"/>
        <v>0</v>
      </c>
      <c r="BT83" s="190"/>
      <c r="BU83" s="190"/>
      <c r="BV83" s="190">
        <f t="shared" si="210"/>
        <v>0</v>
      </c>
      <c r="BW83" s="23">
        <f>(5)/150</f>
        <v>3.3333333333333333E-2</v>
      </c>
      <c r="BX83" s="190">
        <f t="shared" si="211"/>
        <v>0</v>
      </c>
      <c r="BY83" s="190">
        <f>(25)/150</f>
        <v>0.16666666666666666</v>
      </c>
      <c r="BZ83" s="190">
        <f t="shared" si="211"/>
        <v>0</v>
      </c>
      <c r="CA83" s="190">
        <f t="shared" si="211"/>
        <v>0</v>
      </c>
      <c r="CB83" s="190">
        <f t="shared" si="211"/>
        <v>0</v>
      </c>
      <c r="CC83" s="190">
        <f t="shared" si="211"/>
        <v>0</v>
      </c>
      <c r="CD83" s="190">
        <f t="shared" si="211"/>
        <v>0</v>
      </c>
      <c r="CE83" s="190">
        <f>(25)/150</f>
        <v>0.16666666666666666</v>
      </c>
      <c r="CF83" s="190">
        <f t="shared" si="211"/>
        <v>0</v>
      </c>
      <c r="CG83" s="23">
        <f>(10)/135</f>
        <v>7.407407407407407E-2</v>
      </c>
      <c r="CH83" s="190">
        <f>(5)/135</f>
        <v>3.7037037037037035E-2</v>
      </c>
      <c r="CI83" s="190">
        <f>(30)/135</f>
        <v>0.22222222222222221</v>
      </c>
      <c r="CJ83" s="190">
        <f>(40)/135</f>
        <v>0.29629629629629628</v>
      </c>
      <c r="CK83" s="190">
        <f t="shared" si="228"/>
        <v>0</v>
      </c>
      <c r="CL83" s="190">
        <f>(30)/135</f>
        <v>0.22222222222222221</v>
      </c>
      <c r="CM83" s="190">
        <f t="shared" si="220"/>
        <v>0</v>
      </c>
      <c r="CN83" s="190">
        <f>(40)/135</f>
        <v>0.29629629629629628</v>
      </c>
      <c r="CO83" s="190">
        <f>(40)/135</f>
        <v>0.29629629629629628</v>
      </c>
      <c r="CP83" s="190">
        <f>(30)/135</f>
        <v>0.22222222222222221</v>
      </c>
      <c r="CQ83" s="23">
        <f>(13)/150</f>
        <v>8.666666666666667E-2</v>
      </c>
      <c r="CR83" s="190">
        <f t="shared" ref="CR83:CT84" si="237">(0)/150</f>
        <v>0</v>
      </c>
      <c r="CS83" s="190">
        <f>(70)/150</f>
        <v>0.46666666666666667</v>
      </c>
      <c r="CT83" s="190">
        <f t="shared" si="237"/>
        <v>0</v>
      </c>
      <c r="CU83" s="190">
        <f>(10)/150</f>
        <v>6.6666666666666666E-2</v>
      </c>
      <c r="CV83" s="190">
        <f>(70)/150</f>
        <v>0.46666666666666667</v>
      </c>
      <c r="CW83" s="190">
        <f>(50)/150</f>
        <v>0.33333333333333331</v>
      </c>
      <c r="CX83" s="77">
        <f>(3)/157.5</f>
        <v>1.9047619047619049E-2</v>
      </c>
      <c r="CY83" s="190">
        <f>(1)/157.5</f>
        <v>6.3492063492063492E-3</v>
      </c>
      <c r="CZ83" s="190">
        <f t="shared" ref="CZ83:DB84" si="238">(0)/157.5</f>
        <v>0</v>
      </c>
      <c r="DA83" s="190">
        <f t="shared" si="238"/>
        <v>0</v>
      </c>
      <c r="DB83" s="190">
        <f t="shared" si="238"/>
        <v>0</v>
      </c>
      <c r="DC83" s="190">
        <f>(3)/157.5</f>
        <v>1.9047619047619049E-2</v>
      </c>
      <c r="DD83" s="190">
        <f>(3)/157.5</f>
        <v>1.9047619047619049E-2</v>
      </c>
      <c r="DE83" s="23">
        <f>(0)/127.5</f>
        <v>0</v>
      </c>
      <c r="DF83" s="190">
        <f>(0)/127.5</f>
        <v>0</v>
      </c>
      <c r="DG83" s="190">
        <f t="shared" ref="DG83:DK84" si="239">(0)/127.5</f>
        <v>0</v>
      </c>
      <c r="DH83" s="190">
        <f t="shared" si="239"/>
        <v>0</v>
      </c>
      <c r="DI83" s="190">
        <f t="shared" si="239"/>
        <v>0</v>
      </c>
      <c r="DJ83" s="190">
        <f t="shared" si="239"/>
        <v>0</v>
      </c>
      <c r="DK83" s="190">
        <f t="shared" si="239"/>
        <v>0</v>
      </c>
      <c r="DL83" s="23">
        <f t="shared" si="222"/>
        <v>0</v>
      </c>
      <c r="DM83" s="10">
        <f t="shared" si="222"/>
        <v>0</v>
      </c>
      <c r="DN83" s="10">
        <f t="shared" si="222"/>
        <v>0</v>
      </c>
      <c r="DO83" s="10">
        <f t="shared" si="222"/>
        <v>0</v>
      </c>
      <c r="DP83" s="10">
        <f t="shared" si="222"/>
        <v>0</v>
      </c>
      <c r="DQ83" s="190">
        <f t="shared" si="160"/>
        <v>0</v>
      </c>
      <c r="DR83" s="190">
        <f t="shared" si="160"/>
        <v>0</v>
      </c>
      <c r="DS83" s="190">
        <f t="shared" si="160"/>
        <v>0</v>
      </c>
      <c r="DT83" s="54"/>
    </row>
    <row r="84" spans="1:124" ht="26.25" hidden="1" customHeight="1" outlineLevel="1" x14ac:dyDescent="0.4">
      <c r="A84" s="348"/>
      <c r="B84" s="348"/>
      <c r="C84" s="348"/>
      <c r="D84" s="350"/>
      <c r="E84" s="350"/>
      <c r="F84" s="350"/>
      <c r="G84" s="565"/>
      <c r="H84" s="450"/>
      <c r="I84" s="450"/>
      <c r="J84" s="448"/>
      <c r="K84" s="446"/>
      <c r="L84" s="446"/>
      <c r="M84" s="429"/>
      <c r="N84" s="209" t="s">
        <v>25</v>
      </c>
      <c r="O84" s="209">
        <f t="shared" si="152"/>
        <v>0</v>
      </c>
      <c r="P84" s="209">
        <f t="shared" si="152"/>
        <v>0</v>
      </c>
      <c r="Q84" s="209">
        <f t="shared" si="152"/>
        <v>0</v>
      </c>
      <c r="R84" s="209">
        <f t="shared" si="152"/>
        <v>0</v>
      </c>
      <c r="S84" s="209">
        <f t="shared" si="152"/>
        <v>0</v>
      </c>
      <c r="T84" s="209">
        <f t="shared" si="152"/>
        <v>0</v>
      </c>
      <c r="U84" s="209">
        <f t="shared" si="152"/>
        <v>0</v>
      </c>
      <c r="V84" s="209">
        <f t="shared" si="97"/>
        <v>0</v>
      </c>
      <c r="W84" s="209">
        <f t="shared" si="97"/>
        <v>0</v>
      </c>
      <c r="X84" s="53">
        <f t="shared" si="152"/>
        <v>0</v>
      </c>
      <c r="Y84" s="209">
        <f t="shared" si="164"/>
        <v>0</v>
      </c>
      <c r="Z84" s="209">
        <f t="shared" si="164"/>
        <v>0</v>
      </c>
      <c r="AA84" s="209">
        <f t="shared" si="164"/>
        <v>0</v>
      </c>
      <c r="AB84" s="209">
        <f t="shared" si="164"/>
        <v>0</v>
      </c>
      <c r="AC84" s="209">
        <f t="shared" si="164"/>
        <v>0</v>
      </c>
      <c r="AD84" s="209">
        <f t="shared" si="164"/>
        <v>0</v>
      </c>
      <c r="AE84" s="209">
        <f t="shared" si="232"/>
        <v>0</v>
      </c>
      <c r="AF84" s="209"/>
      <c r="AG84" s="209">
        <f t="shared" si="232"/>
        <v>0</v>
      </c>
      <c r="AH84" s="209">
        <f t="shared" si="232"/>
        <v>0</v>
      </c>
      <c r="AI84" s="58">
        <f t="shared" si="232"/>
        <v>0</v>
      </c>
      <c r="AJ84" s="209">
        <f t="shared" si="232"/>
        <v>0</v>
      </c>
      <c r="AK84" s="209">
        <f t="shared" si="232"/>
        <v>0</v>
      </c>
      <c r="AL84" s="209">
        <f t="shared" si="232"/>
        <v>0</v>
      </c>
      <c r="AM84" s="209">
        <f t="shared" si="232"/>
        <v>0</v>
      </c>
      <c r="AN84" s="209">
        <f t="shared" si="232"/>
        <v>0</v>
      </c>
      <c r="AO84" s="209">
        <f t="shared" si="232"/>
        <v>0</v>
      </c>
      <c r="AP84" s="209">
        <f t="shared" si="232"/>
        <v>0</v>
      </c>
      <c r="AQ84" s="209">
        <f t="shared" si="232"/>
        <v>0</v>
      </c>
      <c r="AR84" s="53">
        <f t="shared" si="232"/>
        <v>0</v>
      </c>
      <c r="AS84" s="65">
        <f t="shared" si="236"/>
        <v>0</v>
      </c>
      <c r="AT84" s="210">
        <f t="shared" si="236"/>
        <v>0</v>
      </c>
      <c r="AU84" s="210">
        <f t="shared" si="209"/>
        <v>0</v>
      </c>
      <c r="AV84" s="210">
        <f t="shared" si="209"/>
        <v>0</v>
      </c>
      <c r="AW84" s="280">
        <f t="shared" si="236"/>
        <v>0</v>
      </c>
      <c r="AX84" s="210">
        <f t="shared" si="157"/>
        <v>0</v>
      </c>
      <c r="AY84" s="210">
        <f t="shared" si="157"/>
        <v>0</v>
      </c>
      <c r="AZ84" s="210">
        <f t="shared" si="157"/>
        <v>0</v>
      </c>
      <c r="BA84" s="210">
        <f t="shared" si="157"/>
        <v>0</v>
      </c>
      <c r="BB84" s="53">
        <f t="shared" si="157"/>
        <v>0</v>
      </c>
      <c r="BC84" s="58">
        <f t="shared" si="233"/>
        <v>0</v>
      </c>
      <c r="BD84" s="209">
        <f t="shared" si="233"/>
        <v>0</v>
      </c>
      <c r="BE84" s="209">
        <f t="shared" si="233"/>
        <v>0</v>
      </c>
      <c r="BF84" s="209">
        <f t="shared" si="233"/>
        <v>0</v>
      </c>
      <c r="BG84" s="209">
        <f t="shared" si="233"/>
        <v>0</v>
      </c>
      <c r="BH84" s="209">
        <f t="shared" si="233"/>
        <v>0</v>
      </c>
      <c r="BI84" s="209">
        <f t="shared" si="233"/>
        <v>0</v>
      </c>
      <c r="BJ84" s="209">
        <f t="shared" si="196"/>
        <v>0</v>
      </c>
      <c r="BK84" s="209">
        <f t="shared" si="196"/>
        <v>0</v>
      </c>
      <c r="BL84" s="209">
        <f t="shared" si="196"/>
        <v>0</v>
      </c>
      <c r="BM84" s="58">
        <f t="shared" si="210"/>
        <v>0</v>
      </c>
      <c r="BN84" s="209">
        <f t="shared" si="210"/>
        <v>0</v>
      </c>
      <c r="BO84" s="209">
        <f t="shared" si="210"/>
        <v>0</v>
      </c>
      <c r="BP84" s="209">
        <f t="shared" si="210"/>
        <v>0</v>
      </c>
      <c r="BQ84" s="209">
        <f t="shared" si="210"/>
        <v>0</v>
      </c>
      <c r="BR84" s="209">
        <f t="shared" si="210"/>
        <v>0</v>
      </c>
      <c r="BS84" s="209">
        <f t="shared" si="210"/>
        <v>0</v>
      </c>
      <c r="BT84" s="209"/>
      <c r="BU84" s="209"/>
      <c r="BV84" s="209">
        <f t="shared" si="210"/>
        <v>0</v>
      </c>
      <c r="BW84" s="65">
        <f>(1+2+1)/150</f>
        <v>2.6666666666666668E-2</v>
      </c>
      <c r="BX84" s="209">
        <f t="shared" si="211"/>
        <v>0</v>
      </c>
      <c r="BY84" s="209">
        <f>(1.5+9.5+6)/150</f>
        <v>0.11333333333333333</v>
      </c>
      <c r="BZ84" s="209">
        <f t="shared" si="211"/>
        <v>0</v>
      </c>
      <c r="CA84" s="209">
        <f t="shared" si="211"/>
        <v>0</v>
      </c>
      <c r="CB84" s="209">
        <f t="shared" si="211"/>
        <v>0</v>
      </c>
      <c r="CC84" s="209">
        <f t="shared" si="211"/>
        <v>0</v>
      </c>
      <c r="CD84" s="209">
        <f t="shared" si="211"/>
        <v>0</v>
      </c>
      <c r="CE84" s="209">
        <f>(6+15.5+10)/150</f>
        <v>0.21</v>
      </c>
      <c r="CF84" s="209">
        <f t="shared" si="211"/>
        <v>0</v>
      </c>
      <c r="CG84" s="65">
        <f>(1+3+8+3.5)/135</f>
        <v>0.11481481481481481</v>
      </c>
      <c r="CH84" s="209">
        <f>(0+4.5)/135</f>
        <v>3.3333333333333333E-2</v>
      </c>
      <c r="CI84" s="209">
        <f>(15.5+6.5+22.5+8)/135</f>
        <v>0.3888888888888889</v>
      </c>
      <c r="CJ84" s="209">
        <f>(0+8.5+24.5+5)/135</f>
        <v>0.2814814814814815</v>
      </c>
      <c r="CK84" s="209">
        <f t="shared" si="228"/>
        <v>0</v>
      </c>
      <c r="CL84" s="209">
        <f>(0+17.5+4.5)/135</f>
        <v>0.16296296296296298</v>
      </c>
      <c r="CM84" s="209">
        <f t="shared" si="220"/>
        <v>0</v>
      </c>
      <c r="CN84" s="209">
        <f>(12.5+0.5+20+6.5)/135</f>
        <v>0.29259259259259257</v>
      </c>
      <c r="CO84" s="209">
        <f>(7+11+13+2+4.5)/135</f>
        <v>0.27777777777777779</v>
      </c>
      <c r="CP84" s="209">
        <f>(0+12)/135</f>
        <v>8.8888888888888892E-2</v>
      </c>
      <c r="CQ84" s="65">
        <f>(4.5+2.5+4.75+1.5+2)/150</f>
        <v>0.10166666666666667</v>
      </c>
      <c r="CR84" s="209">
        <f t="shared" si="237"/>
        <v>0</v>
      </c>
      <c r="CS84" s="209">
        <f>(15+24.5+11.5+15.5+5)/150</f>
        <v>0.47666666666666668</v>
      </c>
      <c r="CT84" s="209">
        <f t="shared" si="237"/>
        <v>0</v>
      </c>
      <c r="CU84" s="209">
        <f>(0+5+5)/150</f>
        <v>6.6666666666666666E-2</v>
      </c>
      <c r="CV84" s="209">
        <f>(10+22+9+27.5+5)/150</f>
        <v>0.49</v>
      </c>
      <c r="CW84" s="209">
        <f>(8+13.5+6.5+7)/150</f>
        <v>0.23333333333333334</v>
      </c>
      <c r="CX84" s="65">
        <f>(2+1)/157.5</f>
        <v>1.9047619047619049E-2</v>
      </c>
      <c r="CY84" s="210">
        <f>(2)/157.5</f>
        <v>1.2698412698412698E-2</v>
      </c>
      <c r="CZ84" s="210">
        <f t="shared" si="238"/>
        <v>0</v>
      </c>
      <c r="DA84" s="210">
        <f t="shared" si="238"/>
        <v>0</v>
      </c>
      <c r="DB84" s="210">
        <f t="shared" si="238"/>
        <v>0</v>
      </c>
      <c r="DC84" s="210">
        <f>(3)/157.5</f>
        <v>1.9047619047619049E-2</v>
      </c>
      <c r="DD84" s="209">
        <f>(3)/157.5</f>
        <v>1.9047619047619049E-2</v>
      </c>
      <c r="DE84" s="65">
        <f>(0)/127.5</f>
        <v>0</v>
      </c>
      <c r="DF84" s="210">
        <f>(0)/127.5</f>
        <v>0</v>
      </c>
      <c r="DG84" s="210">
        <f t="shared" si="239"/>
        <v>0</v>
      </c>
      <c r="DH84" s="210">
        <f t="shared" si="239"/>
        <v>0</v>
      </c>
      <c r="DI84" s="210">
        <f t="shared" si="239"/>
        <v>0</v>
      </c>
      <c r="DJ84" s="210">
        <f t="shared" si="239"/>
        <v>0</v>
      </c>
      <c r="DK84" s="210">
        <f t="shared" si="239"/>
        <v>0</v>
      </c>
      <c r="DL84" s="65">
        <f t="shared" si="222"/>
        <v>0</v>
      </c>
      <c r="DM84" s="60">
        <f t="shared" si="222"/>
        <v>0</v>
      </c>
      <c r="DN84" s="60">
        <f t="shared" si="222"/>
        <v>0</v>
      </c>
      <c r="DO84" s="60">
        <f t="shared" si="222"/>
        <v>0</v>
      </c>
      <c r="DP84" s="60">
        <f t="shared" si="222"/>
        <v>0</v>
      </c>
      <c r="DQ84" s="210">
        <f t="shared" si="160"/>
        <v>0</v>
      </c>
      <c r="DR84" s="210">
        <f t="shared" si="160"/>
        <v>0</v>
      </c>
      <c r="DS84" s="210">
        <f t="shared" si="160"/>
        <v>0</v>
      </c>
    </row>
    <row r="85" spans="1:124" ht="26.25" hidden="1" customHeight="1" outlineLevel="1" x14ac:dyDescent="0.4">
      <c r="A85" s="347">
        <v>40</v>
      </c>
      <c r="B85" s="347" t="s">
        <v>47</v>
      </c>
      <c r="C85" s="347" t="s">
        <v>347</v>
      </c>
      <c r="D85" s="349" t="s">
        <v>348</v>
      </c>
      <c r="E85" s="349" t="s">
        <v>766</v>
      </c>
      <c r="F85" s="349"/>
      <c r="G85" s="563" t="s">
        <v>769</v>
      </c>
      <c r="H85" s="449">
        <f t="shared" ref="H85" si="240">SUM(DE85:DK85)</f>
        <v>0</v>
      </c>
      <c r="I85" s="449">
        <f t="shared" ref="I85" si="241">SUM(DE86:DK86)</f>
        <v>0</v>
      </c>
      <c r="J85" s="447"/>
      <c r="K85" s="445"/>
      <c r="L85" s="445"/>
      <c r="M85" s="428"/>
      <c r="N85" s="21" t="s">
        <v>24</v>
      </c>
      <c r="O85" s="190">
        <f t="shared" si="152"/>
        <v>0</v>
      </c>
      <c r="P85" s="190">
        <f t="shared" si="152"/>
        <v>0</v>
      </c>
      <c r="Q85" s="190">
        <f t="shared" si="152"/>
        <v>0</v>
      </c>
      <c r="R85" s="190">
        <f t="shared" si="152"/>
        <v>0</v>
      </c>
      <c r="S85" s="190">
        <f t="shared" si="152"/>
        <v>0</v>
      </c>
      <c r="T85" s="190">
        <f t="shared" si="152"/>
        <v>0</v>
      </c>
      <c r="U85" s="190">
        <f t="shared" si="152"/>
        <v>0</v>
      </c>
      <c r="V85" s="190">
        <f t="shared" si="97"/>
        <v>0</v>
      </c>
      <c r="W85" s="190">
        <f t="shared" si="97"/>
        <v>0</v>
      </c>
      <c r="X85" s="86">
        <f t="shared" si="152"/>
        <v>0</v>
      </c>
      <c r="Y85" s="190">
        <f t="shared" si="164"/>
        <v>0</v>
      </c>
      <c r="Z85" s="190">
        <f t="shared" si="164"/>
        <v>0</v>
      </c>
      <c r="AA85" s="190">
        <f t="shared" si="164"/>
        <v>0</v>
      </c>
      <c r="AB85" s="190">
        <f t="shared" si="164"/>
        <v>0</v>
      </c>
      <c r="AC85" s="190">
        <f t="shared" si="164"/>
        <v>0</v>
      </c>
      <c r="AD85" s="190">
        <f t="shared" si="164"/>
        <v>0</v>
      </c>
      <c r="AE85" s="190">
        <f t="shared" si="232"/>
        <v>0</v>
      </c>
      <c r="AF85" s="190"/>
      <c r="AG85" s="190">
        <f t="shared" si="232"/>
        <v>0</v>
      </c>
      <c r="AH85" s="190">
        <f t="shared" si="232"/>
        <v>0</v>
      </c>
      <c r="AI85" s="77">
        <f t="shared" si="232"/>
        <v>0</v>
      </c>
      <c r="AJ85" s="190">
        <f t="shared" si="232"/>
        <v>0</v>
      </c>
      <c r="AK85" s="190">
        <f t="shared" si="232"/>
        <v>0</v>
      </c>
      <c r="AL85" s="190">
        <f t="shared" si="232"/>
        <v>0</v>
      </c>
      <c r="AM85" s="190">
        <f t="shared" si="232"/>
        <v>0</v>
      </c>
      <c r="AN85" s="190">
        <f t="shared" si="232"/>
        <v>0</v>
      </c>
      <c r="AO85" s="190">
        <f t="shared" si="232"/>
        <v>0</v>
      </c>
      <c r="AP85" s="190">
        <f t="shared" si="232"/>
        <v>0</v>
      </c>
      <c r="AQ85" s="190">
        <f t="shared" si="232"/>
        <v>0</v>
      </c>
      <c r="AR85" s="225">
        <f t="shared" si="232"/>
        <v>0</v>
      </c>
      <c r="AS85" s="23">
        <f t="shared" si="236"/>
        <v>0</v>
      </c>
      <c r="AT85" s="190">
        <f t="shared" si="236"/>
        <v>0</v>
      </c>
      <c r="AU85" s="190">
        <f t="shared" si="209"/>
        <v>0</v>
      </c>
      <c r="AV85" s="190">
        <f t="shared" si="209"/>
        <v>0</v>
      </c>
      <c r="AW85" s="190">
        <f t="shared" si="236"/>
        <v>0</v>
      </c>
      <c r="AX85" s="190">
        <f t="shared" si="157"/>
        <v>0</v>
      </c>
      <c r="AY85" s="190">
        <f t="shared" si="157"/>
        <v>0</v>
      </c>
      <c r="AZ85" s="190">
        <f t="shared" si="157"/>
        <v>0</v>
      </c>
      <c r="BA85" s="190">
        <f t="shared" si="157"/>
        <v>0</v>
      </c>
      <c r="BB85" s="225">
        <f t="shared" si="157"/>
        <v>0</v>
      </c>
      <c r="BC85" s="77">
        <f t="shared" si="233"/>
        <v>0</v>
      </c>
      <c r="BD85" s="190">
        <f t="shared" si="233"/>
        <v>0</v>
      </c>
      <c r="BE85" s="190">
        <f t="shared" si="233"/>
        <v>0</v>
      </c>
      <c r="BF85" s="190">
        <f t="shared" si="233"/>
        <v>0</v>
      </c>
      <c r="BG85" s="190">
        <f t="shared" si="233"/>
        <v>0</v>
      </c>
      <c r="BH85" s="190">
        <f t="shared" si="233"/>
        <v>0</v>
      </c>
      <c r="BI85" s="190">
        <f t="shared" si="233"/>
        <v>0</v>
      </c>
      <c r="BJ85" s="190">
        <f t="shared" si="196"/>
        <v>0</v>
      </c>
      <c r="BK85" s="190">
        <f t="shared" si="196"/>
        <v>0</v>
      </c>
      <c r="BL85" s="190">
        <f t="shared" si="196"/>
        <v>0</v>
      </c>
      <c r="BM85" s="77">
        <f t="shared" si="210"/>
        <v>0</v>
      </c>
      <c r="BN85" s="190">
        <f t="shared" si="210"/>
        <v>0</v>
      </c>
      <c r="BO85" s="190">
        <f t="shared" si="210"/>
        <v>0</v>
      </c>
      <c r="BP85" s="190">
        <f t="shared" si="210"/>
        <v>0</v>
      </c>
      <c r="BQ85" s="190">
        <f t="shared" si="210"/>
        <v>0</v>
      </c>
      <c r="BR85" s="190">
        <f t="shared" si="210"/>
        <v>0</v>
      </c>
      <c r="BS85" s="190">
        <f t="shared" si="210"/>
        <v>0</v>
      </c>
      <c r="BT85" s="190"/>
      <c r="BU85" s="190"/>
      <c r="BV85" s="190">
        <f t="shared" si="210"/>
        <v>0</v>
      </c>
      <c r="BW85" s="23">
        <f t="shared" ref="BW85:CA106" si="242">0/142.5</f>
        <v>0</v>
      </c>
      <c r="BX85" s="190">
        <f t="shared" si="242"/>
        <v>0</v>
      </c>
      <c r="BY85" s="190">
        <f t="shared" si="242"/>
        <v>0</v>
      </c>
      <c r="BZ85" s="190">
        <f t="shared" si="242"/>
        <v>0</v>
      </c>
      <c r="CA85" s="190">
        <f t="shared" si="242"/>
        <v>0</v>
      </c>
      <c r="CB85" s="190">
        <f t="shared" ref="CB85:CF86" si="243">0/172.5</f>
        <v>0</v>
      </c>
      <c r="CC85" s="190">
        <f t="shared" si="243"/>
        <v>0</v>
      </c>
      <c r="CD85" s="190">
        <f t="shared" si="243"/>
        <v>0</v>
      </c>
      <c r="CE85" s="190">
        <f t="shared" si="243"/>
        <v>0</v>
      </c>
      <c r="CF85" s="190">
        <f t="shared" si="243"/>
        <v>0</v>
      </c>
      <c r="CG85" s="23">
        <f t="shared" ref="CG85:CK86" si="244">0/142.5</f>
        <v>0</v>
      </c>
      <c r="CH85" s="190">
        <f t="shared" si="244"/>
        <v>0</v>
      </c>
      <c r="CI85" s="190">
        <f t="shared" si="244"/>
        <v>0</v>
      </c>
      <c r="CJ85" s="190">
        <f t="shared" si="244"/>
        <v>0</v>
      </c>
      <c r="CK85" s="190">
        <f t="shared" si="244"/>
        <v>0</v>
      </c>
      <c r="CL85" s="190">
        <f t="shared" ref="CL85:CP86" si="245">0/172.5</f>
        <v>0</v>
      </c>
      <c r="CM85" s="190">
        <f t="shared" si="245"/>
        <v>0</v>
      </c>
      <c r="CN85" s="190">
        <f t="shared" si="245"/>
        <v>0</v>
      </c>
      <c r="CO85" s="190">
        <f t="shared" si="245"/>
        <v>0</v>
      </c>
      <c r="CP85" s="21">
        <f t="shared" si="245"/>
        <v>0</v>
      </c>
      <c r="CQ85" s="23">
        <f>(2)/150</f>
        <v>1.3333333333333334E-2</v>
      </c>
      <c r="CR85" s="190">
        <f>(10)/150</f>
        <v>6.6666666666666666E-2</v>
      </c>
      <c r="CS85" s="190">
        <f t="shared" ref="CR85:CW96" si="246">(0)/150</f>
        <v>0</v>
      </c>
      <c r="CT85" s="190">
        <f t="shared" si="246"/>
        <v>0</v>
      </c>
      <c r="CU85" s="190">
        <f t="shared" si="246"/>
        <v>0</v>
      </c>
      <c r="CV85" s="190">
        <f>(10)/150</f>
        <v>6.6666666666666666E-2</v>
      </c>
      <c r="CW85" s="190">
        <f>(10)/150</f>
        <v>6.6666666666666666E-2</v>
      </c>
      <c r="CX85" s="77">
        <f t="shared" si="212"/>
        <v>0</v>
      </c>
      <c r="CY85" s="190">
        <f t="shared" si="212"/>
        <v>0</v>
      </c>
      <c r="CZ85" s="190">
        <f t="shared" si="212"/>
        <v>0</v>
      </c>
      <c r="DA85" s="190">
        <f t="shared" si="212"/>
        <v>0</v>
      </c>
      <c r="DB85" s="190">
        <f t="shared" si="212"/>
        <v>0</v>
      </c>
      <c r="DC85" s="190">
        <f t="shared" si="158"/>
        <v>0</v>
      </c>
      <c r="DD85" s="190">
        <f t="shared" si="158"/>
        <v>0</v>
      </c>
      <c r="DE85" s="23">
        <f t="shared" ref="DE85:DI94" si="247">0/127.5</f>
        <v>0</v>
      </c>
      <c r="DF85" s="190">
        <f t="shared" si="247"/>
        <v>0</v>
      </c>
      <c r="DG85" s="190">
        <f t="shared" si="247"/>
        <v>0</v>
      </c>
      <c r="DH85" s="190">
        <f t="shared" si="247"/>
        <v>0</v>
      </c>
      <c r="DI85" s="190">
        <f t="shared" si="247"/>
        <v>0</v>
      </c>
      <c r="DJ85" s="190">
        <f t="shared" si="159"/>
        <v>0</v>
      </c>
      <c r="DK85" s="190">
        <f t="shared" si="159"/>
        <v>0</v>
      </c>
      <c r="DL85" s="23">
        <f t="shared" si="222"/>
        <v>0</v>
      </c>
      <c r="DM85" s="10">
        <f t="shared" si="222"/>
        <v>0</v>
      </c>
      <c r="DN85" s="10">
        <f t="shared" si="222"/>
        <v>0</v>
      </c>
      <c r="DO85" s="10">
        <f t="shared" si="222"/>
        <v>0</v>
      </c>
      <c r="DP85" s="10">
        <f t="shared" si="222"/>
        <v>0</v>
      </c>
      <c r="DQ85" s="190">
        <f t="shared" si="160"/>
        <v>0</v>
      </c>
      <c r="DR85" s="190">
        <f t="shared" si="160"/>
        <v>0</v>
      </c>
      <c r="DS85" s="190">
        <f t="shared" si="160"/>
        <v>0</v>
      </c>
      <c r="DT85" s="54"/>
    </row>
    <row r="86" spans="1:124" ht="26.25" hidden="1" customHeight="1" outlineLevel="1" x14ac:dyDescent="0.4">
      <c r="A86" s="348"/>
      <c r="B86" s="348"/>
      <c r="C86" s="348"/>
      <c r="D86" s="350"/>
      <c r="E86" s="350"/>
      <c r="F86" s="350"/>
      <c r="G86" s="565"/>
      <c r="H86" s="450"/>
      <c r="I86" s="450"/>
      <c r="J86" s="448"/>
      <c r="K86" s="446"/>
      <c r="L86" s="446"/>
      <c r="M86" s="429"/>
      <c r="N86" s="209" t="s">
        <v>25</v>
      </c>
      <c r="O86" s="209">
        <f t="shared" si="152"/>
        <v>0</v>
      </c>
      <c r="P86" s="209">
        <f t="shared" si="152"/>
        <v>0</v>
      </c>
      <c r="Q86" s="209">
        <f t="shared" si="152"/>
        <v>0</v>
      </c>
      <c r="R86" s="209">
        <f t="shared" si="152"/>
        <v>0</v>
      </c>
      <c r="S86" s="209">
        <f t="shared" si="152"/>
        <v>0</v>
      </c>
      <c r="T86" s="209">
        <f t="shared" si="152"/>
        <v>0</v>
      </c>
      <c r="U86" s="209">
        <f t="shared" ref="O86:X106" si="248">0/127.5</f>
        <v>0</v>
      </c>
      <c r="V86" s="209">
        <f t="shared" si="248"/>
        <v>0</v>
      </c>
      <c r="W86" s="209">
        <f t="shared" si="248"/>
        <v>0</v>
      </c>
      <c r="X86" s="53">
        <f t="shared" si="248"/>
        <v>0</v>
      </c>
      <c r="Y86" s="209">
        <f t="shared" si="164"/>
        <v>0</v>
      </c>
      <c r="Z86" s="209">
        <f t="shared" si="164"/>
        <v>0</v>
      </c>
      <c r="AA86" s="209">
        <f t="shared" si="164"/>
        <v>0</v>
      </c>
      <c r="AB86" s="209">
        <f t="shared" si="164"/>
        <v>0</v>
      </c>
      <c r="AC86" s="209">
        <f t="shared" si="164"/>
        <v>0</v>
      </c>
      <c r="AD86" s="209">
        <f t="shared" si="164"/>
        <v>0</v>
      </c>
      <c r="AE86" s="209">
        <f t="shared" si="232"/>
        <v>0</v>
      </c>
      <c r="AF86" s="209"/>
      <c r="AG86" s="209">
        <f t="shared" si="232"/>
        <v>0</v>
      </c>
      <c r="AH86" s="209">
        <f t="shared" si="232"/>
        <v>0</v>
      </c>
      <c r="AI86" s="58">
        <f t="shared" si="232"/>
        <v>0</v>
      </c>
      <c r="AJ86" s="209">
        <f t="shared" si="232"/>
        <v>0</v>
      </c>
      <c r="AK86" s="209">
        <f t="shared" si="232"/>
        <v>0</v>
      </c>
      <c r="AL86" s="209">
        <f t="shared" si="232"/>
        <v>0</v>
      </c>
      <c r="AM86" s="209">
        <f t="shared" si="232"/>
        <v>0</v>
      </c>
      <c r="AN86" s="209">
        <f t="shared" si="232"/>
        <v>0</v>
      </c>
      <c r="AO86" s="209">
        <f t="shared" si="232"/>
        <v>0</v>
      </c>
      <c r="AP86" s="209">
        <f t="shared" si="232"/>
        <v>0</v>
      </c>
      <c r="AQ86" s="209">
        <f t="shared" si="232"/>
        <v>0</v>
      </c>
      <c r="AR86" s="53">
        <f t="shared" si="232"/>
        <v>0</v>
      </c>
      <c r="AS86" s="65">
        <f t="shared" si="236"/>
        <v>0</v>
      </c>
      <c r="AT86" s="210">
        <f t="shared" si="236"/>
        <v>0</v>
      </c>
      <c r="AU86" s="210">
        <f t="shared" si="209"/>
        <v>0</v>
      </c>
      <c r="AV86" s="210">
        <f t="shared" si="209"/>
        <v>0</v>
      </c>
      <c r="AW86" s="280">
        <f t="shared" si="236"/>
        <v>0</v>
      </c>
      <c r="AX86" s="210">
        <f t="shared" si="157"/>
        <v>0</v>
      </c>
      <c r="AY86" s="210">
        <f t="shared" si="157"/>
        <v>0</v>
      </c>
      <c r="AZ86" s="210">
        <f t="shared" si="157"/>
        <v>0</v>
      </c>
      <c r="BA86" s="210">
        <f t="shared" si="157"/>
        <v>0</v>
      </c>
      <c r="BB86" s="53">
        <f t="shared" si="157"/>
        <v>0</v>
      </c>
      <c r="BC86" s="58">
        <f t="shared" si="233"/>
        <v>0</v>
      </c>
      <c r="BD86" s="209">
        <f t="shared" si="233"/>
        <v>0</v>
      </c>
      <c r="BE86" s="209">
        <f t="shared" si="233"/>
        <v>0</v>
      </c>
      <c r="BF86" s="209">
        <f t="shared" si="233"/>
        <v>0</v>
      </c>
      <c r="BG86" s="209">
        <f t="shared" si="233"/>
        <v>0</v>
      </c>
      <c r="BH86" s="209">
        <f t="shared" si="233"/>
        <v>0</v>
      </c>
      <c r="BI86" s="209">
        <f t="shared" si="233"/>
        <v>0</v>
      </c>
      <c r="BJ86" s="209">
        <f t="shared" si="196"/>
        <v>0</v>
      </c>
      <c r="BK86" s="209">
        <f t="shared" si="196"/>
        <v>0</v>
      </c>
      <c r="BL86" s="209">
        <f t="shared" si="196"/>
        <v>0</v>
      </c>
      <c r="BM86" s="58">
        <f t="shared" si="210"/>
        <v>0</v>
      </c>
      <c r="BN86" s="209">
        <f t="shared" si="210"/>
        <v>0</v>
      </c>
      <c r="BO86" s="209">
        <f t="shared" si="210"/>
        <v>0</v>
      </c>
      <c r="BP86" s="209">
        <f t="shared" si="210"/>
        <v>0</v>
      </c>
      <c r="BQ86" s="209">
        <f t="shared" si="210"/>
        <v>0</v>
      </c>
      <c r="BR86" s="209">
        <f t="shared" si="210"/>
        <v>0</v>
      </c>
      <c r="BS86" s="209">
        <f t="shared" si="210"/>
        <v>0</v>
      </c>
      <c r="BT86" s="209"/>
      <c r="BU86" s="209"/>
      <c r="BV86" s="209">
        <f t="shared" si="210"/>
        <v>0</v>
      </c>
      <c r="BW86" s="65">
        <f t="shared" si="242"/>
        <v>0</v>
      </c>
      <c r="BX86" s="209">
        <f t="shared" si="242"/>
        <v>0</v>
      </c>
      <c r="BY86" s="209">
        <f t="shared" si="242"/>
        <v>0</v>
      </c>
      <c r="BZ86" s="209">
        <f t="shared" si="242"/>
        <v>0</v>
      </c>
      <c r="CA86" s="209">
        <f t="shared" si="242"/>
        <v>0</v>
      </c>
      <c r="CB86" s="209">
        <f t="shared" si="243"/>
        <v>0</v>
      </c>
      <c r="CC86" s="209">
        <f t="shared" si="243"/>
        <v>0</v>
      </c>
      <c r="CD86" s="209">
        <f t="shared" si="243"/>
        <v>0</v>
      </c>
      <c r="CE86" s="209">
        <f t="shared" si="243"/>
        <v>0</v>
      </c>
      <c r="CF86" s="209">
        <f t="shared" si="243"/>
        <v>0</v>
      </c>
      <c r="CG86" s="65">
        <f t="shared" si="244"/>
        <v>0</v>
      </c>
      <c r="CH86" s="210">
        <f t="shared" si="244"/>
        <v>0</v>
      </c>
      <c r="CI86" s="210">
        <f t="shared" si="244"/>
        <v>0</v>
      </c>
      <c r="CJ86" s="210">
        <f t="shared" si="244"/>
        <v>0</v>
      </c>
      <c r="CK86" s="210">
        <f t="shared" si="244"/>
        <v>0</v>
      </c>
      <c r="CL86" s="210">
        <f t="shared" si="245"/>
        <v>0</v>
      </c>
      <c r="CM86" s="210">
        <f t="shared" si="245"/>
        <v>0</v>
      </c>
      <c r="CN86" s="210">
        <f t="shared" si="245"/>
        <v>0</v>
      </c>
      <c r="CO86" s="210">
        <f t="shared" si="245"/>
        <v>0</v>
      </c>
      <c r="CP86" s="66">
        <f t="shared" si="245"/>
        <v>0</v>
      </c>
      <c r="CQ86" s="65">
        <f>(4+1)/150</f>
        <v>3.3333333333333333E-2</v>
      </c>
      <c r="CR86" s="209">
        <f>(5.5+1)/150</f>
        <v>4.3333333333333335E-2</v>
      </c>
      <c r="CS86" s="209">
        <f t="shared" si="246"/>
        <v>0</v>
      </c>
      <c r="CT86" s="209">
        <f t="shared" si="246"/>
        <v>0</v>
      </c>
      <c r="CU86" s="209">
        <f t="shared" si="246"/>
        <v>0</v>
      </c>
      <c r="CV86" s="209">
        <f>(11+1.5)/150</f>
        <v>8.3333333333333329E-2</v>
      </c>
      <c r="CW86" s="209">
        <f>(6+1)/150</f>
        <v>4.6666666666666669E-2</v>
      </c>
      <c r="CX86" s="65">
        <f t="shared" si="212"/>
        <v>0</v>
      </c>
      <c r="CY86" s="210">
        <f t="shared" si="212"/>
        <v>0</v>
      </c>
      <c r="CZ86" s="210">
        <f t="shared" si="212"/>
        <v>0</v>
      </c>
      <c r="DA86" s="210">
        <f t="shared" si="212"/>
        <v>0</v>
      </c>
      <c r="DB86" s="210">
        <f t="shared" si="212"/>
        <v>0</v>
      </c>
      <c r="DC86" s="210">
        <f t="shared" si="158"/>
        <v>0</v>
      </c>
      <c r="DD86" s="209">
        <f t="shared" si="158"/>
        <v>0</v>
      </c>
      <c r="DE86" s="65">
        <f t="shared" si="247"/>
        <v>0</v>
      </c>
      <c r="DF86" s="210">
        <f t="shared" si="247"/>
        <v>0</v>
      </c>
      <c r="DG86" s="210">
        <f t="shared" si="247"/>
        <v>0</v>
      </c>
      <c r="DH86" s="210">
        <f t="shared" si="247"/>
        <v>0</v>
      </c>
      <c r="DI86" s="210">
        <f t="shared" si="247"/>
        <v>0</v>
      </c>
      <c r="DJ86" s="210">
        <f t="shared" si="159"/>
        <v>0</v>
      </c>
      <c r="DK86" s="210">
        <f t="shared" si="159"/>
        <v>0</v>
      </c>
      <c r="DL86" s="65">
        <f t="shared" si="222"/>
        <v>0</v>
      </c>
      <c r="DM86" s="60">
        <f t="shared" si="222"/>
        <v>0</v>
      </c>
      <c r="DN86" s="60">
        <f t="shared" si="222"/>
        <v>0</v>
      </c>
      <c r="DO86" s="60">
        <f t="shared" si="222"/>
        <v>0</v>
      </c>
      <c r="DP86" s="60">
        <f t="shared" si="222"/>
        <v>0</v>
      </c>
      <c r="DQ86" s="210">
        <f t="shared" si="160"/>
        <v>0</v>
      </c>
      <c r="DR86" s="210">
        <f t="shared" si="160"/>
        <v>0</v>
      </c>
      <c r="DS86" s="210">
        <f t="shared" si="160"/>
        <v>0</v>
      </c>
    </row>
    <row r="87" spans="1:124" ht="26.25" hidden="1" customHeight="1" outlineLevel="1" collapsed="1" x14ac:dyDescent="0.4">
      <c r="A87" s="347">
        <v>41</v>
      </c>
      <c r="B87" s="347" t="s">
        <v>47</v>
      </c>
      <c r="C87" s="347" t="s">
        <v>347</v>
      </c>
      <c r="D87" s="349" t="s">
        <v>348</v>
      </c>
      <c r="E87" s="349" t="s">
        <v>768</v>
      </c>
      <c r="F87" s="349" t="s">
        <v>772</v>
      </c>
      <c r="G87" s="563" t="s">
        <v>770</v>
      </c>
      <c r="H87" s="449">
        <f t="shared" ref="H87" si="249">SUM(DE87:DK87)</f>
        <v>0</v>
      </c>
      <c r="I87" s="449">
        <f t="shared" ref="I87" si="250">SUM(DE88:DK88)</f>
        <v>0</v>
      </c>
      <c r="J87" s="447"/>
      <c r="K87" s="445"/>
      <c r="L87" s="445"/>
      <c r="M87" s="428"/>
      <c r="N87" s="21" t="s">
        <v>24</v>
      </c>
      <c r="O87" s="190">
        <f t="shared" si="248"/>
        <v>0</v>
      </c>
      <c r="P87" s="190">
        <f t="shared" si="248"/>
        <v>0</v>
      </c>
      <c r="Q87" s="190">
        <f t="shared" si="248"/>
        <v>0</v>
      </c>
      <c r="R87" s="190">
        <f t="shared" si="248"/>
        <v>0</v>
      </c>
      <c r="S87" s="190">
        <f t="shared" si="248"/>
        <v>0</v>
      </c>
      <c r="T87" s="190">
        <f t="shared" si="248"/>
        <v>0</v>
      </c>
      <c r="U87" s="190">
        <f t="shared" si="248"/>
        <v>0</v>
      </c>
      <c r="V87" s="190">
        <f t="shared" si="248"/>
        <v>0</v>
      </c>
      <c r="W87" s="190">
        <f t="shared" si="248"/>
        <v>0</v>
      </c>
      <c r="X87" s="86">
        <f t="shared" si="248"/>
        <v>0</v>
      </c>
      <c r="Y87" s="190">
        <f t="shared" si="164"/>
        <v>0</v>
      </c>
      <c r="Z87" s="190">
        <f t="shared" si="164"/>
        <v>0</v>
      </c>
      <c r="AA87" s="190">
        <f t="shared" si="164"/>
        <v>0</v>
      </c>
      <c r="AB87" s="190">
        <f t="shared" si="164"/>
        <v>0</v>
      </c>
      <c r="AC87" s="190">
        <f t="shared" si="164"/>
        <v>0</v>
      </c>
      <c r="AD87" s="190">
        <f t="shared" si="164"/>
        <v>0</v>
      </c>
      <c r="AE87" s="190">
        <f t="shared" si="232"/>
        <v>0</v>
      </c>
      <c r="AF87" s="190"/>
      <c r="AG87" s="190">
        <f t="shared" si="232"/>
        <v>0</v>
      </c>
      <c r="AH87" s="190">
        <f t="shared" si="232"/>
        <v>0</v>
      </c>
      <c r="AI87" s="77">
        <f t="shared" si="232"/>
        <v>0</v>
      </c>
      <c r="AJ87" s="190">
        <f t="shared" si="232"/>
        <v>0</v>
      </c>
      <c r="AK87" s="190">
        <f t="shared" si="232"/>
        <v>0</v>
      </c>
      <c r="AL87" s="190">
        <f t="shared" si="232"/>
        <v>0</v>
      </c>
      <c r="AM87" s="190">
        <f t="shared" si="232"/>
        <v>0</v>
      </c>
      <c r="AN87" s="190">
        <f t="shared" si="232"/>
        <v>0</v>
      </c>
      <c r="AO87" s="190">
        <f t="shared" si="232"/>
        <v>0</v>
      </c>
      <c r="AP87" s="190">
        <f t="shared" si="232"/>
        <v>0</v>
      </c>
      <c r="AQ87" s="190">
        <f t="shared" si="232"/>
        <v>0</v>
      </c>
      <c r="AR87" s="225">
        <f t="shared" si="232"/>
        <v>0</v>
      </c>
      <c r="AS87" s="23">
        <f t="shared" si="236"/>
        <v>0</v>
      </c>
      <c r="AT87" s="190">
        <f t="shared" si="236"/>
        <v>0</v>
      </c>
      <c r="AU87" s="190">
        <f t="shared" si="209"/>
        <v>0</v>
      </c>
      <c r="AV87" s="190">
        <f t="shared" si="209"/>
        <v>0</v>
      </c>
      <c r="AW87" s="190">
        <f t="shared" si="236"/>
        <v>0</v>
      </c>
      <c r="AX87" s="190">
        <f t="shared" ref="AX87:BB106" si="251">0/165</f>
        <v>0</v>
      </c>
      <c r="AY87" s="190">
        <f t="shared" si="251"/>
        <v>0</v>
      </c>
      <c r="AZ87" s="190">
        <f t="shared" si="251"/>
        <v>0</v>
      </c>
      <c r="BA87" s="190">
        <f t="shared" si="251"/>
        <v>0</v>
      </c>
      <c r="BB87" s="225">
        <f t="shared" si="251"/>
        <v>0</v>
      </c>
      <c r="BC87" s="77">
        <f t="shared" si="233"/>
        <v>0</v>
      </c>
      <c r="BD87" s="190">
        <f t="shared" si="233"/>
        <v>0</v>
      </c>
      <c r="BE87" s="190">
        <f t="shared" si="233"/>
        <v>0</v>
      </c>
      <c r="BF87" s="190">
        <f t="shared" si="233"/>
        <v>0</v>
      </c>
      <c r="BG87" s="190">
        <f t="shared" si="233"/>
        <v>0</v>
      </c>
      <c r="BH87" s="190">
        <f t="shared" si="233"/>
        <v>0</v>
      </c>
      <c r="BI87" s="190">
        <f t="shared" si="233"/>
        <v>0</v>
      </c>
      <c r="BJ87" s="190">
        <f t="shared" ref="BJ87:BL106" si="252">0/165</f>
        <v>0</v>
      </c>
      <c r="BK87" s="190">
        <f t="shared" si="252"/>
        <v>0</v>
      </c>
      <c r="BL87" s="190">
        <f t="shared" si="252"/>
        <v>0</v>
      </c>
      <c r="BM87" s="77">
        <f t="shared" si="210"/>
        <v>0</v>
      </c>
      <c r="BN87" s="190">
        <f t="shared" si="210"/>
        <v>0</v>
      </c>
      <c r="BO87" s="190">
        <f t="shared" si="210"/>
        <v>0</v>
      </c>
      <c r="BP87" s="190">
        <f t="shared" si="210"/>
        <v>0</v>
      </c>
      <c r="BQ87" s="190">
        <f t="shared" si="210"/>
        <v>0</v>
      </c>
      <c r="BR87" s="190">
        <f t="shared" si="210"/>
        <v>0</v>
      </c>
      <c r="BS87" s="190">
        <f t="shared" si="210"/>
        <v>0</v>
      </c>
      <c r="BT87" s="190"/>
      <c r="BU87" s="190"/>
      <c r="BV87" s="190">
        <f t="shared" si="210"/>
        <v>0</v>
      </c>
      <c r="BW87" s="23">
        <f t="shared" si="242"/>
        <v>0</v>
      </c>
      <c r="BX87" s="190">
        <f t="shared" si="242"/>
        <v>0</v>
      </c>
      <c r="BY87" s="190">
        <f t="shared" si="242"/>
        <v>0</v>
      </c>
      <c r="BZ87" s="190">
        <f t="shared" si="242"/>
        <v>0</v>
      </c>
      <c r="CA87" s="190">
        <f t="shared" si="242"/>
        <v>0</v>
      </c>
      <c r="CB87" s="190">
        <f t="shared" ref="CB87:CF106" si="253">0/172.5</f>
        <v>0</v>
      </c>
      <c r="CC87" s="190">
        <f t="shared" si="253"/>
        <v>0</v>
      </c>
      <c r="CD87" s="190">
        <f t="shared" si="253"/>
        <v>0</v>
      </c>
      <c r="CE87" s="190">
        <f t="shared" si="253"/>
        <v>0</v>
      </c>
      <c r="CF87" s="190">
        <f t="shared" si="253"/>
        <v>0</v>
      </c>
      <c r="CG87" s="23">
        <f t="shared" ref="CG87:CK96" si="254">0/142.5</f>
        <v>0</v>
      </c>
      <c r="CH87" s="190">
        <f t="shared" si="254"/>
        <v>0</v>
      </c>
      <c r="CI87" s="190">
        <f t="shared" si="254"/>
        <v>0</v>
      </c>
      <c r="CJ87" s="190">
        <f t="shared" si="254"/>
        <v>0</v>
      </c>
      <c r="CK87" s="190">
        <f t="shared" si="254"/>
        <v>0</v>
      </c>
      <c r="CL87" s="190">
        <f t="shared" ref="CL87:CP106" si="255">0/172.5</f>
        <v>0</v>
      </c>
      <c r="CM87" s="190">
        <f t="shared" si="255"/>
        <v>0</v>
      </c>
      <c r="CN87" s="190">
        <f t="shared" si="255"/>
        <v>0</v>
      </c>
      <c r="CO87" s="190">
        <f t="shared" si="255"/>
        <v>0</v>
      </c>
      <c r="CP87" s="21">
        <f t="shared" si="255"/>
        <v>0</v>
      </c>
      <c r="CQ87" s="23">
        <f>(6)/150</f>
        <v>0.04</v>
      </c>
      <c r="CR87" s="190">
        <f>(10)/150</f>
        <v>6.6666666666666666E-2</v>
      </c>
      <c r="CS87" s="190">
        <f t="shared" si="246"/>
        <v>0</v>
      </c>
      <c r="CT87" s="190">
        <f>(10)/150</f>
        <v>6.6666666666666666E-2</v>
      </c>
      <c r="CU87" s="190">
        <f>(10)/150</f>
        <v>6.6666666666666666E-2</v>
      </c>
      <c r="CV87" s="190">
        <f t="shared" si="246"/>
        <v>0</v>
      </c>
      <c r="CW87" s="190">
        <f t="shared" si="246"/>
        <v>0</v>
      </c>
      <c r="CX87" s="77">
        <f t="shared" si="212"/>
        <v>0</v>
      </c>
      <c r="CY87" s="190">
        <f t="shared" si="212"/>
        <v>0</v>
      </c>
      <c r="CZ87" s="190">
        <f t="shared" si="212"/>
        <v>0</v>
      </c>
      <c r="DA87" s="190">
        <f t="shared" si="212"/>
        <v>0</v>
      </c>
      <c r="DB87" s="190">
        <f t="shared" si="212"/>
        <v>0</v>
      </c>
      <c r="DC87" s="190">
        <f t="shared" ref="DC87:DD94" si="256">0/172.5</f>
        <v>0</v>
      </c>
      <c r="DD87" s="190">
        <f t="shared" si="256"/>
        <v>0</v>
      </c>
      <c r="DE87" s="23">
        <f t="shared" si="247"/>
        <v>0</v>
      </c>
      <c r="DF87" s="190">
        <f t="shared" si="247"/>
        <v>0</v>
      </c>
      <c r="DG87" s="190">
        <f t="shared" si="247"/>
        <v>0</v>
      </c>
      <c r="DH87" s="190">
        <f t="shared" si="247"/>
        <v>0</v>
      </c>
      <c r="DI87" s="190">
        <f t="shared" si="247"/>
        <v>0</v>
      </c>
      <c r="DJ87" s="190">
        <f t="shared" ref="DJ87:DK94" si="257">0/172.5</f>
        <v>0</v>
      </c>
      <c r="DK87" s="190">
        <f t="shared" si="257"/>
        <v>0</v>
      </c>
      <c r="DL87" s="23">
        <f t="shared" ref="DL87:DP96" si="258">0/142.5</f>
        <v>0</v>
      </c>
      <c r="DM87" s="10">
        <f t="shared" si="258"/>
        <v>0</v>
      </c>
      <c r="DN87" s="10">
        <f t="shared" si="258"/>
        <v>0</v>
      </c>
      <c r="DO87" s="10">
        <f t="shared" si="258"/>
        <v>0</v>
      </c>
      <c r="DP87" s="10">
        <f t="shared" si="258"/>
        <v>0</v>
      </c>
      <c r="DQ87" s="190">
        <f t="shared" ref="DQ87:DS106" si="259">0/172.5</f>
        <v>0</v>
      </c>
      <c r="DR87" s="190">
        <f t="shared" si="259"/>
        <v>0</v>
      </c>
      <c r="DS87" s="190">
        <f t="shared" si="259"/>
        <v>0</v>
      </c>
      <c r="DT87" s="54"/>
    </row>
    <row r="88" spans="1:124" ht="26.25" hidden="1" customHeight="1" outlineLevel="1" x14ac:dyDescent="0.4">
      <c r="A88" s="348"/>
      <c r="B88" s="348"/>
      <c r="C88" s="348"/>
      <c r="D88" s="350"/>
      <c r="E88" s="350"/>
      <c r="F88" s="350"/>
      <c r="G88" s="565"/>
      <c r="H88" s="450"/>
      <c r="I88" s="450"/>
      <c r="J88" s="448"/>
      <c r="K88" s="446"/>
      <c r="L88" s="446"/>
      <c r="M88" s="429"/>
      <c r="N88" s="209" t="s">
        <v>25</v>
      </c>
      <c r="O88" s="209">
        <f t="shared" si="248"/>
        <v>0</v>
      </c>
      <c r="P88" s="209">
        <f t="shared" si="248"/>
        <v>0</v>
      </c>
      <c r="Q88" s="209">
        <f t="shared" si="248"/>
        <v>0</v>
      </c>
      <c r="R88" s="209">
        <f t="shared" si="248"/>
        <v>0</v>
      </c>
      <c r="S88" s="209">
        <f t="shared" si="248"/>
        <v>0</v>
      </c>
      <c r="T88" s="209">
        <f t="shared" si="248"/>
        <v>0</v>
      </c>
      <c r="U88" s="209">
        <f t="shared" si="248"/>
        <v>0</v>
      </c>
      <c r="V88" s="209">
        <f t="shared" si="248"/>
        <v>0</v>
      </c>
      <c r="W88" s="209">
        <f t="shared" si="248"/>
        <v>0</v>
      </c>
      <c r="X88" s="53">
        <f t="shared" si="248"/>
        <v>0</v>
      </c>
      <c r="Y88" s="209">
        <f t="shared" si="164"/>
        <v>0</v>
      </c>
      <c r="Z88" s="209">
        <f t="shared" si="164"/>
        <v>0</v>
      </c>
      <c r="AA88" s="209">
        <f t="shared" si="164"/>
        <v>0</v>
      </c>
      <c r="AB88" s="209">
        <f t="shared" si="164"/>
        <v>0</v>
      </c>
      <c r="AC88" s="209">
        <f t="shared" si="164"/>
        <v>0</v>
      </c>
      <c r="AD88" s="209">
        <f t="shared" si="164"/>
        <v>0</v>
      </c>
      <c r="AE88" s="209">
        <f t="shared" ref="AE88:AH106" si="260">0/165</f>
        <v>0</v>
      </c>
      <c r="AF88" s="209"/>
      <c r="AG88" s="209">
        <f t="shared" si="260"/>
        <v>0</v>
      </c>
      <c r="AH88" s="209">
        <f t="shared" si="260"/>
        <v>0</v>
      </c>
      <c r="AI88" s="58">
        <f t="shared" si="232"/>
        <v>0</v>
      </c>
      <c r="AJ88" s="209">
        <f t="shared" si="232"/>
        <v>0</v>
      </c>
      <c r="AK88" s="209">
        <f t="shared" si="232"/>
        <v>0</v>
      </c>
      <c r="AL88" s="209">
        <f t="shared" si="232"/>
        <v>0</v>
      </c>
      <c r="AM88" s="209">
        <f t="shared" si="232"/>
        <v>0</v>
      </c>
      <c r="AN88" s="209">
        <f t="shared" si="232"/>
        <v>0</v>
      </c>
      <c r="AO88" s="209">
        <f t="shared" si="232"/>
        <v>0</v>
      </c>
      <c r="AP88" s="209">
        <f t="shared" si="232"/>
        <v>0</v>
      </c>
      <c r="AQ88" s="209">
        <f t="shared" si="232"/>
        <v>0</v>
      </c>
      <c r="AR88" s="53">
        <f t="shared" si="232"/>
        <v>0</v>
      </c>
      <c r="AS88" s="65">
        <f t="shared" si="236"/>
        <v>0</v>
      </c>
      <c r="AT88" s="210">
        <f t="shared" si="236"/>
        <v>0</v>
      </c>
      <c r="AU88" s="210">
        <f t="shared" si="209"/>
        <v>0</v>
      </c>
      <c r="AV88" s="210">
        <f t="shared" si="209"/>
        <v>0</v>
      </c>
      <c r="AW88" s="280">
        <f t="shared" si="236"/>
        <v>0</v>
      </c>
      <c r="AX88" s="210">
        <f t="shared" si="251"/>
        <v>0</v>
      </c>
      <c r="AY88" s="210">
        <f t="shared" si="251"/>
        <v>0</v>
      </c>
      <c r="AZ88" s="210">
        <f t="shared" si="251"/>
        <v>0</v>
      </c>
      <c r="BA88" s="210">
        <f t="shared" si="251"/>
        <v>0</v>
      </c>
      <c r="BB88" s="53">
        <f t="shared" si="251"/>
        <v>0</v>
      </c>
      <c r="BC88" s="58">
        <f t="shared" si="233"/>
        <v>0</v>
      </c>
      <c r="BD88" s="209">
        <f t="shared" si="233"/>
        <v>0</v>
      </c>
      <c r="BE88" s="209">
        <f t="shared" si="233"/>
        <v>0</v>
      </c>
      <c r="BF88" s="209">
        <f t="shared" si="233"/>
        <v>0</v>
      </c>
      <c r="BG88" s="209">
        <f t="shared" si="233"/>
        <v>0</v>
      </c>
      <c r="BH88" s="209">
        <f t="shared" si="233"/>
        <v>0</v>
      </c>
      <c r="BI88" s="209">
        <f t="shared" si="233"/>
        <v>0</v>
      </c>
      <c r="BJ88" s="209">
        <f t="shared" si="252"/>
        <v>0</v>
      </c>
      <c r="BK88" s="209">
        <f t="shared" si="252"/>
        <v>0</v>
      </c>
      <c r="BL88" s="209">
        <f t="shared" si="252"/>
        <v>0</v>
      </c>
      <c r="BM88" s="58">
        <f t="shared" si="210"/>
        <v>0</v>
      </c>
      <c r="BN88" s="209">
        <f t="shared" si="210"/>
        <v>0</v>
      </c>
      <c r="BO88" s="209">
        <f t="shared" si="210"/>
        <v>0</v>
      </c>
      <c r="BP88" s="209">
        <f t="shared" si="210"/>
        <v>0</v>
      </c>
      <c r="BQ88" s="209">
        <f t="shared" si="210"/>
        <v>0</v>
      </c>
      <c r="BR88" s="209">
        <f t="shared" si="210"/>
        <v>0</v>
      </c>
      <c r="BS88" s="209">
        <f t="shared" si="210"/>
        <v>0</v>
      </c>
      <c r="BT88" s="209"/>
      <c r="BU88" s="209"/>
      <c r="BV88" s="209">
        <f t="shared" si="210"/>
        <v>0</v>
      </c>
      <c r="BW88" s="65">
        <f t="shared" si="242"/>
        <v>0</v>
      </c>
      <c r="BX88" s="209">
        <f t="shared" si="242"/>
        <v>0</v>
      </c>
      <c r="BY88" s="209">
        <f t="shared" si="242"/>
        <v>0</v>
      </c>
      <c r="BZ88" s="209">
        <f t="shared" si="242"/>
        <v>0</v>
      </c>
      <c r="CA88" s="209">
        <f t="shared" si="242"/>
        <v>0</v>
      </c>
      <c r="CB88" s="209">
        <f t="shared" si="253"/>
        <v>0</v>
      </c>
      <c r="CC88" s="209">
        <f t="shared" si="253"/>
        <v>0</v>
      </c>
      <c r="CD88" s="209">
        <f t="shared" si="253"/>
        <v>0</v>
      </c>
      <c r="CE88" s="209">
        <f t="shared" si="253"/>
        <v>0</v>
      </c>
      <c r="CF88" s="209">
        <f t="shared" si="253"/>
        <v>0</v>
      </c>
      <c r="CG88" s="65">
        <f t="shared" si="254"/>
        <v>0</v>
      </c>
      <c r="CH88" s="210">
        <f t="shared" si="254"/>
        <v>0</v>
      </c>
      <c r="CI88" s="210">
        <f t="shared" si="254"/>
        <v>0</v>
      </c>
      <c r="CJ88" s="210">
        <f t="shared" si="254"/>
        <v>0</v>
      </c>
      <c r="CK88" s="210">
        <f t="shared" si="254"/>
        <v>0</v>
      </c>
      <c r="CL88" s="210">
        <f t="shared" si="255"/>
        <v>0</v>
      </c>
      <c r="CM88" s="210">
        <f t="shared" si="255"/>
        <v>0</v>
      </c>
      <c r="CN88" s="210">
        <f t="shared" si="255"/>
        <v>0</v>
      </c>
      <c r="CO88" s="210">
        <f t="shared" si="255"/>
        <v>0</v>
      </c>
      <c r="CP88" s="66">
        <f t="shared" si="255"/>
        <v>0</v>
      </c>
      <c r="CQ88" s="65">
        <f>(1+2)/150</f>
        <v>0.02</v>
      </c>
      <c r="CR88" s="209">
        <f>(4.5+1)/150</f>
        <v>3.6666666666666667E-2</v>
      </c>
      <c r="CS88" s="209">
        <f t="shared" si="246"/>
        <v>0</v>
      </c>
      <c r="CT88" s="209">
        <f>(10.5+6.5)/150</f>
        <v>0.11333333333333333</v>
      </c>
      <c r="CU88" s="209">
        <f>(7.5+2.5)/150</f>
        <v>6.6666666666666666E-2</v>
      </c>
      <c r="CV88" s="209">
        <f t="shared" si="246"/>
        <v>0</v>
      </c>
      <c r="CW88" s="209">
        <f t="shared" si="246"/>
        <v>0</v>
      </c>
      <c r="CX88" s="65">
        <f t="shared" si="212"/>
        <v>0</v>
      </c>
      <c r="CY88" s="210">
        <f t="shared" si="212"/>
        <v>0</v>
      </c>
      <c r="CZ88" s="210">
        <f t="shared" si="212"/>
        <v>0</v>
      </c>
      <c r="DA88" s="210">
        <f t="shared" si="212"/>
        <v>0</v>
      </c>
      <c r="DB88" s="210">
        <f t="shared" si="212"/>
        <v>0</v>
      </c>
      <c r="DC88" s="210">
        <f t="shared" si="256"/>
        <v>0</v>
      </c>
      <c r="DD88" s="209">
        <f t="shared" si="256"/>
        <v>0</v>
      </c>
      <c r="DE88" s="65">
        <f t="shared" si="247"/>
        <v>0</v>
      </c>
      <c r="DF88" s="210">
        <f t="shared" si="247"/>
        <v>0</v>
      </c>
      <c r="DG88" s="210">
        <f t="shared" si="247"/>
        <v>0</v>
      </c>
      <c r="DH88" s="210">
        <f t="shared" si="247"/>
        <v>0</v>
      </c>
      <c r="DI88" s="210">
        <f t="shared" si="247"/>
        <v>0</v>
      </c>
      <c r="DJ88" s="210">
        <f t="shared" si="257"/>
        <v>0</v>
      </c>
      <c r="DK88" s="210">
        <f t="shared" si="257"/>
        <v>0</v>
      </c>
      <c r="DL88" s="65">
        <f t="shared" si="258"/>
        <v>0</v>
      </c>
      <c r="DM88" s="60">
        <f t="shared" si="258"/>
        <v>0</v>
      </c>
      <c r="DN88" s="60">
        <f t="shared" si="258"/>
        <v>0</v>
      </c>
      <c r="DO88" s="60">
        <f t="shared" si="258"/>
        <v>0</v>
      </c>
      <c r="DP88" s="60">
        <f t="shared" si="258"/>
        <v>0</v>
      </c>
      <c r="DQ88" s="210">
        <f t="shared" si="259"/>
        <v>0</v>
      </c>
      <c r="DR88" s="210">
        <f t="shared" si="259"/>
        <v>0</v>
      </c>
      <c r="DS88" s="210">
        <f t="shared" si="259"/>
        <v>0</v>
      </c>
    </row>
    <row r="89" spans="1:124" ht="26.25" hidden="1" customHeight="1" outlineLevel="1" collapsed="1" x14ac:dyDescent="0.4">
      <c r="A89" s="347">
        <v>42</v>
      </c>
      <c r="B89" s="347" t="s">
        <v>47</v>
      </c>
      <c r="C89" s="347" t="s">
        <v>347</v>
      </c>
      <c r="D89" s="349" t="s">
        <v>348</v>
      </c>
      <c r="E89" s="349" t="s">
        <v>801</v>
      </c>
      <c r="F89" s="349" t="s">
        <v>782</v>
      </c>
      <c r="G89" s="563" t="s">
        <v>781</v>
      </c>
      <c r="H89" s="449">
        <f t="shared" ref="H89" si="261">SUM(DE89:DK89)</f>
        <v>0</v>
      </c>
      <c r="I89" s="449">
        <f t="shared" ref="I89" si="262">SUM(DE90:DK90)</f>
        <v>0</v>
      </c>
      <c r="J89" s="447"/>
      <c r="K89" s="445"/>
      <c r="L89" s="445"/>
      <c r="M89" s="428"/>
      <c r="N89" s="21" t="s">
        <v>24</v>
      </c>
      <c r="O89" s="190">
        <f t="shared" si="248"/>
        <v>0</v>
      </c>
      <c r="P89" s="190">
        <f t="shared" si="248"/>
        <v>0</v>
      </c>
      <c r="Q89" s="190">
        <f t="shared" si="248"/>
        <v>0</v>
      </c>
      <c r="R89" s="190">
        <f t="shared" si="248"/>
        <v>0</v>
      </c>
      <c r="S89" s="190">
        <f t="shared" si="248"/>
        <v>0</v>
      </c>
      <c r="T89" s="190">
        <f t="shared" si="248"/>
        <v>0</v>
      </c>
      <c r="U89" s="190">
        <f t="shared" si="248"/>
        <v>0</v>
      </c>
      <c r="V89" s="190">
        <f t="shared" si="248"/>
        <v>0</v>
      </c>
      <c r="W89" s="190">
        <f t="shared" si="248"/>
        <v>0</v>
      </c>
      <c r="X89" s="86">
        <f t="shared" si="248"/>
        <v>0</v>
      </c>
      <c r="Y89" s="190">
        <f t="shared" ref="Y89:AD106" si="263">0/142.5</f>
        <v>0</v>
      </c>
      <c r="Z89" s="190">
        <f t="shared" si="263"/>
        <v>0</v>
      </c>
      <c r="AA89" s="190">
        <f t="shared" si="263"/>
        <v>0</v>
      </c>
      <c r="AB89" s="190">
        <f t="shared" si="263"/>
        <v>0</v>
      </c>
      <c r="AC89" s="190">
        <f t="shared" si="263"/>
        <v>0</v>
      </c>
      <c r="AD89" s="190">
        <f t="shared" si="263"/>
        <v>0</v>
      </c>
      <c r="AE89" s="190">
        <f t="shared" si="260"/>
        <v>0</v>
      </c>
      <c r="AF89" s="190"/>
      <c r="AG89" s="190">
        <f t="shared" si="260"/>
        <v>0</v>
      </c>
      <c r="AH89" s="190">
        <f t="shared" si="260"/>
        <v>0</v>
      </c>
      <c r="AI89" s="77">
        <f t="shared" si="232"/>
        <v>0</v>
      </c>
      <c r="AJ89" s="190">
        <f t="shared" si="232"/>
        <v>0</v>
      </c>
      <c r="AK89" s="190">
        <f t="shared" si="232"/>
        <v>0</v>
      </c>
      <c r="AL89" s="190">
        <f t="shared" si="232"/>
        <v>0</v>
      </c>
      <c r="AM89" s="190">
        <f t="shared" si="232"/>
        <v>0</v>
      </c>
      <c r="AN89" s="190">
        <f t="shared" si="232"/>
        <v>0</v>
      </c>
      <c r="AO89" s="190">
        <f t="shared" si="232"/>
        <v>0</v>
      </c>
      <c r="AP89" s="190">
        <f t="shared" si="232"/>
        <v>0</v>
      </c>
      <c r="AQ89" s="190">
        <f t="shared" si="232"/>
        <v>0</v>
      </c>
      <c r="AR89" s="225">
        <f t="shared" si="232"/>
        <v>0</v>
      </c>
      <c r="AS89" s="23">
        <f t="shared" si="236"/>
        <v>0</v>
      </c>
      <c r="AT89" s="190">
        <f t="shared" si="236"/>
        <v>0</v>
      </c>
      <c r="AU89" s="190">
        <f t="shared" si="236"/>
        <v>0</v>
      </c>
      <c r="AV89" s="190">
        <f t="shared" si="236"/>
        <v>0</v>
      </c>
      <c r="AW89" s="190">
        <f t="shared" si="236"/>
        <v>0</v>
      </c>
      <c r="AX89" s="190">
        <f t="shared" si="251"/>
        <v>0</v>
      </c>
      <c r="AY89" s="190">
        <f t="shared" si="251"/>
        <v>0</v>
      </c>
      <c r="AZ89" s="190">
        <f t="shared" si="251"/>
        <v>0</v>
      </c>
      <c r="BA89" s="190">
        <f t="shared" si="251"/>
        <v>0</v>
      </c>
      <c r="BB89" s="225">
        <f t="shared" si="251"/>
        <v>0</v>
      </c>
      <c r="BC89" s="77">
        <f t="shared" si="233"/>
        <v>0</v>
      </c>
      <c r="BD89" s="190">
        <f t="shared" si="233"/>
        <v>0</v>
      </c>
      <c r="BE89" s="190">
        <f t="shared" si="233"/>
        <v>0</v>
      </c>
      <c r="BF89" s="190">
        <f t="shared" si="233"/>
        <v>0</v>
      </c>
      <c r="BG89" s="190">
        <f t="shared" si="233"/>
        <v>0</v>
      </c>
      <c r="BH89" s="190">
        <f t="shared" si="233"/>
        <v>0</v>
      </c>
      <c r="BI89" s="190">
        <f t="shared" si="233"/>
        <v>0</v>
      </c>
      <c r="BJ89" s="190">
        <f t="shared" si="252"/>
        <v>0</v>
      </c>
      <c r="BK89" s="190">
        <f t="shared" si="252"/>
        <v>0</v>
      </c>
      <c r="BL89" s="190">
        <f t="shared" si="252"/>
        <v>0</v>
      </c>
      <c r="BM89" s="77">
        <f t="shared" si="210"/>
        <v>0</v>
      </c>
      <c r="BN89" s="190">
        <f t="shared" si="210"/>
        <v>0</v>
      </c>
      <c r="BO89" s="190">
        <f t="shared" si="210"/>
        <v>0</v>
      </c>
      <c r="BP89" s="190">
        <f t="shared" si="210"/>
        <v>0</v>
      </c>
      <c r="BQ89" s="190">
        <f t="shared" si="210"/>
        <v>0</v>
      </c>
      <c r="BR89" s="190">
        <f t="shared" si="210"/>
        <v>0</v>
      </c>
      <c r="BS89" s="190">
        <f t="shared" si="210"/>
        <v>0</v>
      </c>
      <c r="BT89" s="190"/>
      <c r="BU89" s="190"/>
      <c r="BV89" s="190">
        <f t="shared" si="210"/>
        <v>0</v>
      </c>
      <c r="BW89" s="23">
        <f t="shared" si="242"/>
        <v>0</v>
      </c>
      <c r="BX89" s="190">
        <f t="shared" si="242"/>
        <v>0</v>
      </c>
      <c r="BY89" s="190">
        <f t="shared" si="242"/>
        <v>0</v>
      </c>
      <c r="BZ89" s="190">
        <f t="shared" si="242"/>
        <v>0</v>
      </c>
      <c r="CA89" s="190">
        <f t="shared" si="242"/>
        <v>0</v>
      </c>
      <c r="CB89" s="190">
        <f t="shared" si="253"/>
        <v>0</v>
      </c>
      <c r="CC89" s="190">
        <f t="shared" si="253"/>
        <v>0</v>
      </c>
      <c r="CD89" s="190">
        <f t="shared" si="253"/>
        <v>0</v>
      </c>
      <c r="CE89" s="190">
        <f t="shared" si="253"/>
        <v>0</v>
      </c>
      <c r="CF89" s="190">
        <f t="shared" si="253"/>
        <v>0</v>
      </c>
      <c r="CG89" s="23">
        <f t="shared" si="254"/>
        <v>0</v>
      </c>
      <c r="CH89" s="190">
        <f t="shared" si="254"/>
        <v>0</v>
      </c>
      <c r="CI89" s="190">
        <f t="shared" si="254"/>
        <v>0</v>
      </c>
      <c r="CJ89" s="190">
        <f t="shared" si="254"/>
        <v>0</v>
      </c>
      <c r="CK89" s="190">
        <f t="shared" si="254"/>
        <v>0</v>
      </c>
      <c r="CL89" s="190">
        <f t="shared" si="255"/>
        <v>0</v>
      </c>
      <c r="CM89" s="190">
        <f t="shared" si="255"/>
        <v>0</v>
      </c>
      <c r="CN89" s="190">
        <f t="shared" si="255"/>
        <v>0</v>
      </c>
      <c r="CO89" s="190">
        <f t="shared" si="255"/>
        <v>0</v>
      </c>
      <c r="CP89" s="21">
        <f t="shared" si="255"/>
        <v>0</v>
      </c>
      <c r="CQ89" s="23">
        <f>(5)/150</f>
        <v>3.3333333333333333E-2</v>
      </c>
      <c r="CR89" s="190">
        <f>(6)/150</f>
        <v>0.04</v>
      </c>
      <c r="CS89" s="190">
        <f t="shared" si="246"/>
        <v>0</v>
      </c>
      <c r="CT89" s="190">
        <f t="shared" si="246"/>
        <v>0</v>
      </c>
      <c r="CU89" s="190">
        <f t="shared" si="246"/>
        <v>0</v>
      </c>
      <c r="CV89" s="190">
        <f>(7)/150</f>
        <v>4.6666666666666669E-2</v>
      </c>
      <c r="CW89" s="190">
        <f>(7)/150</f>
        <v>4.6666666666666669E-2</v>
      </c>
      <c r="CX89" s="77">
        <f t="shared" si="212"/>
        <v>0</v>
      </c>
      <c r="CY89" s="190">
        <f t="shared" si="212"/>
        <v>0</v>
      </c>
      <c r="CZ89" s="190">
        <f t="shared" si="212"/>
        <v>0</v>
      </c>
      <c r="DA89" s="190">
        <f t="shared" si="212"/>
        <v>0</v>
      </c>
      <c r="DB89" s="190">
        <f t="shared" si="212"/>
        <v>0</v>
      </c>
      <c r="DC89" s="190">
        <f t="shared" si="256"/>
        <v>0</v>
      </c>
      <c r="DD89" s="190">
        <f t="shared" si="256"/>
        <v>0</v>
      </c>
      <c r="DE89" s="23">
        <f t="shared" si="247"/>
        <v>0</v>
      </c>
      <c r="DF89" s="190">
        <f t="shared" si="247"/>
        <v>0</v>
      </c>
      <c r="DG89" s="190">
        <f t="shared" si="247"/>
        <v>0</v>
      </c>
      <c r="DH89" s="190">
        <f t="shared" si="247"/>
        <v>0</v>
      </c>
      <c r="DI89" s="190">
        <f t="shared" si="247"/>
        <v>0</v>
      </c>
      <c r="DJ89" s="190">
        <f t="shared" si="257"/>
        <v>0</v>
      </c>
      <c r="DK89" s="190">
        <f t="shared" si="257"/>
        <v>0</v>
      </c>
      <c r="DL89" s="23">
        <f t="shared" si="258"/>
        <v>0</v>
      </c>
      <c r="DM89" s="10">
        <f t="shared" si="258"/>
        <v>0</v>
      </c>
      <c r="DN89" s="10">
        <f t="shared" si="258"/>
        <v>0</v>
      </c>
      <c r="DO89" s="10">
        <f t="shared" si="258"/>
        <v>0</v>
      </c>
      <c r="DP89" s="10">
        <f t="shared" si="258"/>
        <v>0</v>
      </c>
      <c r="DQ89" s="190">
        <f t="shared" si="259"/>
        <v>0</v>
      </c>
      <c r="DR89" s="190">
        <f t="shared" si="259"/>
        <v>0</v>
      </c>
      <c r="DS89" s="190">
        <f t="shared" si="259"/>
        <v>0</v>
      </c>
      <c r="DT89" s="54"/>
    </row>
    <row r="90" spans="1:124" ht="26.25" hidden="1" customHeight="1" outlineLevel="1" x14ac:dyDescent="0.4">
      <c r="A90" s="348"/>
      <c r="B90" s="348"/>
      <c r="C90" s="348"/>
      <c r="D90" s="350"/>
      <c r="E90" s="350"/>
      <c r="F90" s="350"/>
      <c r="G90" s="565"/>
      <c r="H90" s="450"/>
      <c r="I90" s="450"/>
      <c r="J90" s="448"/>
      <c r="K90" s="446"/>
      <c r="L90" s="446"/>
      <c r="M90" s="429"/>
      <c r="N90" s="209" t="s">
        <v>25</v>
      </c>
      <c r="O90" s="209">
        <f t="shared" si="248"/>
        <v>0</v>
      </c>
      <c r="P90" s="209">
        <f t="shared" si="248"/>
        <v>0</v>
      </c>
      <c r="Q90" s="209">
        <f t="shared" si="248"/>
        <v>0</v>
      </c>
      <c r="R90" s="209">
        <f t="shared" si="248"/>
        <v>0</v>
      </c>
      <c r="S90" s="209">
        <f t="shared" si="248"/>
        <v>0</v>
      </c>
      <c r="T90" s="209">
        <f t="shared" si="248"/>
        <v>0</v>
      </c>
      <c r="U90" s="209">
        <f t="shared" si="248"/>
        <v>0</v>
      </c>
      <c r="V90" s="209">
        <f t="shared" si="248"/>
        <v>0</v>
      </c>
      <c r="W90" s="209">
        <f t="shared" si="248"/>
        <v>0</v>
      </c>
      <c r="X90" s="53">
        <f t="shared" si="248"/>
        <v>0</v>
      </c>
      <c r="Y90" s="209">
        <f t="shared" si="263"/>
        <v>0</v>
      </c>
      <c r="Z90" s="209">
        <f t="shared" si="263"/>
        <v>0</v>
      </c>
      <c r="AA90" s="209">
        <f t="shared" si="263"/>
        <v>0</v>
      </c>
      <c r="AB90" s="209">
        <f t="shared" si="263"/>
        <v>0</v>
      </c>
      <c r="AC90" s="209">
        <f t="shared" si="263"/>
        <v>0</v>
      </c>
      <c r="AD90" s="209">
        <f t="shared" si="263"/>
        <v>0</v>
      </c>
      <c r="AE90" s="209">
        <f t="shared" si="260"/>
        <v>0</v>
      </c>
      <c r="AF90" s="209"/>
      <c r="AG90" s="209">
        <f t="shared" si="260"/>
        <v>0</v>
      </c>
      <c r="AH90" s="209">
        <f t="shared" si="260"/>
        <v>0</v>
      </c>
      <c r="AI90" s="58">
        <f t="shared" si="232"/>
        <v>0</v>
      </c>
      <c r="AJ90" s="209">
        <f t="shared" si="232"/>
        <v>0</v>
      </c>
      <c r="AK90" s="209">
        <f t="shared" si="232"/>
        <v>0</v>
      </c>
      <c r="AL90" s="209">
        <f t="shared" si="232"/>
        <v>0</v>
      </c>
      <c r="AM90" s="209">
        <f t="shared" si="232"/>
        <v>0</v>
      </c>
      <c r="AN90" s="209">
        <f t="shared" si="232"/>
        <v>0</v>
      </c>
      <c r="AO90" s="209">
        <f t="shared" si="232"/>
        <v>0</v>
      </c>
      <c r="AP90" s="209">
        <f t="shared" si="232"/>
        <v>0</v>
      </c>
      <c r="AQ90" s="209">
        <f t="shared" si="232"/>
        <v>0</v>
      </c>
      <c r="AR90" s="53">
        <f t="shared" si="232"/>
        <v>0</v>
      </c>
      <c r="AS90" s="65">
        <f t="shared" si="236"/>
        <v>0</v>
      </c>
      <c r="AT90" s="210">
        <f t="shared" si="236"/>
        <v>0</v>
      </c>
      <c r="AU90" s="210">
        <f t="shared" si="236"/>
        <v>0</v>
      </c>
      <c r="AV90" s="210">
        <f t="shared" si="236"/>
        <v>0</v>
      </c>
      <c r="AW90" s="280">
        <f t="shared" si="236"/>
        <v>0</v>
      </c>
      <c r="AX90" s="210">
        <f t="shared" si="251"/>
        <v>0</v>
      </c>
      <c r="AY90" s="210">
        <f t="shared" si="251"/>
        <v>0</v>
      </c>
      <c r="AZ90" s="210">
        <f t="shared" si="251"/>
        <v>0</v>
      </c>
      <c r="BA90" s="210">
        <f t="shared" si="251"/>
        <v>0</v>
      </c>
      <c r="BB90" s="53">
        <f t="shared" si="251"/>
        <v>0</v>
      </c>
      <c r="BC90" s="58">
        <f t="shared" si="233"/>
        <v>0</v>
      </c>
      <c r="BD90" s="209">
        <f t="shared" si="233"/>
        <v>0</v>
      </c>
      <c r="BE90" s="209">
        <f t="shared" si="233"/>
        <v>0</v>
      </c>
      <c r="BF90" s="209">
        <f t="shared" si="233"/>
        <v>0</v>
      </c>
      <c r="BG90" s="209">
        <f t="shared" si="233"/>
        <v>0</v>
      </c>
      <c r="BH90" s="209">
        <f t="shared" si="233"/>
        <v>0</v>
      </c>
      <c r="BI90" s="209">
        <f t="shared" si="233"/>
        <v>0</v>
      </c>
      <c r="BJ90" s="209">
        <f t="shared" si="252"/>
        <v>0</v>
      </c>
      <c r="BK90" s="209">
        <f t="shared" si="252"/>
        <v>0</v>
      </c>
      <c r="BL90" s="209">
        <f t="shared" si="252"/>
        <v>0</v>
      </c>
      <c r="BM90" s="58">
        <f t="shared" si="210"/>
        <v>0</v>
      </c>
      <c r="BN90" s="209">
        <f t="shared" si="210"/>
        <v>0</v>
      </c>
      <c r="BO90" s="209">
        <f t="shared" si="210"/>
        <v>0</v>
      </c>
      <c r="BP90" s="209">
        <f t="shared" si="210"/>
        <v>0</v>
      </c>
      <c r="BQ90" s="209">
        <f t="shared" si="210"/>
        <v>0</v>
      </c>
      <c r="BR90" s="209">
        <f t="shared" si="210"/>
        <v>0</v>
      </c>
      <c r="BS90" s="209">
        <f t="shared" ref="BS90:BS106" si="264">0/172.5</f>
        <v>0</v>
      </c>
      <c r="BT90" s="209"/>
      <c r="BU90" s="209"/>
      <c r="BV90" s="209">
        <f t="shared" si="210"/>
        <v>0</v>
      </c>
      <c r="BW90" s="65">
        <f t="shared" si="242"/>
        <v>0</v>
      </c>
      <c r="BX90" s="209">
        <f t="shared" si="242"/>
        <v>0</v>
      </c>
      <c r="BY90" s="209">
        <f t="shared" si="242"/>
        <v>0</v>
      </c>
      <c r="BZ90" s="209">
        <f t="shared" si="242"/>
        <v>0</v>
      </c>
      <c r="CA90" s="209">
        <f t="shared" si="242"/>
        <v>0</v>
      </c>
      <c r="CB90" s="209">
        <f t="shared" si="253"/>
        <v>0</v>
      </c>
      <c r="CC90" s="209">
        <f t="shared" si="253"/>
        <v>0</v>
      </c>
      <c r="CD90" s="209">
        <f t="shared" si="253"/>
        <v>0</v>
      </c>
      <c r="CE90" s="209">
        <f t="shared" si="253"/>
        <v>0</v>
      </c>
      <c r="CF90" s="209">
        <f t="shared" si="253"/>
        <v>0</v>
      </c>
      <c r="CG90" s="65">
        <f t="shared" si="254"/>
        <v>0</v>
      </c>
      <c r="CH90" s="210">
        <f t="shared" si="254"/>
        <v>0</v>
      </c>
      <c r="CI90" s="210">
        <f t="shared" si="254"/>
        <v>0</v>
      </c>
      <c r="CJ90" s="210">
        <f t="shared" si="254"/>
        <v>0</v>
      </c>
      <c r="CK90" s="210">
        <f t="shared" si="254"/>
        <v>0</v>
      </c>
      <c r="CL90" s="210">
        <f t="shared" si="255"/>
        <v>0</v>
      </c>
      <c r="CM90" s="210">
        <f t="shared" si="255"/>
        <v>0</v>
      </c>
      <c r="CN90" s="210">
        <f t="shared" si="255"/>
        <v>0</v>
      </c>
      <c r="CO90" s="210">
        <f t="shared" si="255"/>
        <v>0</v>
      </c>
      <c r="CP90" s="66">
        <f t="shared" si="255"/>
        <v>0</v>
      </c>
      <c r="CQ90" s="65">
        <f>(3)/150</f>
        <v>0.02</v>
      </c>
      <c r="CR90" s="209">
        <f>(4.5)/150</f>
        <v>0.03</v>
      </c>
      <c r="CS90" s="209">
        <f t="shared" si="246"/>
        <v>0</v>
      </c>
      <c r="CT90" s="209">
        <f t="shared" si="246"/>
        <v>0</v>
      </c>
      <c r="CU90" s="209">
        <f t="shared" si="246"/>
        <v>0</v>
      </c>
      <c r="CV90" s="209">
        <f>(4.5)/150</f>
        <v>0.03</v>
      </c>
      <c r="CW90" s="209">
        <f>(9)/150</f>
        <v>0.06</v>
      </c>
      <c r="CX90" s="65">
        <f t="shared" si="212"/>
        <v>0</v>
      </c>
      <c r="CY90" s="210">
        <f t="shared" si="212"/>
        <v>0</v>
      </c>
      <c r="CZ90" s="210">
        <f t="shared" si="212"/>
        <v>0</v>
      </c>
      <c r="DA90" s="210">
        <f t="shared" si="212"/>
        <v>0</v>
      </c>
      <c r="DB90" s="210">
        <f t="shared" si="212"/>
        <v>0</v>
      </c>
      <c r="DC90" s="210">
        <f t="shared" si="256"/>
        <v>0</v>
      </c>
      <c r="DD90" s="209">
        <f t="shared" si="256"/>
        <v>0</v>
      </c>
      <c r="DE90" s="65">
        <f t="shared" si="247"/>
        <v>0</v>
      </c>
      <c r="DF90" s="210">
        <f t="shared" si="247"/>
        <v>0</v>
      </c>
      <c r="DG90" s="210">
        <f t="shared" si="247"/>
        <v>0</v>
      </c>
      <c r="DH90" s="210">
        <f t="shared" si="247"/>
        <v>0</v>
      </c>
      <c r="DI90" s="210">
        <f t="shared" si="247"/>
        <v>0</v>
      </c>
      <c r="DJ90" s="210">
        <f t="shared" si="257"/>
        <v>0</v>
      </c>
      <c r="DK90" s="210">
        <f t="shared" si="257"/>
        <v>0</v>
      </c>
      <c r="DL90" s="65">
        <f t="shared" si="258"/>
        <v>0</v>
      </c>
      <c r="DM90" s="60">
        <f t="shared" si="258"/>
        <v>0</v>
      </c>
      <c r="DN90" s="60">
        <f t="shared" si="258"/>
        <v>0</v>
      </c>
      <c r="DO90" s="60">
        <f t="shared" si="258"/>
        <v>0</v>
      </c>
      <c r="DP90" s="60">
        <f t="shared" si="258"/>
        <v>0</v>
      </c>
      <c r="DQ90" s="210">
        <f t="shared" si="259"/>
        <v>0</v>
      </c>
      <c r="DR90" s="210">
        <f t="shared" si="259"/>
        <v>0</v>
      </c>
      <c r="DS90" s="210">
        <f t="shared" si="259"/>
        <v>0</v>
      </c>
    </row>
    <row r="91" spans="1:124" ht="26.25" hidden="1" customHeight="1" outlineLevel="1" collapsed="1" x14ac:dyDescent="0.4">
      <c r="A91" s="347">
        <v>43</v>
      </c>
      <c r="B91" s="347" t="s">
        <v>47</v>
      </c>
      <c r="C91" s="347" t="s">
        <v>14</v>
      </c>
      <c r="D91" s="349" t="s">
        <v>348</v>
      </c>
      <c r="E91" s="349" t="s">
        <v>783</v>
      </c>
      <c r="F91" s="349"/>
      <c r="G91" s="563" t="s">
        <v>784</v>
      </c>
      <c r="H91" s="449">
        <f t="shared" ref="H91" si="265">SUM(DE91:DK91)</f>
        <v>0</v>
      </c>
      <c r="I91" s="449">
        <f t="shared" ref="I91" si="266">SUM(DE92:DK92)</f>
        <v>0</v>
      </c>
      <c r="J91" s="447"/>
      <c r="K91" s="445"/>
      <c r="L91" s="445"/>
      <c r="M91" s="428"/>
      <c r="N91" s="21" t="s">
        <v>24</v>
      </c>
      <c r="O91" s="190">
        <f t="shared" si="248"/>
        <v>0</v>
      </c>
      <c r="P91" s="190">
        <f t="shared" si="248"/>
        <v>0</v>
      </c>
      <c r="Q91" s="190">
        <f t="shared" si="248"/>
        <v>0</v>
      </c>
      <c r="R91" s="190">
        <f t="shared" si="248"/>
        <v>0</v>
      </c>
      <c r="S91" s="190">
        <f t="shared" si="248"/>
        <v>0</v>
      </c>
      <c r="T91" s="190">
        <f t="shared" si="248"/>
        <v>0</v>
      </c>
      <c r="U91" s="190">
        <f t="shared" si="248"/>
        <v>0</v>
      </c>
      <c r="V91" s="190">
        <f t="shared" si="248"/>
        <v>0</v>
      </c>
      <c r="W91" s="190">
        <f t="shared" si="248"/>
        <v>0</v>
      </c>
      <c r="X91" s="86">
        <f t="shared" si="248"/>
        <v>0</v>
      </c>
      <c r="Y91" s="190">
        <f t="shared" si="263"/>
        <v>0</v>
      </c>
      <c r="Z91" s="190">
        <f t="shared" si="263"/>
        <v>0</v>
      </c>
      <c r="AA91" s="190">
        <f t="shared" si="263"/>
        <v>0</v>
      </c>
      <c r="AB91" s="190">
        <f t="shared" si="263"/>
        <v>0</v>
      </c>
      <c r="AC91" s="190">
        <f t="shared" si="263"/>
        <v>0</v>
      </c>
      <c r="AD91" s="190">
        <f t="shared" si="263"/>
        <v>0</v>
      </c>
      <c r="AE91" s="190">
        <f t="shared" si="260"/>
        <v>0</v>
      </c>
      <c r="AF91" s="190"/>
      <c r="AG91" s="190">
        <f t="shared" si="260"/>
        <v>0</v>
      </c>
      <c r="AH91" s="190">
        <f t="shared" si="260"/>
        <v>0</v>
      </c>
      <c r="AI91" s="77">
        <f t="shared" si="232"/>
        <v>0</v>
      </c>
      <c r="AJ91" s="190">
        <f t="shared" si="232"/>
        <v>0</v>
      </c>
      <c r="AK91" s="190">
        <f t="shared" si="232"/>
        <v>0</v>
      </c>
      <c r="AL91" s="190">
        <f t="shared" si="232"/>
        <v>0</v>
      </c>
      <c r="AM91" s="190">
        <f t="shared" si="232"/>
        <v>0</v>
      </c>
      <c r="AN91" s="190">
        <f t="shared" si="232"/>
        <v>0</v>
      </c>
      <c r="AO91" s="190">
        <f t="shared" si="232"/>
        <v>0</v>
      </c>
      <c r="AP91" s="190">
        <f t="shared" si="232"/>
        <v>0</v>
      </c>
      <c r="AQ91" s="190">
        <f t="shared" si="232"/>
        <v>0</v>
      </c>
      <c r="AR91" s="225">
        <f t="shared" si="232"/>
        <v>0</v>
      </c>
      <c r="AS91" s="23">
        <f t="shared" si="236"/>
        <v>0</v>
      </c>
      <c r="AT91" s="190">
        <f t="shared" si="236"/>
        <v>0</v>
      </c>
      <c r="AU91" s="190">
        <f t="shared" si="236"/>
        <v>0</v>
      </c>
      <c r="AV91" s="190">
        <f t="shared" si="236"/>
        <v>0</v>
      </c>
      <c r="AW91" s="190">
        <f t="shared" si="236"/>
        <v>0</v>
      </c>
      <c r="AX91" s="190">
        <f t="shared" si="251"/>
        <v>0</v>
      </c>
      <c r="AY91" s="190">
        <f t="shared" si="251"/>
        <v>0</v>
      </c>
      <c r="AZ91" s="190">
        <f t="shared" si="251"/>
        <v>0</v>
      </c>
      <c r="BA91" s="190">
        <f t="shared" si="251"/>
        <v>0</v>
      </c>
      <c r="BB91" s="225">
        <f t="shared" si="251"/>
        <v>0</v>
      </c>
      <c r="BC91" s="77">
        <f t="shared" si="233"/>
        <v>0</v>
      </c>
      <c r="BD91" s="190">
        <f t="shared" si="233"/>
        <v>0</v>
      </c>
      <c r="BE91" s="190">
        <f t="shared" si="233"/>
        <v>0</v>
      </c>
      <c r="BF91" s="190">
        <f t="shared" si="233"/>
        <v>0</v>
      </c>
      <c r="BG91" s="190">
        <f t="shared" si="233"/>
        <v>0</v>
      </c>
      <c r="BH91" s="190">
        <f t="shared" si="233"/>
        <v>0</v>
      </c>
      <c r="BI91" s="190">
        <f t="shared" si="233"/>
        <v>0</v>
      </c>
      <c r="BJ91" s="190">
        <f t="shared" si="252"/>
        <v>0</v>
      </c>
      <c r="BK91" s="190">
        <f t="shared" si="252"/>
        <v>0</v>
      </c>
      <c r="BL91" s="190">
        <f t="shared" si="252"/>
        <v>0</v>
      </c>
      <c r="BM91" s="77">
        <f t="shared" si="210"/>
        <v>0</v>
      </c>
      <c r="BN91" s="190">
        <f t="shared" si="210"/>
        <v>0</v>
      </c>
      <c r="BO91" s="190">
        <f t="shared" si="210"/>
        <v>0</v>
      </c>
      <c r="BP91" s="190">
        <f t="shared" si="210"/>
        <v>0</v>
      </c>
      <c r="BQ91" s="190">
        <f t="shared" si="210"/>
        <v>0</v>
      </c>
      <c r="BR91" s="190">
        <f t="shared" si="210"/>
        <v>0</v>
      </c>
      <c r="BS91" s="190">
        <f t="shared" si="264"/>
        <v>0</v>
      </c>
      <c r="BT91" s="190"/>
      <c r="BU91" s="190"/>
      <c r="BV91" s="190">
        <f t="shared" si="210"/>
        <v>0</v>
      </c>
      <c r="BW91" s="23">
        <f t="shared" si="242"/>
        <v>0</v>
      </c>
      <c r="BX91" s="190">
        <f t="shared" si="242"/>
        <v>0</v>
      </c>
      <c r="BY91" s="190">
        <f t="shared" si="242"/>
        <v>0</v>
      </c>
      <c r="BZ91" s="190">
        <f t="shared" si="242"/>
        <v>0</v>
      </c>
      <c r="CA91" s="190">
        <f t="shared" si="242"/>
        <v>0</v>
      </c>
      <c r="CB91" s="190">
        <f t="shared" si="253"/>
        <v>0</v>
      </c>
      <c r="CC91" s="190">
        <f t="shared" si="253"/>
        <v>0</v>
      </c>
      <c r="CD91" s="190">
        <f t="shared" si="253"/>
        <v>0</v>
      </c>
      <c r="CE91" s="190">
        <f t="shared" si="253"/>
        <v>0</v>
      </c>
      <c r="CF91" s="190">
        <f t="shared" si="253"/>
        <v>0</v>
      </c>
      <c r="CG91" s="23">
        <f t="shared" si="254"/>
        <v>0</v>
      </c>
      <c r="CH91" s="190">
        <f t="shared" si="254"/>
        <v>0</v>
      </c>
      <c r="CI91" s="190">
        <f t="shared" si="254"/>
        <v>0</v>
      </c>
      <c r="CJ91" s="190">
        <f t="shared" si="254"/>
        <v>0</v>
      </c>
      <c r="CK91" s="190">
        <f t="shared" si="254"/>
        <v>0</v>
      </c>
      <c r="CL91" s="190">
        <f t="shared" si="255"/>
        <v>0</v>
      </c>
      <c r="CM91" s="190">
        <f t="shared" si="255"/>
        <v>0</v>
      </c>
      <c r="CN91" s="190">
        <f t="shared" si="255"/>
        <v>0</v>
      </c>
      <c r="CO91" s="190">
        <f t="shared" si="255"/>
        <v>0</v>
      </c>
      <c r="CP91" s="21">
        <f t="shared" si="255"/>
        <v>0</v>
      </c>
      <c r="CQ91" s="23">
        <f>(5)/150</f>
        <v>3.3333333333333333E-2</v>
      </c>
      <c r="CR91" s="190">
        <f t="shared" si="246"/>
        <v>0</v>
      </c>
      <c r="CS91" s="190">
        <f>(5)/150</f>
        <v>3.3333333333333333E-2</v>
      </c>
      <c r="CT91" s="190">
        <f t="shared" ref="CT91:CU91" si="267">(5)/150</f>
        <v>3.3333333333333333E-2</v>
      </c>
      <c r="CU91" s="190">
        <f t="shared" si="267"/>
        <v>3.3333333333333333E-2</v>
      </c>
      <c r="CV91" s="190">
        <f t="shared" si="246"/>
        <v>0</v>
      </c>
      <c r="CW91" s="190">
        <f>(5)/150</f>
        <v>3.3333333333333333E-2</v>
      </c>
      <c r="CX91" s="77">
        <f t="shared" si="212"/>
        <v>0</v>
      </c>
      <c r="CY91" s="190">
        <f t="shared" si="212"/>
        <v>0</v>
      </c>
      <c r="CZ91" s="190">
        <f t="shared" si="212"/>
        <v>0</v>
      </c>
      <c r="DA91" s="190">
        <f t="shared" si="212"/>
        <v>0</v>
      </c>
      <c r="DB91" s="190">
        <f t="shared" si="212"/>
        <v>0</v>
      </c>
      <c r="DC91" s="190">
        <f t="shared" si="256"/>
        <v>0</v>
      </c>
      <c r="DD91" s="190">
        <f t="shared" si="256"/>
        <v>0</v>
      </c>
      <c r="DE91" s="23">
        <f t="shared" si="247"/>
        <v>0</v>
      </c>
      <c r="DF91" s="190">
        <f t="shared" si="247"/>
        <v>0</v>
      </c>
      <c r="DG91" s="190">
        <f t="shared" si="247"/>
        <v>0</v>
      </c>
      <c r="DH91" s="190">
        <f t="shared" si="247"/>
        <v>0</v>
      </c>
      <c r="DI91" s="190">
        <f t="shared" si="247"/>
        <v>0</v>
      </c>
      <c r="DJ91" s="190">
        <f t="shared" si="257"/>
        <v>0</v>
      </c>
      <c r="DK91" s="190">
        <f t="shared" si="257"/>
        <v>0</v>
      </c>
      <c r="DL91" s="23">
        <f t="shared" si="258"/>
        <v>0</v>
      </c>
      <c r="DM91" s="10">
        <f t="shared" si="258"/>
        <v>0</v>
      </c>
      <c r="DN91" s="10">
        <f t="shared" si="258"/>
        <v>0</v>
      </c>
      <c r="DO91" s="10">
        <f t="shared" si="258"/>
        <v>0</v>
      </c>
      <c r="DP91" s="10">
        <f t="shared" si="258"/>
        <v>0</v>
      </c>
      <c r="DQ91" s="190">
        <f t="shared" si="259"/>
        <v>0</v>
      </c>
      <c r="DR91" s="190">
        <f t="shared" si="259"/>
        <v>0</v>
      </c>
      <c r="DS91" s="190">
        <f t="shared" si="259"/>
        <v>0</v>
      </c>
      <c r="DT91" s="54"/>
    </row>
    <row r="92" spans="1:124" ht="26.25" hidden="1" customHeight="1" outlineLevel="1" x14ac:dyDescent="0.4">
      <c r="A92" s="348"/>
      <c r="B92" s="348"/>
      <c r="C92" s="348"/>
      <c r="D92" s="350"/>
      <c r="E92" s="350"/>
      <c r="F92" s="350"/>
      <c r="G92" s="565"/>
      <c r="H92" s="450"/>
      <c r="I92" s="450"/>
      <c r="J92" s="448"/>
      <c r="K92" s="446"/>
      <c r="L92" s="446"/>
      <c r="M92" s="429"/>
      <c r="N92" s="209" t="s">
        <v>25</v>
      </c>
      <c r="O92" s="209">
        <f t="shared" si="248"/>
        <v>0</v>
      </c>
      <c r="P92" s="209">
        <f t="shared" si="248"/>
        <v>0</v>
      </c>
      <c r="Q92" s="209">
        <f t="shared" si="248"/>
        <v>0</v>
      </c>
      <c r="R92" s="209">
        <f t="shared" si="248"/>
        <v>0</v>
      </c>
      <c r="S92" s="209">
        <f t="shared" si="248"/>
        <v>0</v>
      </c>
      <c r="T92" s="209">
        <f t="shared" si="248"/>
        <v>0</v>
      </c>
      <c r="U92" s="209">
        <f t="shared" si="248"/>
        <v>0</v>
      </c>
      <c r="V92" s="209">
        <f t="shared" si="248"/>
        <v>0</v>
      </c>
      <c r="W92" s="209">
        <f t="shared" si="248"/>
        <v>0</v>
      </c>
      <c r="X92" s="53">
        <f t="shared" si="248"/>
        <v>0</v>
      </c>
      <c r="Y92" s="209">
        <f t="shared" si="263"/>
        <v>0</v>
      </c>
      <c r="Z92" s="209">
        <f t="shared" si="263"/>
        <v>0</v>
      </c>
      <c r="AA92" s="209">
        <f t="shared" si="263"/>
        <v>0</v>
      </c>
      <c r="AB92" s="209">
        <f t="shared" si="263"/>
        <v>0</v>
      </c>
      <c r="AC92" s="209">
        <f t="shared" si="263"/>
        <v>0</v>
      </c>
      <c r="AD92" s="209">
        <f t="shared" si="263"/>
        <v>0</v>
      </c>
      <c r="AE92" s="209">
        <f t="shared" si="260"/>
        <v>0</v>
      </c>
      <c r="AF92" s="209"/>
      <c r="AG92" s="209">
        <f t="shared" si="260"/>
        <v>0</v>
      </c>
      <c r="AH92" s="209">
        <f t="shared" si="260"/>
        <v>0</v>
      </c>
      <c r="AI92" s="58">
        <f t="shared" si="232"/>
        <v>0</v>
      </c>
      <c r="AJ92" s="209">
        <f t="shared" si="232"/>
        <v>0</v>
      </c>
      <c r="AK92" s="209">
        <f t="shared" si="232"/>
        <v>0</v>
      </c>
      <c r="AL92" s="209">
        <f t="shared" si="232"/>
        <v>0</v>
      </c>
      <c r="AM92" s="209">
        <f t="shared" si="232"/>
        <v>0</v>
      </c>
      <c r="AN92" s="209">
        <f t="shared" si="232"/>
        <v>0</v>
      </c>
      <c r="AO92" s="209">
        <f t="shared" si="232"/>
        <v>0</v>
      </c>
      <c r="AP92" s="209">
        <f t="shared" si="232"/>
        <v>0</v>
      </c>
      <c r="AQ92" s="209">
        <f t="shared" si="232"/>
        <v>0</v>
      </c>
      <c r="AR92" s="53">
        <f t="shared" si="232"/>
        <v>0</v>
      </c>
      <c r="AS92" s="65">
        <f t="shared" si="236"/>
        <v>0</v>
      </c>
      <c r="AT92" s="210">
        <f t="shared" si="236"/>
        <v>0</v>
      </c>
      <c r="AU92" s="210">
        <f t="shared" si="236"/>
        <v>0</v>
      </c>
      <c r="AV92" s="210">
        <f t="shared" si="236"/>
        <v>0</v>
      </c>
      <c r="AW92" s="280">
        <f t="shared" si="236"/>
        <v>0</v>
      </c>
      <c r="AX92" s="210">
        <f t="shared" si="251"/>
        <v>0</v>
      </c>
      <c r="AY92" s="210">
        <f t="shared" si="251"/>
        <v>0</v>
      </c>
      <c r="AZ92" s="210">
        <f t="shared" si="251"/>
        <v>0</v>
      </c>
      <c r="BA92" s="210">
        <f t="shared" si="251"/>
        <v>0</v>
      </c>
      <c r="BB92" s="53">
        <f t="shared" si="251"/>
        <v>0</v>
      </c>
      <c r="BC92" s="58">
        <f t="shared" si="233"/>
        <v>0</v>
      </c>
      <c r="BD92" s="209">
        <f t="shared" si="233"/>
        <v>0</v>
      </c>
      <c r="BE92" s="209">
        <f t="shared" si="233"/>
        <v>0</v>
      </c>
      <c r="BF92" s="209">
        <f t="shared" si="233"/>
        <v>0</v>
      </c>
      <c r="BG92" s="209">
        <f t="shared" si="233"/>
        <v>0</v>
      </c>
      <c r="BH92" s="209">
        <f t="shared" si="233"/>
        <v>0</v>
      </c>
      <c r="BI92" s="209">
        <f t="shared" si="233"/>
        <v>0</v>
      </c>
      <c r="BJ92" s="209">
        <f t="shared" si="252"/>
        <v>0</v>
      </c>
      <c r="BK92" s="209">
        <f t="shared" si="252"/>
        <v>0</v>
      </c>
      <c r="BL92" s="209">
        <f t="shared" si="252"/>
        <v>0</v>
      </c>
      <c r="BM92" s="58">
        <f t="shared" si="210"/>
        <v>0</v>
      </c>
      <c r="BN92" s="209">
        <f t="shared" si="210"/>
        <v>0</v>
      </c>
      <c r="BO92" s="209">
        <f t="shared" si="210"/>
        <v>0</v>
      </c>
      <c r="BP92" s="209">
        <f t="shared" si="210"/>
        <v>0</v>
      </c>
      <c r="BQ92" s="209">
        <f t="shared" si="210"/>
        <v>0</v>
      </c>
      <c r="BR92" s="209">
        <f t="shared" si="210"/>
        <v>0</v>
      </c>
      <c r="BS92" s="209">
        <f t="shared" si="264"/>
        <v>0</v>
      </c>
      <c r="BT92" s="209"/>
      <c r="BU92" s="209"/>
      <c r="BV92" s="209">
        <f t="shared" si="210"/>
        <v>0</v>
      </c>
      <c r="BW92" s="65">
        <f t="shared" si="242"/>
        <v>0</v>
      </c>
      <c r="BX92" s="209">
        <f t="shared" si="242"/>
        <v>0</v>
      </c>
      <c r="BY92" s="209">
        <f t="shared" si="242"/>
        <v>0</v>
      </c>
      <c r="BZ92" s="209">
        <f t="shared" si="242"/>
        <v>0</v>
      </c>
      <c r="CA92" s="209">
        <f t="shared" si="242"/>
        <v>0</v>
      </c>
      <c r="CB92" s="209">
        <f t="shared" si="253"/>
        <v>0</v>
      </c>
      <c r="CC92" s="209">
        <f t="shared" si="253"/>
        <v>0</v>
      </c>
      <c r="CD92" s="209">
        <f t="shared" si="253"/>
        <v>0</v>
      </c>
      <c r="CE92" s="209">
        <f t="shared" si="253"/>
        <v>0</v>
      </c>
      <c r="CF92" s="209">
        <f t="shared" si="253"/>
        <v>0</v>
      </c>
      <c r="CG92" s="65">
        <f t="shared" si="254"/>
        <v>0</v>
      </c>
      <c r="CH92" s="210">
        <f t="shared" si="254"/>
        <v>0</v>
      </c>
      <c r="CI92" s="210">
        <f t="shared" si="254"/>
        <v>0</v>
      </c>
      <c r="CJ92" s="210">
        <f t="shared" si="254"/>
        <v>0</v>
      </c>
      <c r="CK92" s="210">
        <f t="shared" si="254"/>
        <v>0</v>
      </c>
      <c r="CL92" s="210">
        <f t="shared" si="255"/>
        <v>0</v>
      </c>
      <c r="CM92" s="210">
        <f t="shared" si="255"/>
        <v>0</v>
      </c>
      <c r="CN92" s="210">
        <f t="shared" si="255"/>
        <v>0</v>
      </c>
      <c r="CO92" s="210">
        <f t="shared" si="255"/>
        <v>0</v>
      </c>
      <c r="CP92" s="66">
        <f t="shared" si="255"/>
        <v>0</v>
      </c>
      <c r="CQ92" s="65">
        <f>(2.5)/150</f>
        <v>1.6666666666666666E-2</v>
      </c>
      <c r="CR92" s="209">
        <f t="shared" si="246"/>
        <v>0</v>
      </c>
      <c r="CS92" s="209">
        <f>(7.5)/150</f>
        <v>0.05</v>
      </c>
      <c r="CT92" s="209">
        <f>(4.5)/150</f>
        <v>0.03</v>
      </c>
      <c r="CU92" s="209">
        <f>(3.5)/150</f>
        <v>2.3333333333333334E-2</v>
      </c>
      <c r="CV92" s="209">
        <f t="shared" si="246"/>
        <v>0</v>
      </c>
      <c r="CW92" s="209">
        <f>(4)/150</f>
        <v>2.6666666666666668E-2</v>
      </c>
      <c r="CX92" s="65">
        <f t="shared" si="212"/>
        <v>0</v>
      </c>
      <c r="CY92" s="210">
        <f t="shared" si="212"/>
        <v>0</v>
      </c>
      <c r="CZ92" s="210">
        <f t="shared" si="212"/>
        <v>0</v>
      </c>
      <c r="DA92" s="210">
        <f t="shared" si="212"/>
        <v>0</v>
      </c>
      <c r="DB92" s="210">
        <f t="shared" si="212"/>
        <v>0</v>
      </c>
      <c r="DC92" s="210">
        <f t="shared" si="256"/>
        <v>0</v>
      </c>
      <c r="DD92" s="209">
        <f t="shared" si="256"/>
        <v>0</v>
      </c>
      <c r="DE92" s="65">
        <f t="shared" si="247"/>
        <v>0</v>
      </c>
      <c r="DF92" s="210">
        <f t="shared" si="247"/>
        <v>0</v>
      </c>
      <c r="DG92" s="210">
        <f t="shared" si="247"/>
        <v>0</v>
      </c>
      <c r="DH92" s="210">
        <f t="shared" si="247"/>
        <v>0</v>
      </c>
      <c r="DI92" s="210">
        <f t="shared" si="247"/>
        <v>0</v>
      </c>
      <c r="DJ92" s="210">
        <f t="shared" si="257"/>
        <v>0</v>
      </c>
      <c r="DK92" s="210">
        <f t="shared" si="257"/>
        <v>0</v>
      </c>
      <c r="DL92" s="65">
        <f t="shared" si="258"/>
        <v>0</v>
      </c>
      <c r="DM92" s="60">
        <f t="shared" si="258"/>
        <v>0</v>
      </c>
      <c r="DN92" s="60">
        <f t="shared" si="258"/>
        <v>0</v>
      </c>
      <c r="DO92" s="60">
        <f t="shared" si="258"/>
        <v>0</v>
      </c>
      <c r="DP92" s="60">
        <f t="shared" si="258"/>
        <v>0</v>
      </c>
      <c r="DQ92" s="210">
        <f t="shared" si="259"/>
        <v>0</v>
      </c>
      <c r="DR92" s="210">
        <f t="shared" si="259"/>
        <v>0</v>
      </c>
      <c r="DS92" s="210">
        <f t="shared" si="259"/>
        <v>0</v>
      </c>
    </row>
    <row r="93" spans="1:124" ht="26.25" hidden="1" customHeight="1" outlineLevel="1" x14ac:dyDescent="0.4">
      <c r="A93" s="347">
        <v>44</v>
      </c>
      <c r="B93" s="347" t="s">
        <v>47</v>
      </c>
      <c r="C93" s="347" t="s">
        <v>14</v>
      </c>
      <c r="D93" s="349" t="s">
        <v>384</v>
      </c>
      <c r="E93" s="349" t="s">
        <v>785</v>
      </c>
      <c r="F93" s="349"/>
      <c r="G93" s="563" t="s">
        <v>786</v>
      </c>
      <c r="H93" s="449">
        <f t="shared" ref="H93" si="268">SUM(DE93:DK93)</f>
        <v>0</v>
      </c>
      <c r="I93" s="449">
        <f t="shared" ref="I93" si="269">SUM(DE94:DK94)</f>
        <v>0</v>
      </c>
      <c r="J93" s="447"/>
      <c r="K93" s="445"/>
      <c r="L93" s="445"/>
      <c r="M93" s="428"/>
      <c r="N93" s="21" t="s">
        <v>24</v>
      </c>
      <c r="O93" s="190">
        <f t="shared" si="248"/>
        <v>0</v>
      </c>
      <c r="P93" s="190">
        <f t="shared" si="248"/>
        <v>0</v>
      </c>
      <c r="Q93" s="190">
        <f t="shared" si="248"/>
        <v>0</v>
      </c>
      <c r="R93" s="190">
        <f t="shared" si="248"/>
        <v>0</v>
      </c>
      <c r="S93" s="190">
        <f t="shared" si="248"/>
        <v>0</v>
      </c>
      <c r="T93" s="190">
        <f t="shared" si="248"/>
        <v>0</v>
      </c>
      <c r="U93" s="190">
        <f t="shared" si="248"/>
        <v>0</v>
      </c>
      <c r="V93" s="190">
        <f t="shared" si="248"/>
        <v>0</v>
      </c>
      <c r="W93" s="190">
        <f t="shared" si="248"/>
        <v>0</v>
      </c>
      <c r="X93" s="86">
        <f t="shared" si="248"/>
        <v>0</v>
      </c>
      <c r="Y93" s="190">
        <f t="shared" si="263"/>
        <v>0</v>
      </c>
      <c r="Z93" s="190">
        <f t="shared" si="263"/>
        <v>0</v>
      </c>
      <c r="AA93" s="190">
        <f t="shared" si="263"/>
        <v>0</v>
      </c>
      <c r="AB93" s="190">
        <f t="shared" si="263"/>
        <v>0</v>
      </c>
      <c r="AC93" s="190">
        <f t="shared" si="263"/>
        <v>0</v>
      </c>
      <c r="AD93" s="190">
        <f t="shared" si="263"/>
        <v>0</v>
      </c>
      <c r="AE93" s="190">
        <f t="shared" si="260"/>
        <v>0</v>
      </c>
      <c r="AF93" s="190"/>
      <c r="AG93" s="190">
        <f t="shared" si="260"/>
        <v>0</v>
      </c>
      <c r="AH93" s="190">
        <f t="shared" si="260"/>
        <v>0</v>
      </c>
      <c r="AI93" s="77">
        <f t="shared" si="232"/>
        <v>0</v>
      </c>
      <c r="AJ93" s="190">
        <f t="shared" si="232"/>
        <v>0</v>
      </c>
      <c r="AK93" s="190">
        <f t="shared" si="232"/>
        <v>0</v>
      </c>
      <c r="AL93" s="190">
        <f t="shared" si="232"/>
        <v>0</v>
      </c>
      <c r="AM93" s="190">
        <f t="shared" si="232"/>
        <v>0</v>
      </c>
      <c r="AN93" s="190">
        <f t="shared" si="232"/>
        <v>0</v>
      </c>
      <c r="AO93" s="190">
        <f t="shared" si="232"/>
        <v>0</v>
      </c>
      <c r="AP93" s="190">
        <f t="shared" si="232"/>
        <v>0</v>
      </c>
      <c r="AQ93" s="190">
        <f t="shared" si="232"/>
        <v>0</v>
      </c>
      <c r="AR93" s="225">
        <f t="shared" si="232"/>
        <v>0</v>
      </c>
      <c r="AS93" s="23">
        <f t="shared" si="236"/>
        <v>0</v>
      </c>
      <c r="AT93" s="190">
        <f t="shared" si="236"/>
        <v>0</v>
      </c>
      <c r="AU93" s="190">
        <f t="shared" si="236"/>
        <v>0</v>
      </c>
      <c r="AV93" s="190">
        <f t="shared" si="236"/>
        <v>0</v>
      </c>
      <c r="AW93" s="190">
        <f t="shared" si="236"/>
        <v>0</v>
      </c>
      <c r="AX93" s="190">
        <f t="shared" si="251"/>
        <v>0</v>
      </c>
      <c r="AY93" s="190">
        <f t="shared" si="251"/>
        <v>0</v>
      </c>
      <c r="AZ93" s="190">
        <f t="shared" si="251"/>
        <v>0</v>
      </c>
      <c r="BA93" s="190">
        <f t="shared" si="251"/>
        <v>0</v>
      </c>
      <c r="BB93" s="225">
        <f t="shared" si="251"/>
        <v>0</v>
      </c>
      <c r="BC93" s="77">
        <f t="shared" si="233"/>
        <v>0</v>
      </c>
      <c r="BD93" s="190">
        <f t="shared" si="233"/>
        <v>0</v>
      </c>
      <c r="BE93" s="190">
        <f t="shared" si="233"/>
        <v>0</v>
      </c>
      <c r="BF93" s="190">
        <f t="shared" si="233"/>
        <v>0</v>
      </c>
      <c r="BG93" s="190">
        <f t="shared" si="233"/>
        <v>0</v>
      </c>
      <c r="BH93" s="190">
        <f t="shared" si="233"/>
        <v>0</v>
      </c>
      <c r="BI93" s="190">
        <f t="shared" si="233"/>
        <v>0</v>
      </c>
      <c r="BJ93" s="190">
        <f t="shared" si="252"/>
        <v>0</v>
      </c>
      <c r="BK93" s="190">
        <f t="shared" si="252"/>
        <v>0</v>
      </c>
      <c r="BL93" s="190">
        <f t="shared" si="252"/>
        <v>0</v>
      </c>
      <c r="BM93" s="77">
        <f t="shared" si="210"/>
        <v>0</v>
      </c>
      <c r="BN93" s="190">
        <f t="shared" si="210"/>
        <v>0</v>
      </c>
      <c r="BO93" s="190">
        <f t="shared" si="210"/>
        <v>0</v>
      </c>
      <c r="BP93" s="190">
        <f t="shared" si="210"/>
        <v>0</v>
      </c>
      <c r="BQ93" s="190">
        <f t="shared" si="210"/>
        <v>0</v>
      </c>
      <c r="BR93" s="190">
        <f t="shared" si="210"/>
        <v>0</v>
      </c>
      <c r="BS93" s="190">
        <f t="shared" si="264"/>
        <v>0</v>
      </c>
      <c r="BT93" s="190"/>
      <c r="BU93" s="190"/>
      <c r="BV93" s="190">
        <f t="shared" si="210"/>
        <v>0</v>
      </c>
      <c r="BW93" s="23">
        <f t="shared" si="242"/>
        <v>0</v>
      </c>
      <c r="BX93" s="190">
        <f t="shared" si="242"/>
        <v>0</v>
      </c>
      <c r="BY93" s="190">
        <f t="shared" si="242"/>
        <v>0</v>
      </c>
      <c r="BZ93" s="190">
        <f t="shared" si="242"/>
        <v>0</v>
      </c>
      <c r="CA93" s="190">
        <f t="shared" si="242"/>
        <v>0</v>
      </c>
      <c r="CB93" s="190">
        <f t="shared" si="253"/>
        <v>0</v>
      </c>
      <c r="CC93" s="190">
        <f t="shared" si="253"/>
        <v>0</v>
      </c>
      <c r="CD93" s="190">
        <f t="shared" si="253"/>
        <v>0</v>
      </c>
      <c r="CE93" s="190">
        <f t="shared" si="253"/>
        <v>0</v>
      </c>
      <c r="CF93" s="190">
        <f t="shared" si="253"/>
        <v>0</v>
      </c>
      <c r="CG93" s="23">
        <f t="shared" si="254"/>
        <v>0</v>
      </c>
      <c r="CH93" s="190">
        <f t="shared" si="254"/>
        <v>0</v>
      </c>
      <c r="CI93" s="190">
        <f t="shared" si="254"/>
        <v>0</v>
      </c>
      <c r="CJ93" s="190">
        <f t="shared" si="254"/>
        <v>0</v>
      </c>
      <c r="CK93" s="190">
        <f t="shared" si="254"/>
        <v>0</v>
      </c>
      <c r="CL93" s="190">
        <f t="shared" si="255"/>
        <v>0</v>
      </c>
      <c r="CM93" s="190">
        <f t="shared" si="255"/>
        <v>0</v>
      </c>
      <c r="CN93" s="190">
        <f t="shared" si="255"/>
        <v>0</v>
      </c>
      <c r="CO93" s="190">
        <f t="shared" si="255"/>
        <v>0</v>
      </c>
      <c r="CP93" s="21">
        <f t="shared" si="255"/>
        <v>0</v>
      </c>
      <c r="CQ93" s="23">
        <f>(2)/150</f>
        <v>1.3333333333333334E-2</v>
      </c>
      <c r="CR93" s="190">
        <f>(6)/150</f>
        <v>0.04</v>
      </c>
      <c r="CS93" s="190">
        <f t="shared" si="246"/>
        <v>0</v>
      </c>
      <c r="CT93" s="190">
        <f t="shared" si="246"/>
        <v>0</v>
      </c>
      <c r="CU93" s="190">
        <f>(6)/150</f>
        <v>0.04</v>
      </c>
      <c r="CV93" s="190">
        <f>(6)/150</f>
        <v>0.04</v>
      </c>
      <c r="CW93" s="190">
        <f t="shared" si="246"/>
        <v>0</v>
      </c>
      <c r="CX93" s="77">
        <f t="shared" si="212"/>
        <v>0</v>
      </c>
      <c r="CY93" s="190">
        <f t="shared" si="212"/>
        <v>0</v>
      </c>
      <c r="CZ93" s="190">
        <f t="shared" si="212"/>
        <v>0</v>
      </c>
      <c r="DA93" s="190">
        <f t="shared" si="212"/>
        <v>0</v>
      </c>
      <c r="DB93" s="190">
        <f t="shared" si="212"/>
        <v>0</v>
      </c>
      <c r="DC93" s="190">
        <f t="shared" si="256"/>
        <v>0</v>
      </c>
      <c r="DD93" s="190">
        <f t="shared" si="256"/>
        <v>0</v>
      </c>
      <c r="DE93" s="23">
        <f t="shared" si="247"/>
        <v>0</v>
      </c>
      <c r="DF93" s="190">
        <f t="shared" si="247"/>
        <v>0</v>
      </c>
      <c r="DG93" s="190">
        <f t="shared" si="247"/>
        <v>0</v>
      </c>
      <c r="DH93" s="190">
        <f t="shared" si="247"/>
        <v>0</v>
      </c>
      <c r="DI93" s="190">
        <f t="shared" si="247"/>
        <v>0</v>
      </c>
      <c r="DJ93" s="190">
        <f t="shared" si="257"/>
        <v>0</v>
      </c>
      <c r="DK93" s="190">
        <f t="shared" si="257"/>
        <v>0</v>
      </c>
      <c r="DL93" s="23">
        <f t="shared" si="258"/>
        <v>0</v>
      </c>
      <c r="DM93" s="10">
        <f t="shared" si="258"/>
        <v>0</v>
      </c>
      <c r="DN93" s="10">
        <f t="shared" si="258"/>
        <v>0</v>
      </c>
      <c r="DO93" s="10">
        <f t="shared" si="258"/>
        <v>0</v>
      </c>
      <c r="DP93" s="10">
        <f t="shared" si="258"/>
        <v>0</v>
      </c>
      <c r="DQ93" s="190">
        <f t="shared" si="259"/>
        <v>0</v>
      </c>
      <c r="DR93" s="190">
        <f t="shared" si="259"/>
        <v>0</v>
      </c>
      <c r="DS93" s="190">
        <f t="shared" si="259"/>
        <v>0</v>
      </c>
      <c r="DT93" s="54"/>
    </row>
    <row r="94" spans="1:124" ht="26.25" hidden="1" customHeight="1" outlineLevel="1" x14ac:dyDescent="0.4">
      <c r="A94" s="348"/>
      <c r="B94" s="348"/>
      <c r="C94" s="348"/>
      <c r="D94" s="350"/>
      <c r="E94" s="350"/>
      <c r="F94" s="350"/>
      <c r="G94" s="565"/>
      <c r="H94" s="450"/>
      <c r="I94" s="450"/>
      <c r="J94" s="448"/>
      <c r="K94" s="446"/>
      <c r="L94" s="446"/>
      <c r="M94" s="429"/>
      <c r="N94" s="209" t="s">
        <v>25</v>
      </c>
      <c r="O94" s="209">
        <f t="shared" si="248"/>
        <v>0</v>
      </c>
      <c r="P94" s="209">
        <f t="shared" si="248"/>
        <v>0</v>
      </c>
      <c r="Q94" s="209">
        <f t="shared" si="248"/>
        <v>0</v>
      </c>
      <c r="R94" s="209">
        <f t="shared" si="248"/>
        <v>0</v>
      </c>
      <c r="S94" s="209">
        <f t="shared" si="248"/>
        <v>0</v>
      </c>
      <c r="T94" s="209">
        <f t="shared" si="248"/>
        <v>0</v>
      </c>
      <c r="U94" s="209">
        <f t="shared" si="248"/>
        <v>0</v>
      </c>
      <c r="V94" s="209">
        <f t="shared" si="248"/>
        <v>0</v>
      </c>
      <c r="W94" s="209">
        <f t="shared" si="248"/>
        <v>0</v>
      </c>
      <c r="X94" s="53">
        <f t="shared" si="248"/>
        <v>0</v>
      </c>
      <c r="Y94" s="209">
        <f t="shared" si="263"/>
        <v>0</v>
      </c>
      <c r="Z94" s="209">
        <f t="shared" si="263"/>
        <v>0</v>
      </c>
      <c r="AA94" s="209">
        <f t="shared" si="263"/>
        <v>0</v>
      </c>
      <c r="AB94" s="209">
        <f t="shared" si="263"/>
        <v>0</v>
      </c>
      <c r="AC94" s="209">
        <f t="shared" si="263"/>
        <v>0</v>
      </c>
      <c r="AD94" s="209">
        <f t="shared" si="263"/>
        <v>0</v>
      </c>
      <c r="AE94" s="209">
        <f t="shared" si="260"/>
        <v>0</v>
      </c>
      <c r="AF94" s="209"/>
      <c r="AG94" s="209">
        <f t="shared" si="260"/>
        <v>0</v>
      </c>
      <c r="AH94" s="209">
        <f t="shared" si="260"/>
        <v>0</v>
      </c>
      <c r="AI94" s="58">
        <f t="shared" si="232"/>
        <v>0</v>
      </c>
      <c r="AJ94" s="209">
        <f t="shared" si="232"/>
        <v>0</v>
      </c>
      <c r="AK94" s="209">
        <f t="shared" si="232"/>
        <v>0</v>
      </c>
      <c r="AL94" s="209">
        <f t="shared" si="232"/>
        <v>0</v>
      </c>
      <c r="AM94" s="209">
        <f t="shared" si="232"/>
        <v>0</v>
      </c>
      <c r="AN94" s="209">
        <f t="shared" ref="AN94:AO119" si="270">0/165</f>
        <v>0</v>
      </c>
      <c r="AO94" s="209">
        <f t="shared" si="270"/>
        <v>0</v>
      </c>
      <c r="AP94" s="209">
        <f t="shared" si="232"/>
        <v>0</v>
      </c>
      <c r="AQ94" s="209">
        <f t="shared" si="232"/>
        <v>0</v>
      </c>
      <c r="AR94" s="53">
        <f t="shared" si="232"/>
        <v>0</v>
      </c>
      <c r="AS94" s="65">
        <f t="shared" si="236"/>
        <v>0</v>
      </c>
      <c r="AT94" s="210">
        <f t="shared" si="236"/>
        <v>0</v>
      </c>
      <c r="AU94" s="210">
        <f t="shared" si="236"/>
        <v>0</v>
      </c>
      <c r="AV94" s="210">
        <f t="shared" si="236"/>
        <v>0</v>
      </c>
      <c r="AW94" s="280">
        <f t="shared" si="236"/>
        <v>0</v>
      </c>
      <c r="AX94" s="210">
        <f t="shared" si="251"/>
        <v>0</v>
      </c>
      <c r="AY94" s="210">
        <f t="shared" si="251"/>
        <v>0</v>
      </c>
      <c r="AZ94" s="210">
        <f t="shared" si="251"/>
        <v>0</v>
      </c>
      <c r="BA94" s="210">
        <f t="shared" si="251"/>
        <v>0</v>
      </c>
      <c r="BB94" s="53">
        <f t="shared" si="251"/>
        <v>0</v>
      </c>
      <c r="BC94" s="58">
        <f t="shared" si="233"/>
        <v>0</v>
      </c>
      <c r="BD94" s="209">
        <f t="shared" si="233"/>
        <v>0</v>
      </c>
      <c r="BE94" s="209">
        <f t="shared" si="233"/>
        <v>0</v>
      </c>
      <c r="BF94" s="209">
        <f t="shared" si="233"/>
        <v>0</v>
      </c>
      <c r="BG94" s="209">
        <f t="shared" si="233"/>
        <v>0</v>
      </c>
      <c r="BH94" s="209">
        <f t="shared" si="233"/>
        <v>0</v>
      </c>
      <c r="BI94" s="209">
        <f t="shared" si="233"/>
        <v>0</v>
      </c>
      <c r="BJ94" s="209">
        <f t="shared" si="252"/>
        <v>0</v>
      </c>
      <c r="BK94" s="209">
        <f t="shared" si="252"/>
        <v>0</v>
      </c>
      <c r="BL94" s="209">
        <f t="shared" si="252"/>
        <v>0</v>
      </c>
      <c r="BM94" s="58">
        <f t="shared" si="210"/>
        <v>0</v>
      </c>
      <c r="BN94" s="209">
        <f t="shared" si="210"/>
        <v>0</v>
      </c>
      <c r="BO94" s="209">
        <f t="shared" si="210"/>
        <v>0</v>
      </c>
      <c r="BP94" s="209">
        <f t="shared" si="210"/>
        <v>0</v>
      </c>
      <c r="BQ94" s="209">
        <f t="shared" si="210"/>
        <v>0</v>
      </c>
      <c r="BR94" s="209">
        <f t="shared" si="210"/>
        <v>0</v>
      </c>
      <c r="BS94" s="209">
        <f t="shared" si="264"/>
        <v>0</v>
      </c>
      <c r="BT94" s="209"/>
      <c r="BU94" s="209"/>
      <c r="BV94" s="209">
        <f t="shared" si="210"/>
        <v>0</v>
      </c>
      <c r="BW94" s="65">
        <f t="shared" si="242"/>
        <v>0</v>
      </c>
      <c r="BX94" s="209">
        <f t="shared" si="242"/>
        <v>0</v>
      </c>
      <c r="BY94" s="209">
        <f t="shared" si="242"/>
        <v>0</v>
      </c>
      <c r="BZ94" s="209">
        <f t="shared" si="242"/>
        <v>0</v>
      </c>
      <c r="CA94" s="209">
        <f t="shared" si="242"/>
        <v>0</v>
      </c>
      <c r="CB94" s="209">
        <f t="shared" si="253"/>
        <v>0</v>
      </c>
      <c r="CC94" s="209">
        <f t="shared" si="253"/>
        <v>0</v>
      </c>
      <c r="CD94" s="209">
        <f t="shared" si="253"/>
        <v>0</v>
      </c>
      <c r="CE94" s="209">
        <f t="shared" si="253"/>
        <v>0</v>
      </c>
      <c r="CF94" s="209">
        <f t="shared" si="253"/>
        <v>0</v>
      </c>
      <c r="CG94" s="65">
        <f t="shared" si="254"/>
        <v>0</v>
      </c>
      <c r="CH94" s="210">
        <f t="shared" si="254"/>
        <v>0</v>
      </c>
      <c r="CI94" s="210">
        <f t="shared" si="254"/>
        <v>0</v>
      </c>
      <c r="CJ94" s="210">
        <f t="shared" si="254"/>
        <v>0</v>
      </c>
      <c r="CK94" s="210">
        <f t="shared" si="254"/>
        <v>0</v>
      </c>
      <c r="CL94" s="210">
        <f t="shared" si="255"/>
        <v>0</v>
      </c>
      <c r="CM94" s="210">
        <f t="shared" si="255"/>
        <v>0</v>
      </c>
      <c r="CN94" s="210">
        <f t="shared" si="255"/>
        <v>0</v>
      </c>
      <c r="CO94" s="210">
        <f t="shared" si="255"/>
        <v>0</v>
      </c>
      <c r="CP94" s="66">
        <f t="shared" si="255"/>
        <v>0</v>
      </c>
      <c r="CQ94" s="65">
        <f>(2)/150</f>
        <v>1.3333333333333334E-2</v>
      </c>
      <c r="CR94" s="209">
        <f>(6)/150</f>
        <v>0.04</v>
      </c>
      <c r="CS94" s="209">
        <f t="shared" si="246"/>
        <v>0</v>
      </c>
      <c r="CT94" s="209">
        <f t="shared" si="246"/>
        <v>0</v>
      </c>
      <c r="CU94" s="209">
        <f>(6)/150</f>
        <v>0.04</v>
      </c>
      <c r="CV94" s="209">
        <f>(4)/150</f>
        <v>2.6666666666666668E-2</v>
      </c>
      <c r="CW94" s="209">
        <f t="shared" si="246"/>
        <v>0</v>
      </c>
      <c r="CX94" s="65">
        <f t="shared" si="212"/>
        <v>0</v>
      </c>
      <c r="CY94" s="210">
        <f t="shared" si="212"/>
        <v>0</v>
      </c>
      <c r="CZ94" s="210">
        <f t="shared" si="212"/>
        <v>0</v>
      </c>
      <c r="DA94" s="210">
        <f t="shared" si="212"/>
        <v>0</v>
      </c>
      <c r="DB94" s="210">
        <f t="shared" si="212"/>
        <v>0</v>
      </c>
      <c r="DC94" s="210">
        <f t="shared" si="256"/>
        <v>0</v>
      </c>
      <c r="DD94" s="209">
        <f t="shared" si="256"/>
        <v>0</v>
      </c>
      <c r="DE94" s="65">
        <f t="shared" si="247"/>
        <v>0</v>
      </c>
      <c r="DF94" s="210">
        <f t="shared" si="247"/>
        <v>0</v>
      </c>
      <c r="DG94" s="210">
        <f t="shared" si="247"/>
        <v>0</v>
      </c>
      <c r="DH94" s="210">
        <f t="shared" si="247"/>
        <v>0</v>
      </c>
      <c r="DI94" s="210">
        <f t="shared" si="247"/>
        <v>0</v>
      </c>
      <c r="DJ94" s="210">
        <f t="shared" si="257"/>
        <v>0</v>
      </c>
      <c r="DK94" s="210">
        <f t="shared" si="257"/>
        <v>0</v>
      </c>
      <c r="DL94" s="65">
        <f t="shared" si="258"/>
        <v>0</v>
      </c>
      <c r="DM94" s="60">
        <f t="shared" si="258"/>
        <v>0</v>
      </c>
      <c r="DN94" s="60">
        <f t="shared" si="258"/>
        <v>0</v>
      </c>
      <c r="DO94" s="60">
        <f t="shared" si="258"/>
        <v>0</v>
      </c>
      <c r="DP94" s="60">
        <f t="shared" si="258"/>
        <v>0</v>
      </c>
      <c r="DQ94" s="210">
        <f t="shared" si="259"/>
        <v>0</v>
      </c>
      <c r="DR94" s="210">
        <f t="shared" si="259"/>
        <v>0</v>
      </c>
      <c r="DS94" s="210">
        <f t="shared" si="259"/>
        <v>0</v>
      </c>
    </row>
    <row r="95" spans="1:124" ht="26.25" hidden="1" customHeight="1" outlineLevel="1" collapsed="1" x14ac:dyDescent="0.4">
      <c r="A95" s="347">
        <v>45</v>
      </c>
      <c r="B95" s="347" t="s">
        <v>47</v>
      </c>
      <c r="C95" s="347" t="s">
        <v>347</v>
      </c>
      <c r="D95" s="349" t="s">
        <v>348</v>
      </c>
      <c r="E95" s="349" t="s">
        <v>803</v>
      </c>
      <c r="F95" s="349" t="s">
        <v>794</v>
      </c>
      <c r="G95" s="563" t="s">
        <v>805</v>
      </c>
      <c r="H95" s="449">
        <f t="shared" ref="H95" si="271">SUM(DE95:DK95)</f>
        <v>0</v>
      </c>
      <c r="I95" s="449">
        <f t="shared" ref="I95" si="272">SUM(DE96:DK96)</f>
        <v>0</v>
      </c>
      <c r="J95" s="447"/>
      <c r="K95" s="445"/>
      <c r="L95" s="445"/>
      <c r="M95" s="428"/>
      <c r="N95" s="21" t="s">
        <v>24</v>
      </c>
      <c r="O95" s="190">
        <f t="shared" si="248"/>
        <v>0</v>
      </c>
      <c r="P95" s="190">
        <f t="shared" si="248"/>
        <v>0</v>
      </c>
      <c r="Q95" s="190">
        <f t="shared" si="248"/>
        <v>0</v>
      </c>
      <c r="R95" s="190">
        <f t="shared" si="248"/>
        <v>0</v>
      </c>
      <c r="S95" s="190">
        <f t="shared" si="248"/>
        <v>0</v>
      </c>
      <c r="T95" s="190">
        <f t="shared" si="248"/>
        <v>0</v>
      </c>
      <c r="U95" s="190">
        <f t="shared" si="248"/>
        <v>0</v>
      </c>
      <c r="V95" s="190">
        <f t="shared" si="248"/>
        <v>0</v>
      </c>
      <c r="W95" s="190">
        <f t="shared" si="248"/>
        <v>0</v>
      </c>
      <c r="X95" s="86">
        <f t="shared" si="248"/>
        <v>0</v>
      </c>
      <c r="Y95" s="190">
        <f t="shared" si="263"/>
        <v>0</v>
      </c>
      <c r="Z95" s="190">
        <f t="shared" si="263"/>
        <v>0</v>
      </c>
      <c r="AA95" s="190">
        <f t="shared" si="263"/>
        <v>0</v>
      </c>
      <c r="AB95" s="190">
        <f t="shared" si="263"/>
        <v>0</v>
      </c>
      <c r="AC95" s="190">
        <f t="shared" si="263"/>
        <v>0</v>
      </c>
      <c r="AD95" s="190">
        <f t="shared" si="263"/>
        <v>0</v>
      </c>
      <c r="AE95" s="190">
        <f t="shared" si="260"/>
        <v>0</v>
      </c>
      <c r="AF95" s="190"/>
      <c r="AG95" s="190">
        <f t="shared" si="260"/>
        <v>0</v>
      </c>
      <c r="AH95" s="190">
        <f t="shared" si="260"/>
        <v>0</v>
      </c>
      <c r="AI95" s="77">
        <f t="shared" si="232"/>
        <v>0</v>
      </c>
      <c r="AJ95" s="190">
        <f t="shared" si="232"/>
        <v>0</v>
      </c>
      <c r="AK95" s="190">
        <f t="shared" si="232"/>
        <v>0</v>
      </c>
      <c r="AL95" s="190">
        <f t="shared" si="232"/>
        <v>0</v>
      </c>
      <c r="AM95" s="190">
        <f t="shared" si="232"/>
        <v>0</v>
      </c>
      <c r="AN95" s="190">
        <f t="shared" si="270"/>
        <v>0</v>
      </c>
      <c r="AO95" s="190">
        <f t="shared" si="270"/>
        <v>0</v>
      </c>
      <c r="AP95" s="190">
        <f t="shared" si="232"/>
        <v>0</v>
      </c>
      <c r="AQ95" s="190">
        <f t="shared" si="232"/>
        <v>0</v>
      </c>
      <c r="AR95" s="225">
        <f t="shared" si="232"/>
        <v>0</v>
      </c>
      <c r="AS95" s="23">
        <f t="shared" si="236"/>
        <v>0</v>
      </c>
      <c r="AT95" s="190">
        <f t="shared" si="236"/>
        <v>0</v>
      </c>
      <c r="AU95" s="190">
        <f t="shared" si="236"/>
        <v>0</v>
      </c>
      <c r="AV95" s="190">
        <f t="shared" si="236"/>
        <v>0</v>
      </c>
      <c r="AW95" s="190">
        <f t="shared" si="236"/>
        <v>0</v>
      </c>
      <c r="AX95" s="190">
        <f t="shared" si="251"/>
        <v>0</v>
      </c>
      <c r="AY95" s="190">
        <f t="shared" si="251"/>
        <v>0</v>
      </c>
      <c r="AZ95" s="190">
        <f t="shared" si="251"/>
        <v>0</v>
      </c>
      <c r="BA95" s="190">
        <f t="shared" si="251"/>
        <v>0</v>
      </c>
      <c r="BB95" s="225">
        <f t="shared" si="251"/>
        <v>0</v>
      </c>
      <c r="BC95" s="77">
        <f t="shared" si="233"/>
        <v>0</v>
      </c>
      <c r="BD95" s="190">
        <f t="shared" si="233"/>
        <v>0</v>
      </c>
      <c r="BE95" s="190">
        <f t="shared" si="233"/>
        <v>0</v>
      </c>
      <c r="BF95" s="190">
        <f t="shared" si="233"/>
        <v>0</v>
      </c>
      <c r="BG95" s="190">
        <f t="shared" si="233"/>
        <v>0</v>
      </c>
      <c r="BH95" s="190">
        <f t="shared" si="233"/>
        <v>0</v>
      </c>
      <c r="BI95" s="190">
        <f t="shared" si="233"/>
        <v>0</v>
      </c>
      <c r="BJ95" s="190">
        <f t="shared" si="252"/>
        <v>0</v>
      </c>
      <c r="BK95" s="190">
        <f t="shared" si="252"/>
        <v>0</v>
      </c>
      <c r="BL95" s="190">
        <f t="shared" si="252"/>
        <v>0</v>
      </c>
      <c r="BM95" s="77">
        <f t="shared" si="210"/>
        <v>0</v>
      </c>
      <c r="BN95" s="190">
        <f t="shared" si="210"/>
        <v>0</v>
      </c>
      <c r="BO95" s="190">
        <f t="shared" si="210"/>
        <v>0</v>
      </c>
      <c r="BP95" s="190">
        <f t="shared" si="210"/>
        <v>0</v>
      </c>
      <c r="BQ95" s="190">
        <f t="shared" si="210"/>
        <v>0</v>
      </c>
      <c r="BR95" s="190">
        <f t="shared" si="210"/>
        <v>0</v>
      </c>
      <c r="BS95" s="190">
        <f t="shared" si="264"/>
        <v>0</v>
      </c>
      <c r="BT95" s="190"/>
      <c r="BU95" s="190"/>
      <c r="BV95" s="190">
        <f t="shared" si="210"/>
        <v>0</v>
      </c>
      <c r="BW95" s="23">
        <f t="shared" si="242"/>
        <v>0</v>
      </c>
      <c r="BX95" s="190">
        <f t="shared" si="242"/>
        <v>0</v>
      </c>
      <c r="BY95" s="190">
        <f t="shared" si="242"/>
        <v>0</v>
      </c>
      <c r="BZ95" s="190">
        <f t="shared" si="242"/>
        <v>0</v>
      </c>
      <c r="CA95" s="190">
        <f t="shared" si="242"/>
        <v>0</v>
      </c>
      <c r="CB95" s="190">
        <f t="shared" si="253"/>
        <v>0</v>
      </c>
      <c r="CC95" s="190">
        <f t="shared" si="253"/>
        <v>0</v>
      </c>
      <c r="CD95" s="190">
        <f t="shared" si="253"/>
        <v>0</v>
      </c>
      <c r="CE95" s="190">
        <f t="shared" si="253"/>
        <v>0</v>
      </c>
      <c r="CF95" s="190">
        <f t="shared" si="253"/>
        <v>0</v>
      </c>
      <c r="CG95" s="23">
        <f t="shared" si="254"/>
        <v>0</v>
      </c>
      <c r="CH95" s="190">
        <f t="shared" si="254"/>
        <v>0</v>
      </c>
      <c r="CI95" s="190">
        <f t="shared" si="254"/>
        <v>0</v>
      </c>
      <c r="CJ95" s="190">
        <f t="shared" si="254"/>
        <v>0</v>
      </c>
      <c r="CK95" s="190">
        <f t="shared" si="254"/>
        <v>0</v>
      </c>
      <c r="CL95" s="190">
        <f t="shared" si="255"/>
        <v>0</v>
      </c>
      <c r="CM95" s="190">
        <f t="shared" si="255"/>
        <v>0</v>
      </c>
      <c r="CN95" s="190">
        <f t="shared" si="255"/>
        <v>0</v>
      </c>
      <c r="CO95" s="190">
        <f t="shared" si="255"/>
        <v>0</v>
      </c>
      <c r="CP95" s="21">
        <f t="shared" si="255"/>
        <v>0</v>
      </c>
      <c r="CQ95" s="23">
        <f>(4)/150</f>
        <v>2.6666666666666668E-2</v>
      </c>
      <c r="CR95" s="190">
        <f t="shared" si="246"/>
        <v>0</v>
      </c>
      <c r="CS95" s="190">
        <f>(10)/150</f>
        <v>6.6666666666666666E-2</v>
      </c>
      <c r="CT95" s="190">
        <f t="shared" si="246"/>
        <v>0</v>
      </c>
      <c r="CU95" s="190">
        <f>(10)/150</f>
        <v>6.6666666666666666E-2</v>
      </c>
      <c r="CV95" s="190">
        <f>(4)/150</f>
        <v>2.6666666666666668E-2</v>
      </c>
      <c r="CW95" s="190">
        <f>(10)/150</f>
        <v>6.6666666666666666E-2</v>
      </c>
      <c r="CX95" s="77">
        <f>(0)/157.5</f>
        <v>0</v>
      </c>
      <c r="CY95" s="190">
        <f>(0)/157.5</f>
        <v>0</v>
      </c>
      <c r="CZ95" s="190">
        <f t="shared" ref="CY95:DD111" si="273">(0)/157.5</f>
        <v>0</v>
      </c>
      <c r="DA95" s="190">
        <f t="shared" si="273"/>
        <v>0</v>
      </c>
      <c r="DB95" s="190">
        <f t="shared" si="273"/>
        <v>0</v>
      </c>
      <c r="DC95" s="190">
        <f>(2.5)/157.5</f>
        <v>1.5873015873015872E-2</v>
      </c>
      <c r="DD95" s="190">
        <f>(2.5)/157.5</f>
        <v>1.5873015873015872E-2</v>
      </c>
      <c r="DE95" s="23">
        <f t="shared" ref="DE95:DF100" si="274">(0)/127.5</f>
        <v>0</v>
      </c>
      <c r="DF95" s="190">
        <f t="shared" si="274"/>
        <v>0</v>
      </c>
      <c r="DG95" s="190">
        <f t="shared" ref="DF95:DK110" si="275">(0)/127.5</f>
        <v>0</v>
      </c>
      <c r="DH95" s="190">
        <f t="shared" si="275"/>
        <v>0</v>
      </c>
      <c r="DI95" s="190">
        <f t="shared" si="275"/>
        <v>0</v>
      </c>
      <c r="DJ95" s="190">
        <f t="shared" si="275"/>
        <v>0</v>
      </c>
      <c r="DK95" s="190">
        <f t="shared" si="275"/>
        <v>0</v>
      </c>
      <c r="DL95" s="23">
        <f t="shared" si="258"/>
        <v>0</v>
      </c>
      <c r="DM95" s="10">
        <f t="shared" si="258"/>
        <v>0</v>
      </c>
      <c r="DN95" s="10">
        <f t="shared" si="258"/>
        <v>0</v>
      </c>
      <c r="DO95" s="10">
        <f t="shared" si="258"/>
        <v>0</v>
      </c>
      <c r="DP95" s="10">
        <f t="shared" si="258"/>
        <v>0</v>
      </c>
      <c r="DQ95" s="190">
        <f t="shared" si="259"/>
        <v>0</v>
      </c>
      <c r="DR95" s="190">
        <f t="shared" si="259"/>
        <v>0</v>
      </c>
      <c r="DS95" s="190">
        <f t="shared" si="259"/>
        <v>0</v>
      </c>
      <c r="DT95" s="54"/>
    </row>
    <row r="96" spans="1:124" ht="26.25" hidden="1" customHeight="1" outlineLevel="1" x14ac:dyDescent="0.4">
      <c r="A96" s="348"/>
      <c r="B96" s="348"/>
      <c r="C96" s="348"/>
      <c r="D96" s="350"/>
      <c r="E96" s="350"/>
      <c r="F96" s="350"/>
      <c r="G96" s="565"/>
      <c r="H96" s="450"/>
      <c r="I96" s="450"/>
      <c r="J96" s="448"/>
      <c r="K96" s="446"/>
      <c r="L96" s="446"/>
      <c r="M96" s="429"/>
      <c r="N96" s="209" t="s">
        <v>25</v>
      </c>
      <c r="O96" s="209">
        <f t="shared" si="248"/>
        <v>0</v>
      </c>
      <c r="P96" s="209">
        <f t="shared" si="248"/>
        <v>0</v>
      </c>
      <c r="Q96" s="209">
        <f t="shared" si="248"/>
        <v>0</v>
      </c>
      <c r="R96" s="209">
        <f t="shared" si="248"/>
        <v>0</v>
      </c>
      <c r="S96" s="209">
        <f t="shared" si="248"/>
        <v>0</v>
      </c>
      <c r="T96" s="209">
        <f t="shared" si="248"/>
        <v>0</v>
      </c>
      <c r="U96" s="209">
        <f t="shared" si="248"/>
        <v>0</v>
      </c>
      <c r="V96" s="209">
        <f t="shared" si="248"/>
        <v>0</v>
      </c>
      <c r="W96" s="209">
        <f t="shared" si="248"/>
        <v>0</v>
      </c>
      <c r="X96" s="53">
        <f t="shared" si="248"/>
        <v>0</v>
      </c>
      <c r="Y96" s="209">
        <f t="shared" si="263"/>
        <v>0</v>
      </c>
      <c r="Z96" s="209">
        <f t="shared" si="263"/>
        <v>0</v>
      </c>
      <c r="AA96" s="209">
        <f t="shared" si="263"/>
        <v>0</v>
      </c>
      <c r="AB96" s="209">
        <f t="shared" si="263"/>
        <v>0</v>
      </c>
      <c r="AC96" s="209">
        <f t="shared" si="263"/>
        <v>0</v>
      </c>
      <c r="AD96" s="209">
        <f t="shared" si="263"/>
        <v>0</v>
      </c>
      <c r="AE96" s="209">
        <f t="shared" si="260"/>
        <v>0</v>
      </c>
      <c r="AF96" s="209"/>
      <c r="AG96" s="209">
        <f t="shared" si="260"/>
        <v>0</v>
      </c>
      <c r="AH96" s="209">
        <f t="shared" si="260"/>
        <v>0</v>
      </c>
      <c r="AI96" s="58">
        <f t="shared" si="232"/>
        <v>0</v>
      </c>
      <c r="AJ96" s="209">
        <f t="shared" si="232"/>
        <v>0</v>
      </c>
      <c r="AK96" s="209">
        <f t="shared" si="232"/>
        <v>0</v>
      </c>
      <c r="AL96" s="209">
        <f t="shared" si="232"/>
        <v>0</v>
      </c>
      <c r="AM96" s="209">
        <f t="shared" si="232"/>
        <v>0</v>
      </c>
      <c r="AN96" s="209">
        <f t="shared" si="270"/>
        <v>0</v>
      </c>
      <c r="AO96" s="209">
        <f t="shared" si="270"/>
        <v>0</v>
      </c>
      <c r="AP96" s="209">
        <f t="shared" si="232"/>
        <v>0</v>
      </c>
      <c r="AQ96" s="209">
        <f t="shared" si="232"/>
        <v>0</v>
      </c>
      <c r="AR96" s="53">
        <f t="shared" si="232"/>
        <v>0</v>
      </c>
      <c r="AS96" s="65">
        <f t="shared" si="236"/>
        <v>0</v>
      </c>
      <c r="AT96" s="210">
        <f t="shared" si="236"/>
        <v>0</v>
      </c>
      <c r="AU96" s="210">
        <f t="shared" si="236"/>
        <v>0</v>
      </c>
      <c r="AV96" s="210">
        <f t="shared" si="236"/>
        <v>0</v>
      </c>
      <c r="AW96" s="280">
        <f t="shared" si="236"/>
        <v>0</v>
      </c>
      <c r="AX96" s="210">
        <f t="shared" si="251"/>
        <v>0</v>
      </c>
      <c r="AY96" s="210">
        <f t="shared" si="251"/>
        <v>0</v>
      </c>
      <c r="AZ96" s="210">
        <f t="shared" si="251"/>
        <v>0</v>
      </c>
      <c r="BA96" s="210">
        <f t="shared" si="251"/>
        <v>0</v>
      </c>
      <c r="BB96" s="53">
        <f t="shared" si="251"/>
        <v>0</v>
      </c>
      <c r="BC96" s="58">
        <f t="shared" si="233"/>
        <v>0</v>
      </c>
      <c r="BD96" s="209">
        <f t="shared" si="233"/>
        <v>0</v>
      </c>
      <c r="BE96" s="209">
        <f t="shared" si="233"/>
        <v>0</v>
      </c>
      <c r="BF96" s="209">
        <f t="shared" si="233"/>
        <v>0</v>
      </c>
      <c r="BG96" s="209">
        <f t="shared" si="233"/>
        <v>0</v>
      </c>
      <c r="BH96" s="209">
        <f t="shared" si="233"/>
        <v>0</v>
      </c>
      <c r="BI96" s="209">
        <f t="shared" si="233"/>
        <v>0</v>
      </c>
      <c r="BJ96" s="209">
        <f t="shared" si="252"/>
        <v>0</v>
      </c>
      <c r="BK96" s="209">
        <f t="shared" si="252"/>
        <v>0</v>
      </c>
      <c r="BL96" s="209">
        <f t="shared" si="252"/>
        <v>0</v>
      </c>
      <c r="BM96" s="58">
        <f t="shared" si="210"/>
        <v>0</v>
      </c>
      <c r="BN96" s="209">
        <f t="shared" si="210"/>
        <v>0</v>
      </c>
      <c r="BO96" s="209">
        <f t="shared" si="210"/>
        <v>0</v>
      </c>
      <c r="BP96" s="209">
        <f t="shared" si="210"/>
        <v>0</v>
      </c>
      <c r="BQ96" s="209">
        <f t="shared" si="210"/>
        <v>0</v>
      </c>
      <c r="BR96" s="209">
        <f t="shared" si="210"/>
        <v>0</v>
      </c>
      <c r="BS96" s="209">
        <f t="shared" si="264"/>
        <v>0</v>
      </c>
      <c r="BT96" s="209"/>
      <c r="BU96" s="209"/>
      <c r="BV96" s="209">
        <f t="shared" si="210"/>
        <v>0</v>
      </c>
      <c r="BW96" s="65">
        <f t="shared" si="242"/>
        <v>0</v>
      </c>
      <c r="BX96" s="209">
        <f t="shared" si="242"/>
        <v>0</v>
      </c>
      <c r="BY96" s="209">
        <f t="shared" si="242"/>
        <v>0</v>
      </c>
      <c r="BZ96" s="209">
        <f t="shared" si="242"/>
        <v>0</v>
      </c>
      <c r="CA96" s="209">
        <f t="shared" si="242"/>
        <v>0</v>
      </c>
      <c r="CB96" s="209">
        <f t="shared" si="253"/>
        <v>0</v>
      </c>
      <c r="CC96" s="209">
        <f t="shared" si="253"/>
        <v>0</v>
      </c>
      <c r="CD96" s="209">
        <f t="shared" si="253"/>
        <v>0</v>
      </c>
      <c r="CE96" s="209">
        <f t="shared" si="253"/>
        <v>0</v>
      </c>
      <c r="CF96" s="209">
        <f t="shared" si="253"/>
        <v>0</v>
      </c>
      <c r="CG96" s="65">
        <f t="shared" si="254"/>
        <v>0</v>
      </c>
      <c r="CH96" s="210">
        <f t="shared" si="254"/>
        <v>0</v>
      </c>
      <c r="CI96" s="210">
        <f t="shared" si="254"/>
        <v>0</v>
      </c>
      <c r="CJ96" s="210">
        <f t="shared" si="254"/>
        <v>0</v>
      </c>
      <c r="CK96" s="210">
        <f t="shared" si="254"/>
        <v>0</v>
      </c>
      <c r="CL96" s="210">
        <f t="shared" si="255"/>
        <v>0</v>
      </c>
      <c r="CM96" s="210">
        <f t="shared" si="255"/>
        <v>0</v>
      </c>
      <c r="CN96" s="210">
        <f t="shared" si="255"/>
        <v>0</v>
      </c>
      <c r="CO96" s="210">
        <f t="shared" si="255"/>
        <v>0</v>
      </c>
      <c r="CP96" s="66">
        <f t="shared" si="255"/>
        <v>0</v>
      </c>
      <c r="CQ96" s="65">
        <f>(4+3)/150</f>
        <v>4.6666666666666669E-2</v>
      </c>
      <c r="CR96" s="209">
        <f t="shared" si="246"/>
        <v>0</v>
      </c>
      <c r="CS96" s="209">
        <f>(7.5+2)/150</f>
        <v>6.3333333333333339E-2</v>
      </c>
      <c r="CT96" s="209">
        <f t="shared" si="246"/>
        <v>0</v>
      </c>
      <c r="CU96" s="209">
        <f>(3.5)/150</f>
        <v>2.3333333333333334E-2</v>
      </c>
      <c r="CV96" s="209">
        <f>(3.5+2)/150</f>
        <v>3.6666666666666667E-2</v>
      </c>
      <c r="CW96" s="209">
        <f>(9+2)/150</f>
        <v>7.3333333333333334E-2</v>
      </c>
      <c r="CX96" s="65">
        <f>(0.5)/157.5</f>
        <v>3.1746031746031746E-3</v>
      </c>
      <c r="CY96" s="210">
        <f>(0)/157.5</f>
        <v>0</v>
      </c>
      <c r="CZ96" s="210">
        <f t="shared" si="273"/>
        <v>0</v>
      </c>
      <c r="DA96" s="210">
        <f t="shared" si="273"/>
        <v>0</v>
      </c>
      <c r="DB96" s="210">
        <f t="shared" si="273"/>
        <v>0</v>
      </c>
      <c r="DC96" s="210">
        <f>(2)/157.5</f>
        <v>1.2698412698412698E-2</v>
      </c>
      <c r="DD96" s="209">
        <f>(2)/157.5</f>
        <v>1.2698412698412698E-2</v>
      </c>
      <c r="DE96" s="65">
        <f t="shared" si="274"/>
        <v>0</v>
      </c>
      <c r="DF96" s="210">
        <f t="shared" si="274"/>
        <v>0</v>
      </c>
      <c r="DG96" s="210">
        <f t="shared" si="275"/>
        <v>0</v>
      </c>
      <c r="DH96" s="210">
        <f t="shared" si="275"/>
        <v>0</v>
      </c>
      <c r="DI96" s="210">
        <f t="shared" si="275"/>
        <v>0</v>
      </c>
      <c r="DJ96" s="210">
        <f t="shared" si="275"/>
        <v>0</v>
      </c>
      <c r="DK96" s="210">
        <f t="shared" si="275"/>
        <v>0</v>
      </c>
      <c r="DL96" s="65">
        <f t="shared" si="258"/>
        <v>0</v>
      </c>
      <c r="DM96" s="60">
        <f t="shared" si="258"/>
        <v>0</v>
      </c>
      <c r="DN96" s="60">
        <f t="shared" si="258"/>
        <v>0</v>
      </c>
      <c r="DO96" s="60">
        <f t="shared" si="258"/>
        <v>0</v>
      </c>
      <c r="DP96" s="60">
        <f t="shared" si="258"/>
        <v>0</v>
      </c>
      <c r="DQ96" s="210">
        <f t="shared" si="259"/>
        <v>0</v>
      </c>
      <c r="DR96" s="210">
        <f t="shared" si="259"/>
        <v>0</v>
      </c>
      <c r="DS96" s="210">
        <f t="shared" si="259"/>
        <v>0</v>
      </c>
    </row>
    <row r="97" spans="1:124" ht="26.25" hidden="1" customHeight="1" outlineLevel="1" x14ac:dyDescent="0.4">
      <c r="A97" s="347">
        <v>46</v>
      </c>
      <c r="B97" s="347" t="s">
        <v>47</v>
      </c>
      <c r="C97" s="347" t="s">
        <v>347</v>
      </c>
      <c r="D97" s="349" t="s">
        <v>348</v>
      </c>
      <c r="E97" s="349" t="s">
        <v>835</v>
      </c>
      <c r="F97" s="349" t="s">
        <v>832</v>
      </c>
      <c r="G97" s="563" t="s">
        <v>833</v>
      </c>
      <c r="H97" s="449">
        <f t="shared" ref="H97" si="276">SUM(DE97:DK97)</f>
        <v>0</v>
      </c>
      <c r="I97" s="449">
        <f t="shared" ref="I97" si="277">SUM(DE98:DK98)</f>
        <v>0</v>
      </c>
      <c r="J97" s="447"/>
      <c r="K97" s="445"/>
      <c r="L97" s="445"/>
      <c r="M97" s="428"/>
      <c r="N97" s="21" t="s">
        <v>24</v>
      </c>
      <c r="O97" s="190">
        <f t="shared" si="248"/>
        <v>0</v>
      </c>
      <c r="P97" s="190">
        <f t="shared" si="248"/>
        <v>0</v>
      </c>
      <c r="Q97" s="190">
        <f t="shared" si="248"/>
        <v>0</v>
      </c>
      <c r="R97" s="190">
        <f t="shared" si="248"/>
        <v>0</v>
      </c>
      <c r="S97" s="190">
        <f t="shared" si="248"/>
        <v>0</v>
      </c>
      <c r="T97" s="190">
        <f t="shared" si="248"/>
        <v>0</v>
      </c>
      <c r="U97" s="190">
        <f t="shared" si="248"/>
        <v>0</v>
      </c>
      <c r="V97" s="190">
        <f t="shared" si="248"/>
        <v>0</v>
      </c>
      <c r="W97" s="190">
        <f t="shared" si="248"/>
        <v>0</v>
      </c>
      <c r="X97" s="86">
        <f t="shared" si="248"/>
        <v>0</v>
      </c>
      <c r="Y97" s="190">
        <f t="shared" si="263"/>
        <v>0</v>
      </c>
      <c r="Z97" s="190">
        <f t="shared" si="263"/>
        <v>0</v>
      </c>
      <c r="AA97" s="190">
        <f t="shared" si="263"/>
        <v>0</v>
      </c>
      <c r="AB97" s="190">
        <f t="shared" si="263"/>
        <v>0</v>
      </c>
      <c r="AC97" s="190">
        <f t="shared" si="263"/>
        <v>0</v>
      </c>
      <c r="AD97" s="190">
        <f t="shared" si="263"/>
        <v>0</v>
      </c>
      <c r="AE97" s="190">
        <f t="shared" si="260"/>
        <v>0</v>
      </c>
      <c r="AF97" s="190"/>
      <c r="AG97" s="190">
        <f t="shared" si="260"/>
        <v>0</v>
      </c>
      <c r="AH97" s="190">
        <f t="shared" si="260"/>
        <v>0</v>
      </c>
      <c r="AI97" s="77">
        <f t="shared" si="232"/>
        <v>0</v>
      </c>
      <c r="AJ97" s="190">
        <f t="shared" si="232"/>
        <v>0</v>
      </c>
      <c r="AK97" s="190">
        <f t="shared" si="232"/>
        <v>0</v>
      </c>
      <c r="AL97" s="190">
        <f t="shared" si="232"/>
        <v>0</v>
      </c>
      <c r="AM97" s="190">
        <f t="shared" si="232"/>
        <v>0</v>
      </c>
      <c r="AN97" s="190">
        <f t="shared" si="270"/>
        <v>0</v>
      </c>
      <c r="AO97" s="190">
        <f t="shared" si="270"/>
        <v>0</v>
      </c>
      <c r="AP97" s="190">
        <f t="shared" si="232"/>
        <v>0</v>
      </c>
      <c r="AQ97" s="190">
        <f t="shared" si="232"/>
        <v>0</v>
      </c>
      <c r="AR97" s="225">
        <f t="shared" si="232"/>
        <v>0</v>
      </c>
      <c r="AS97" s="23">
        <f t="shared" si="236"/>
        <v>0</v>
      </c>
      <c r="AT97" s="190">
        <f t="shared" si="236"/>
        <v>0</v>
      </c>
      <c r="AU97" s="190">
        <f t="shared" si="236"/>
        <v>0</v>
      </c>
      <c r="AV97" s="190">
        <f t="shared" si="236"/>
        <v>0</v>
      </c>
      <c r="AW97" s="190">
        <f t="shared" si="236"/>
        <v>0</v>
      </c>
      <c r="AX97" s="190">
        <f t="shared" si="251"/>
        <v>0</v>
      </c>
      <c r="AY97" s="190">
        <f t="shared" si="251"/>
        <v>0</v>
      </c>
      <c r="AZ97" s="190">
        <f t="shared" si="251"/>
        <v>0</v>
      </c>
      <c r="BA97" s="190">
        <f t="shared" si="251"/>
        <v>0</v>
      </c>
      <c r="BB97" s="225">
        <f t="shared" si="251"/>
        <v>0</v>
      </c>
      <c r="BC97" s="77">
        <f t="shared" si="233"/>
        <v>0</v>
      </c>
      <c r="BD97" s="190">
        <f t="shared" si="233"/>
        <v>0</v>
      </c>
      <c r="BE97" s="190">
        <f t="shared" si="233"/>
        <v>0</v>
      </c>
      <c r="BF97" s="190">
        <f t="shared" si="233"/>
        <v>0</v>
      </c>
      <c r="BG97" s="190">
        <f t="shared" si="233"/>
        <v>0</v>
      </c>
      <c r="BH97" s="190">
        <f t="shared" si="233"/>
        <v>0</v>
      </c>
      <c r="BI97" s="190">
        <f t="shared" si="233"/>
        <v>0</v>
      </c>
      <c r="BJ97" s="190">
        <f t="shared" si="252"/>
        <v>0</v>
      </c>
      <c r="BK97" s="190">
        <f t="shared" si="252"/>
        <v>0</v>
      </c>
      <c r="BL97" s="190">
        <f t="shared" si="252"/>
        <v>0</v>
      </c>
      <c r="BM97" s="77">
        <f t="shared" si="210"/>
        <v>0</v>
      </c>
      <c r="BN97" s="190">
        <f t="shared" si="210"/>
        <v>0</v>
      </c>
      <c r="BO97" s="190">
        <f t="shared" si="210"/>
        <v>0</v>
      </c>
      <c r="BP97" s="190">
        <f t="shared" si="210"/>
        <v>0</v>
      </c>
      <c r="BQ97" s="190">
        <f t="shared" si="210"/>
        <v>0</v>
      </c>
      <c r="BR97" s="190">
        <f t="shared" si="210"/>
        <v>0</v>
      </c>
      <c r="BS97" s="190">
        <f t="shared" si="264"/>
        <v>0</v>
      </c>
      <c r="BT97" s="190"/>
      <c r="BU97" s="190"/>
      <c r="BV97" s="190">
        <f t="shared" si="210"/>
        <v>0</v>
      </c>
      <c r="BW97" s="23">
        <f t="shared" si="242"/>
        <v>0</v>
      </c>
      <c r="BX97" s="190">
        <f t="shared" si="242"/>
        <v>0</v>
      </c>
      <c r="BY97" s="190">
        <f t="shared" si="242"/>
        <v>0</v>
      </c>
      <c r="BZ97" s="190">
        <f t="shared" si="242"/>
        <v>0</v>
      </c>
      <c r="CA97" s="190">
        <f t="shared" si="242"/>
        <v>0</v>
      </c>
      <c r="CB97" s="190">
        <f t="shared" si="253"/>
        <v>0</v>
      </c>
      <c r="CC97" s="190">
        <f t="shared" si="253"/>
        <v>0</v>
      </c>
      <c r="CD97" s="190">
        <f t="shared" si="253"/>
        <v>0</v>
      </c>
      <c r="CE97" s="190">
        <f t="shared" si="253"/>
        <v>0</v>
      </c>
      <c r="CF97" s="190">
        <f t="shared" si="253"/>
        <v>0</v>
      </c>
      <c r="CG97" s="23">
        <f t="shared" ref="CG97:CK112" si="278">0/142.5</f>
        <v>0</v>
      </c>
      <c r="CH97" s="190">
        <f t="shared" si="278"/>
        <v>0</v>
      </c>
      <c r="CI97" s="190">
        <f t="shared" si="278"/>
        <v>0</v>
      </c>
      <c r="CJ97" s="190">
        <f t="shared" si="278"/>
        <v>0</v>
      </c>
      <c r="CK97" s="190">
        <f t="shared" si="278"/>
        <v>0</v>
      </c>
      <c r="CL97" s="190">
        <f t="shared" si="255"/>
        <v>0</v>
      </c>
      <c r="CM97" s="190">
        <f t="shared" si="255"/>
        <v>0</v>
      </c>
      <c r="CN97" s="190">
        <f t="shared" si="255"/>
        <v>0</v>
      </c>
      <c r="CO97" s="190">
        <f t="shared" si="255"/>
        <v>0</v>
      </c>
      <c r="CP97" s="21">
        <f t="shared" si="255"/>
        <v>0</v>
      </c>
      <c r="CQ97" s="23">
        <f t="shared" ref="CQ97:CU98" si="279">0/157.5</f>
        <v>0</v>
      </c>
      <c r="CR97" s="190">
        <f t="shared" si="279"/>
        <v>0</v>
      </c>
      <c r="CS97" s="190">
        <f t="shared" si="279"/>
        <v>0</v>
      </c>
      <c r="CT97" s="190">
        <f t="shared" si="279"/>
        <v>0</v>
      </c>
      <c r="CU97" s="190">
        <f t="shared" si="279"/>
        <v>0</v>
      </c>
      <c r="CV97" s="190">
        <f t="shared" ref="CV97:CW106" si="280">0/172.5</f>
        <v>0</v>
      </c>
      <c r="CW97" s="190">
        <f t="shared" si="280"/>
        <v>0</v>
      </c>
      <c r="CX97" s="77">
        <f>(20)/157.5</f>
        <v>0.12698412698412698</v>
      </c>
      <c r="CY97" s="190">
        <f>(33)/157.5</f>
        <v>0.20952380952380953</v>
      </c>
      <c r="CZ97" s="190">
        <f>(10)/157.5</f>
        <v>6.3492063492063489E-2</v>
      </c>
      <c r="DA97" s="190">
        <f>(30)/157.5</f>
        <v>0.19047619047619047</v>
      </c>
      <c r="DB97" s="190">
        <f>(33)/157.5</f>
        <v>0.20952380952380953</v>
      </c>
      <c r="DC97" s="190">
        <f>(30)/157.5</f>
        <v>0.19047619047619047</v>
      </c>
      <c r="DD97" s="190">
        <f>(10)/157.5</f>
        <v>6.3492063492063489E-2</v>
      </c>
      <c r="DE97" s="23">
        <f t="shared" si="274"/>
        <v>0</v>
      </c>
      <c r="DF97" s="190">
        <f t="shared" si="274"/>
        <v>0</v>
      </c>
      <c r="DG97" s="190">
        <f t="shared" si="275"/>
        <v>0</v>
      </c>
      <c r="DH97" s="190">
        <f t="shared" si="275"/>
        <v>0</v>
      </c>
      <c r="DI97" s="190">
        <f t="shared" si="275"/>
        <v>0</v>
      </c>
      <c r="DJ97" s="190">
        <f t="shared" si="275"/>
        <v>0</v>
      </c>
      <c r="DK97" s="190">
        <f t="shared" si="275"/>
        <v>0</v>
      </c>
      <c r="DL97" s="23">
        <f t="shared" ref="DL97:DP112" si="281">0/142.5</f>
        <v>0</v>
      </c>
      <c r="DM97" s="10">
        <f t="shared" si="281"/>
        <v>0</v>
      </c>
      <c r="DN97" s="10">
        <f t="shared" si="281"/>
        <v>0</v>
      </c>
      <c r="DO97" s="10">
        <f t="shared" si="281"/>
        <v>0</v>
      </c>
      <c r="DP97" s="10">
        <f t="shared" si="281"/>
        <v>0</v>
      </c>
      <c r="DQ97" s="190">
        <f t="shared" si="259"/>
        <v>0</v>
      </c>
      <c r="DR97" s="190">
        <f t="shared" si="259"/>
        <v>0</v>
      </c>
      <c r="DS97" s="190">
        <f t="shared" si="259"/>
        <v>0</v>
      </c>
      <c r="DT97" s="54"/>
    </row>
    <row r="98" spans="1:124" ht="26.25" hidden="1" customHeight="1" outlineLevel="1" x14ac:dyDescent="0.4">
      <c r="A98" s="348"/>
      <c r="B98" s="348"/>
      <c r="C98" s="348"/>
      <c r="D98" s="350"/>
      <c r="E98" s="350"/>
      <c r="F98" s="350"/>
      <c r="G98" s="565"/>
      <c r="H98" s="450"/>
      <c r="I98" s="450"/>
      <c r="J98" s="448"/>
      <c r="K98" s="446"/>
      <c r="L98" s="446"/>
      <c r="M98" s="429"/>
      <c r="N98" s="209" t="s">
        <v>25</v>
      </c>
      <c r="O98" s="209">
        <f t="shared" si="248"/>
        <v>0</v>
      </c>
      <c r="P98" s="209">
        <f t="shared" si="248"/>
        <v>0</v>
      </c>
      <c r="Q98" s="209">
        <f t="shared" si="248"/>
        <v>0</v>
      </c>
      <c r="R98" s="209">
        <f t="shared" si="248"/>
        <v>0</v>
      </c>
      <c r="S98" s="209">
        <f t="shared" si="248"/>
        <v>0</v>
      </c>
      <c r="T98" s="209">
        <f t="shared" si="248"/>
        <v>0</v>
      </c>
      <c r="U98" s="209">
        <f t="shared" si="248"/>
        <v>0</v>
      </c>
      <c r="V98" s="209">
        <f t="shared" si="248"/>
        <v>0</v>
      </c>
      <c r="W98" s="209">
        <f t="shared" si="248"/>
        <v>0</v>
      </c>
      <c r="X98" s="53">
        <f t="shared" si="248"/>
        <v>0</v>
      </c>
      <c r="Y98" s="209">
        <f t="shared" si="263"/>
        <v>0</v>
      </c>
      <c r="Z98" s="209">
        <f t="shared" si="263"/>
        <v>0</v>
      </c>
      <c r="AA98" s="209">
        <f t="shared" si="263"/>
        <v>0</v>
      </c>
      <c r="AB98" s="209">
        <f t="shared" si="263"/>
        <v>0</v>
      </c>
      <c r="AC98" s="209">
        <f t="shared" si="263"/>
        <v>0</v>
      </c>
      <c r="AD98" s="209">
        <f t="shared" si="263"/>
        <v>0</v>
      </c>
      <c r="AE98" s="209">
        <f t="shared" si="260"/>
        <v>0</v>
      </c>
      <c r="AF98" s="209"/>
      <c r="AG98" s="209">
        <f t="shared" si="260"/>
        <v>0</v>
      </c>
      <c r="AH98" s="209">
        <f t="shared" si="260"/>
        <v>0</v>
      </c>
      <c r="AI98" s="58">
        <f t="shared" si="232"/>
        <v>0</v>
      </c>
      <c r="AJ98" s="209">
        <f t="shared" si="232"/>
        <v>0</v>
      </c>
      <c r="AK98" s="209">
        <f t="shared" si="232"/>
        <v>0</v>
      </c>
      <c r="AL98" s="209">
        <f t="shared" si="232"/>
        <v>0</v>
      </c>
      <c r="AM98" s="209">
        <f t="shared" si="232"/>
        <v>0</v>
      </c>
      <c r="AN98" s="209">
        <f t="shared" si="270"/>
        <v>0</v>
      </c>
      <c r="AO98" s="209">
        <f t="shared" si="270"/>
        <v>0</v>
      </c>
      <c r="AP98" s="209">
        <f t="shared" si="232"/>
        <v>0</v>
      </c>
      <c r="AQ98" s="209">
        <f t="shared" si="232"/>
        <v>0</v>
      </c>
      <c r="AR98" s="53">
        <f t="shared" si="232"/>
        <v>0</v>
      </c>
      <c r="AS98" s="65">
        <f t="shared" si="236"/>
        <v>0</v>
      </c>
      <c r="AT98" s="210">
        <f t="shared" si="236"/>
        <v>0</v>
      </c>
      <c r="AU98" s="210">
        <f t="shared" si="236"/>
        <v>0</v>
      </c>
      <c r="AV98" s="210">
        <f t="shared" si="236"/>
        <v>0</v>
      </c>
      <c r="AW98" s="280">
        <f t="shared" si="236"/>
        <v>0</v>
      </c>
      <c r="AX98" s="210">
        <f t="shared" si="251"/>
        <v>0</v>
      </c>
      <c r="AY98" s="210">
        <f t="shared" si="251"/>
        <v>0</v>
      </c>
      <c r="AZ98" s="210">
        <f t="shared" si="251"/>
        <v>0</v>
      </c>
      <c r="BA98" s="210">
        <f t="shared" si="251"/>
        <v>0</v>
      </c>
      <c r="BB98" s="53">
        <f t="shared" si="251"/>
        <v>0</v>
      </c>
      <c r="BC98" s="58">
        <f t="shared" si="233"/>
        <v>0</v>
      </c>
      <c r="BD98" s="209">
        <f t="shared" si="233"/>
        <v>0</v>
      </c>
      <c r="BE98" s="209">
        <f t="shared" si="233"/>
        <v>0</v>
      </c>
      <c r="BF98" s="209">
        <f t="shared" si="233"/>
        <v>0</v>
      </c>
      <c r="BG98" s="209">
        <f t="shared" si="233"/>
        <v>0</v>
      </c>
      <c r="BH98" s="209">
        <f t="shared" si="233"/>
        <v>0</v>
      </c>
      <c r="BI98" s="209">
        <f t="shared" si="233"/>
        <v>0</v>
      </c>
      <c r="BJ98" s="209">
        <f t="shared" si="252"/>
        <v>0</v>
      </c>
      <c r="BK98" s="209">
        <f t="shared" si="252"/>
        <v>0</v>
      </c>
      <c r="BL98" s="209">
        <f t="shared" si="252"/>
        <v>0</v>
      </c>
      <c r="BM98" s="58">
        <f t="shared" si="210"/>
        <v>0</v>
      </c>
      <c r="BN98" s="209">
        <f t="shared" si="210"/>
        <v>0</v>
      </c>
      <c r="BO98" s="209">
        <f t="shared" si="210"/>
        <v>0</v>
      </c>
      <c r="BP98" s="209">
        <f t="shared" si="210"/>
        <v>0</v>
      </c>
      <c r="BQ98" s="209">
        <f t="shared" si="210"/>
        <v>0</v>
      </c>
      <c r="BR98" s="209">
        <f t="shared" si="210"/>
        <v>0</v>
      </c>
      <c r="BS98" s="209">
        <f t="shared" si="264"/>
        <v>0</v>
      </c>
      <c r="BT98" s="209"/>
      <c r="BU98" s="209"/>
      <c r="BV98" s="209">
        <f t="shared" si="210"/>
        <v>0</v>
      </c>
      <c r="BW98" s="65">
        <f t="shared" si="242"/>
        <v>0</v>
      </c>
      <c r="BX98" s="209">
        <f t="shared" si="242"/>
        <v>0</v>
      </c>
      <c r="BY98" s="209">
        <f t="shared" si="242"/>
        <v>0</v>
      </c>
      <c r="BZ98" s="209">
        <f t="shared" si="242"/>
        <v>0</v>
      </c>
      <c r="CA98" s="209">
        <f t="shared" si="242"/>
        <v>0</v>
      </c>
      <c r="CB98" s="209">
        <f t="shared" si="253"/>
        <v>0</v>
      </c>
      <c r="CC98" s="209">
        <f t="shared" si="253"/>
        <v>0</v>
      </c>
      <c r="CD98" s="209">
        <f t="shared" si="253"/>
        <v>0</v>
      </c>
      <c r="CE98" s="209">
        <f t="shared" si="253"/>
        <v>0</v>
      </c>
      <c r="CF98" s="209">
        <f t="shared" si="253"/>
        <v>0</v>
      </c>
      <c r="CG98" s="65">
        <f t="shared" si="278"/>
        <v>0</v>
      </c>
      <c r="CH98" s="210">
        <f t="shared" si="278"/>
        <v>0</v>
      </c>
      <c r="CI98" s="210">
        <f t="shared" si="278"/>
        <v>0</v>
      </c>
      <c r="CJ98" s="210">
        <f t="shared" si="278"/>
        <v>0</v>
      </c>
      <c r="CK98" s="210">
        <f t="shared" si="278"/>
        <v>0</v>
      </c>
      <c r="CL98" s="210">
        <f t="shared" si="255"/>
        <v>0</v>
      </c>
      <c r="CM98" s="210">
        <f t="shared" si="255"/>
        <v>0</v>
      </c>
      <c r="CN98" s="210">
        <f t="shared" si="255"/>
        <v>0</v>
      </c>
      <c r="CO98" s="210">
        <f t="shared" si="255"/>
        <v>0</v>
      </c>
      <c r="CP98" s="66">
        <f t="shared" si="255"/>
        <v>0</v>
      </c>
      <c r="CQ98" s="65">
        <f t="shared" si="279"/>
        <v>0</v>
      </c>
      <c r="CR98" s="210">
        <f t="shared" si="279"/>
        <v>0</v>
      </c>
      <c r="CS98" s="210">
        <f t="shared" si="279"/>
        <v>0</v>
      </c>
      <c r="CT98" s="210">
        <f t="shared" si="279"/>
        <v>0</v>
      </c>
      <c r="CU98" s="210">
        <f t="shared" si="279"/>
        <v>0</v>
      </c>
      <c r="CV98" s="210">
        <f t="shared" si="280"/>
        <v>0</v>
      </c>
      <c r="CW98" s="210">
        <f t="shared" si="280"/>
        <v>0</v>
      </c>
      <c r="CX98" s="65">
        <f>(2+12.5+6)/157.5</f>
        <v>0.13015873015873017</v>
      </c>
      <c r="CY98" s="210">
        <f>(0+25+11.5+1)/157.5</f>
        <v>0.23809523809523808</v>
      </c>
      <c r="CZ98" s="210">
        <f>(0+2.5)/157.5</f>
        <v>1.5873015873015872E-2</v>
      </c>
      <c r="DA98" s="210">
        <f>(0+25)/157.5</f>
        <v>0.15873015873015872</v>
      </c>
      <c r="DB98" s="210">
        <f>(0+28.5+14+2)/157.5</f>
        <v>0.28253968253968254</v>
      </c>
      <c r="DC98" s="210">
        <f>(0+27+1)/157.5</f>
        <v>0.17777777777777778</v>
      </c>
      <c r="DD98" s="209">
        <f>(0+4.5)/157.5</f>
        <v>2.8571428571428571E-2</v>
      </c>
      <c r="DE98" s="65">
        <f t="shared" si="274"/>
        <v>0</v>
      </c>
      <c r="DF98" s="210">
        <f t="shared" si="274"/>
        <v>0</v>
      </c>
      <c r="DG98" s="210">
        <f t="shared" si="275"/>
        <v>0</v>
      </c>
      <c r="DH98" s="210">
        <f t="shared" si="275"/>
        <v>0</v>
      </c>
      <c r="DI98" s="210">
        <f t="shared" si="275"/>
        <v>0</v>
      </c>
      <c r="DJ98" s="210">
        <f t="shared" si="275"/>
        <v>0</v>
      </c>
      <c r="DK98" s="210">
        <f t="shared" si="275"/>
        <v>0</v>
      </c>
      <c r="DL98" s="65">
        <f t="shared" si="281"/>
        <v>0</v>
      </c>
      <c r="DM98" s="60">
        <f t="shared" si="281"/>
        <v>0</v>
      </c>
      <c r="DN98" s="60">
        <f t="shared" si="281"/>
        <v>0</v>
      </c>
      <c r="DO98" s="60">
        <f t="shared" si="281"/>
        <v>0</v>
      </c>
      <c r="DP98" s="60">
        <f t="shared" si="281"/>
        <v>0</v>
      </c>
      <c r="DQ98" s="210">
        <f t="shared" si="259"/>
        <v>0</v>
      </c>
      <c r="DR98" s="210">
        <f t="shared" si="259"/>
        <v>0</v>
      </c>
      <c r="DS98" s="210">
        <f t="shared" si="259"/>
        <v>0</v>
      </c>
    </row>
    <row r="99" spans="1:124" ht="26.25" hidden="1" customHeight="1" outlineLevel="1" collapsed="1" x14ac:dyDescent="0.4">
      <c r="A99" s="347">
        <v>47</v>
      </c>
      <c r="B99" s="347" t="s">
        <v>47</v>
      </c>
      <c r="C99" s="347" t="s">
        <v>14</v>
      </c>
      <c r="D99" s="349" t="s">
        <v>384</v>
      </c>
      <c r="E99" s="349" t="s">
        <v>838</v>
      </c>
      <c r="F99" s="349"/>
      <c r="G99" s="563" t="s">
        <v>839</v>
      </c>
      <c r="H99" s="449">
        <f t="shared" ref="H99" si="282">SUM(DE99:DK99)</f>
        <v>0</v>
      </c>
      <c r="I99" s="449">
        <f t="shared" ref="I99" si="283">SUM(DE100:DK100)</f>
        <v>0</v>
      </c>
      <c r="J99" s="447"/>
      <c r="K99" s="445"/>
      <c r="L99" s="445"/>
      <c r="M99" s="428"/>
      <c r="N99" s="21" t="s">
        <v>24</v>
      </c>
      <c r="O99" s="190">
        <f t="shared" si="248"/>
        <v>0</v>
      </c>
      <c r="P99" s="190">
        <f t="shared" si="248"/>
        <v>0</v>
      </c>
      <c r="Q99" s="190">
        <f t="shared" si="248"/>
        <v>0</v>
      </c>
      <c r="R99" s="190">
        <f t="shared" si="248"/>
        <v>0</v>
      </c>
      <c r="S99" s="190">
        <f t="shared" si="248"/>
        <v>0</v>
      </c>
      <c r="T99" s="190">
        <f t="shared" si="248"/>
        <v>0</v>
      </c>
      <c r="U99" s="190">
        <f t="shared" si="248"/>
        <v>0</v>
      </c>
      <c r="V99" s="190">
        <f t="shared" si="248"/>
        <v>0</v>
      </c>
      <c r="W99" s="190">
        <f t="shared" si="248"/>
        <v>0</v>
      </c>
      <c r="X99" s="86">
        <f t="shared" si="248"/>
        <v>0</v>
      </c>
      <c r="Y99" s="190">
        <f t="shared" si="263"/>
        <v>0</v>
      </c>
      <c r="Z99" s="190">
        <f t="shared" si="263"/>
        <v>0</v>
      </c>
      <c r="AA99" s="190">
        <f t="shared" si="263"/>
        <v>0</v>
      </c>
      <c r="AB99" s="190">
        <f t="shared" si="263"/>
        <v>0</v>
      </c>
      <c r="AC99" s="190">
        <f t="shared" si="263"/>
        <v>0</v>
      </c>
      <c r="AD99" s="190">
        <f t="shared" si="263"/>
        <v>0</v>
      </c>
      <c r="AE99" s="190">
        <f t="shared" si="260"/>
        <v>0</v>
      </c>
      <c r="AF99" s="190"/>
      <c r="AG99" s="190">
        <f t="shared" si="260"/>
        <v>0</v>
      </c>
      <c r="AH99" s="190">
        <f t="shared" si="260"/>
        <v>0</v>
      </c>
      <c r="AI99" s="77">
        <f t="shared" si="232"/>
        <v>0</v>
      </c>
      <c r="AJ99" s="190">
        <f t="shared" si="232"/>
        <v>0</v>
      </c>
      <c r="AK99" s="190">
        <f t="shared" si="232"/>
        <v>0</v>
      </c>
      <c r="AL99" s="190">
        <f t="shared" si="232"/>
        <v>0</v>
      </c>
      <c r="AM99" s="190">
        <f t="shared" si="232"/>
        <v>0</v>
      </c>
      <c r="AN99" s="190">
        <f t="shared" si="270"/>
        <v>0</v>
      </c>
      <c r="AO99" s="190">
        <f t="shared" si="270"/>
        <v>0</v>
      </c>
      <c r="AP99" s="190">
        <f t="shared" si="232"/>
        <v>0</v>
      </c>
      <c r="AQ99" s="190">
        <f t="shared" si="232"/>
        <v>0</v>
      </c>
      <c r="AR99" s="225">
        <f t="shared" si="232"/>
        <v>0</v>
      </c>
      <c r="AS99" s="23">
        <f t="shared" si="236"/>
        <v>0</v>
      </c>
      <c r="AT99" s="190">
        <f t="shared" si="236"/>
        <v>0</v>
      </c>
      <c r="AU99" s="190">
        <f t="shared" si="236"/>
        <v>0</v>
      </c>
      <c r="AV99" s="190">
        <f t="shared" si="236"/>
        <v>0</v>
      </c>
      <c r="AW99" s="190">
        <f t="shared" si="236"/>
        <v>0</v>
      </c>
      <c r="AX99" s="190">
        <f t="shared" si="251"/>
        <v>0</v>
      </c>
      <c r="AY99" s="190">
        <f t="shared" si="251"/>
        <v>0</v>
      </c>
      <c r="AZ99" s="190">
        <f t="shared" si="251"/>
        <v>0</v>
      </c>
      <c r="BA99" s="190">
        <f t="shared" si="251"/>
        <v>0</v>
      </c>
      <c r="BB99" s="225">
        <f t="shared" si="251"/>
        <v>0</v>
      </c>
      <c r="BC99" s="77">
        <f t="shared" si="233"/>
        <v>0</v>
      </c>
      <c r="BD99" s="190">
        <f t="shared" si="233"/>
        <v>0</v>
      </c>
      <c r="BE99" s="190">
        <f t="shared" si="233"/>
        <v>0</v>
      </c>
      <c r="BF99" s="190">
        <f t="shared" si="233"/>
        <v>0</v>
      </c>
      <c r="BG99" s="190">
        <f t="shared" si="233"/>
        <v>0</v>
      </c>
      <c r="BH99" s="190">
        <f t="shared" si="233"/>
        <v>0</v>
      </c>
      <c r="BI99" s="190">
        <f t="shared" si="233"/>
        <v>0</v>
      </c>
      <c r="BJ99" s="190">
        <f t="shared" si="252"/>
        <v>0</v>
      </c>
      <c r="BK99" s="190">
        <f t="shared" si="252"/>
        <v>0</v>
      </c>
      <c r="BL99" s="190">
        <f t="shared" si="252"/>
        <v>0</v>
      </c>
      <c r="BM99" s="77">
        <f t="shared" si="210"/>
        <v>0</v>
      </c>
      <c r="BN99" s="190">
        <f t="shared" si="210"/>
        <v>0</v>
      </c>
      <c r="BO99" s="190">
        <f t="shared" si="210"/>
        <v>0</v>
      </c>
      <c r="BP99" s="190">
        <f t="shared" si="210"/>
        <v>0</v>
      </c>
      <c r="BQ99" s="190">
        <f t="shared" si="210"/>
        <v>0</v>
      </c>
      <c r="BR99" s="190">
        <f t="shared" si="210"/>
        <v>0</v>
      </c>
      <c r="BS99" s="190">
        <f t="shared" si="264"/>
        <v>0</v>
      </c>
      <c r="BT99" s="190"/>
      <c r="BU99" s="190"/>
      <c r="BV99" s="190">
        <f t="shared" si="210"/>
        <v>0</v>
      </c>
      <c r="BW99" s="23">
        <f t="shared" si="242"/>
        <v>0</v>
      </c>
      <c r="BX99" s="190">
        <f t="shared" si="242"/>
        <v>0</v>
      </c>
      <c r="BY99" s="190">
        <f t="shared" si="242"/>
        <v>0</v>
      </c>
      <c r="BZ99" s="190">
        <f t="shared" si="242"/>
        <v>0</v>
      </c>
      <c r="CA99" s="190">
        <f t="shared" si="242"/>
        <v>0</v>
      </c>
      <c r="CB99" s="190">
        <f t="shared" si="253"/>
        <v>0</v>
      </c>
      <c r="CC99" s="190">
        <f t="shared" si="253"/>
        <v>0</v>
      </c>
      <c r="CD99" s="190">
        <f t="shared" si="253"/>
        <v>0</v>
      </c>
      <c r="CE99" s="190">
        <f t="shared" si="253"/>
        <v>0</v>
      </c>
      <c r="CF99" s="190">
        <f t="shared" si="253"/>
        <v>0</v>
      </c>
      <c r="CG99" s="23">
        <f t="shared" si="278"/>
        <v>0</v>
      </c>
      <c r="CH99" s="190">
        <f t="shared" si="278"/>
        <v>0</v>
      </c>
      <c r="CI99" s="190">
        <f t="shared" si="278"/>
        <v>0</v>
      </c>
      <c r="CJ99" s="190">
        <f t="shared" si="278"/>
        <v>0</v>
      </c>
      <c r="CK99" s="190">
        <f t="shared" si="278"/>
        <v>0</v>
      </c>
      <c r="CL99" s="190">
        <f t="shared" si="255"/>
        <v>0</v>
      </c>
      <c r="CM99" s="190">
        <f t="shared" si="255"/>
        <v>0</v>
      </c>
      <c r="CN99" s="190">
        <f t="shared" si="255"/>
        <v>0</v>
      </c>
      <c r="CO99" s="190">
        <f t="shared" si="255"/>
        <v>0</v>
      </c>
      <c r="CP99" s="21">
        <f t="shared" si="255"/>
        <v>0</v>
      </c>
      <c r="CQ99" s="23">
        <f t="shared" ref="CQ99:CU114" si="284">0/157.5</f>
        <v>0</v>
      </c>
      <c r="CR99" s="190">
        <f t="shared" si="284"/>
        <v>0</v>
      </c>
      <c r="CS99" s="190">
        <f t="shared" si="284"/>
        <v>0</v>
      </c>
      <c r="CT99" s="190">
        <f t="shared" si="284"/>
        <v>0</v>
      </c>
      <c r="CU99" s="190">
        <f t="shared" si="284"/>
        <v>0</v>
      </c>
      <c r="CV99" s="190">
        <f t="shared" si="280"/>
        <v>0</v>
      </c>
      <c r="CW99" s="190">
        <f t="shared" si="280"/>
        <v>0</v>
      </c>
      <c r="CX99" s="77">
        <f>(10)/157.5</f>
        <v>6.3492063492063489E-2</v>
      </c>
      <c r="CY99" s="190">
        <f>(10)/157.5</f>
        <v>6.3492063492063489E-2</v>
      </c>
      <c r="CZ99" s="190">
        <f>(23)/157.5</f>
        <v>0.14603174603174604</v>
      </c>
      <c r="DA99" s="190">
        <f>(10)/157.5</f>
        <v>6.3492063492063489E-2</v>
      </c>
      <c r="DB99" s="190">
        <f t="shared" si="273"/>
        <v>0</v>
      </c>
      <c r="DC99" s="190">
        <f>(10)/157.5</f>
        <v>6.3492063492063489E-2</v>
      </c>
      <c r="DD99" s="190">
        <f>(20)/157.5</f>
        <v>0.12698412698412698</v>
      </c>
      <c r="DE99" s="23">
        <f t="shared" si="274"/>
        <v>0</v>
      </c>
      <c r="DF99" s="190">
        <f t="shared" si="274"/>
        <v>0</v>
      </c>
      <c r="DG99" s="190">
        <f t="shared" si="275"/>
        <v>0</v>
      </c>
      <c r="DH99" s="190">
        <f t="shared" si="275"/>
        <v>0</v>
      </c>
      <c r="DI99" s="190">
        <f t="shared" si="275"/>
        <v>0</v>
      </c>
      <c r="DJ99" s="190">
        <f t="shared" si="275"/>
        <v>0</v>
      </c>
      <c r="DK99" s="190">
        <f t="shared" si="275"/>
        <v>0</v>
      </c>
      <c r="DL99" s="23">
        <f t="shared" si="281"/>
        <v>0</v>
      </c>
      <c r="DM99" s="10">
        <f t="shared" si="281"/>
        <v>0</v>
      </c>
      <c r="DN99" s="10">
        <f t="shared" si="281"/>
        <v>0</v>
      </c>
      <c r="DO99" s="10">
        <f t="shared" si="281"/>
        <v>0</v>
      </c>
      <c r="DP99" s="10">
        <f t="shared" si="281"/>
        <v>0</v>
      </c>
      <c r="DQ99" s="190">
        <f t="shared" si="259"/>
        <v>0</v>
      </c>
      <c r="DR99" s="190">
        <f t="shared" si="259"/>
        <v>0</v>
      </c>
      <c r="DS99" s="190">
        <f t="shared" si="259"/>
        <v>0</v>
      </c>
      <c r="DT99" s="54"/>
    </row>
    <row r="100" spans="1:124" ht="26.25" hidden="1" customHeight="1" outlineLevel="1" x14ac:dyDescent="0.4">
      <c r="A100" s="348"/>
      <c r="B100" s="348"/>
      <c r="C100" s="348"/>
      <c r="D100" s="350"/>
      <c r="E100" s="350"/>
      <c r="F100" s="350"/>
      <c r="G100" s="565"/>
      <c r="H100" s="450"/>
      <c r="I100" s="450"/>
      <c r="J100" s="448"/>
      <c r="K100" s="446"/>
      <c r="L100" s="446"/>
      <c r="M100" s="429"/>
      <c r="N100" s="209" t="s">
        <v>25</v>
      </c>
      <c r="O100" s="209">
        <f t="shared" si="248"/>
        <v>0</v>
      </c>
      <c r="P100" s="209">
        <f t="shared" si="248"/>
        <v>0</v>
      </c>
      <c r="Q100" s="209">
        <f t="shared" si="248"/>
        <v>0</v>
      </c>
      <c r="R100" s="209">
        <f t="shared" si="248"/>
        <v>0</v>
      </c>
      <c r="S100" s="209">
        <f t="shared" si="248"/>
        <v>0</v>
      </c>
      <c r="T100" s="209">
        <f t="shared" si="248"/>
        <v>0</v>
      </c>
      <c r="U100" s="209">
        <f t="shared" si="248"/>
        <v>0</v>
      </c>
      <c r="V100" s="209">
        <f t="shared" si="248"/>
        <v>0</v>
      </c>
      <c r="W100" s="209">
        <f t="shared" si="248"/>
        <v>0</v>
      </c>
      <c r="X100" s="53">
        <f t="shared" si="248"/>
        <v>0</v>
      </c>
      <c r="Y100" s="209">
        <f t="shared" si="263"/>
        <v>0</v>
      </c>
      <c r="Z100" s="209">
        <f t="shared" si="263"/>
        <v>0</v>
      </c>
      <c r="AA100" s="209">
        <f t="shared" si="263"/>
        <v>0</v>
      </c>
      <c r="AB100" s="209">
        <f t="shared" si="263"/>
        <v>0</v>
      </c>
      <c r="AC100" s="209">
        <f t="shared" si="263"/>
        <v>0</v>
      </c>
      <c r="AD100" s="209">
        <f t="shared" si="263"/>
        <v>0</v>
      </c>
      <c r="AE100" s="209">
        <f t="shared" si="260"/>
        <v>0</v>
      </c>
      <c r="AF100" s="209"/>
      <c r="AG100" s="209">
        <f t="shared" si="260"/>
        <v>0</v>
      </c>
      <c r="AH100" s="209">
        <f t="shared" si="260"/>
        <v>0</v>
      </c>
      <c r="AI100" s="58">
        <f t="shared" si="232"/>
        <v>0</v>
      </c>
      <c r="AJ100" s="209">
        <f t="shared" si="232"/>
        <v>0</v>
      </c>
      <c r="AK100" s="209">
        <f t="shared" si="232"/>
        <v>0</v>
      </c>
      <c r="AL100" s="209">
        <f t="shared" si="232"/>
        <v>0</v>
      </c>
      <c r="AM100" s="209">
        <f t="shared" si="232"/>
        <v>0</v>
      </c>
      <c r="AN100" s="209">
        <f t="shared" si="270"/>
        <v>0</v>
      </c>
      <c r="AO100" s="209">
        <f t="shared" si="270"/>
        <v>0</v>
      </c>
      <c r="AP100" s="209">
        <f t="shared" si="232"/>
        <v>0</v>
      </c>
      <c r="AQ100" s="209">
        <f t="shared" si="232"/>
        <v>0</v>
      </c>
      <c r="AR100" s="53">
        <f t="shared" si="232"/>
        <v>0</v>
      </c>
      <c r="AS100" s="65">
        <f t="shared" si="236"/>
        <v>0</v>
      </c>
      <c r="AT100" s="210">
        <f t="shared" si="236"/>
        <v>0</v>
      </c>
      <c r="AU100" s="210">
        <f t="shared" si="236"/>
        <v>0</v>
      </c>
      <c r="AV100" s="210">
        <f t="shared" si="236"/>
        <v>0</v>
      </c>
      <c r="AW100" s="280">
        <f t="shared" si="236"/>
        <v>0</v>
      </c>
      <c r="AX100" s="210">
        <f t="shared" si="251"/>
        <v>0</v>
      </c>
      <c r="AY100" s="210">
        <f t="shared" si="251"/>
        <v>0</v>
      </c>
      <c r="AZ100" s="210">
        <f t="shared" si="251"/>
        <v>0</v>
      </c>
      <c r="BA100" s="210">
        <f t="shared" si="251"/>
        <v>0</v>
      </c>
      <c r="BB100" s="53">
        <f t="shared" si="251"/>
        <v>0</v>
      </c>
      <c r="BC100" s="58">
        <f t="shared" si="233"/>
        <v>0</v>
      </c>
      <c r="BD100" s="209">
        <f t="shared" si="233"/>
        <v>0</v>
      </c>
      <c r="BE100" s="209">
        <f t="shared" si="233"/>
        <v>0</v>
      </c>
      <c r="BF100" s="209">
        <f t="shared" si="233"/>
        <v>0</v>
      </c>
      <c r="BG100" s="209">
        <f t="shared" si="233"/>
        <v>0</v>
      </c>
      <c r="BH100" s="209">
        <f t="shared" si="233"/>
        <v>0</v>
      </c>
      <c r="BI100" s="209">
        <f t="shared" si="233"/>
        <v>0</v>
      </c>
      <c r="BJ100" s="209">
        <f t="shared" si="252"/>
        <v>0</v>
      </c>
      <c r="BK100" s="209">
        <f t="shared" si="252"/>
        <v>0</v>
      </c>
      <c r="BL100" s="209">
        <f t="shared" si="252"/>
        <v>0</v>
      </c>
      <c r="BM100" s="58">
        <f t="shared" si="210"/>
        <v>0</v>
      </c>
      <c r="BN100" s="209">
        <f t="shared" si="210"/>
        <v>0</v>
      </c>
      <c r="BO100" s="209">
        <f t="shared" si="210"/>
        <v>0</v>
      </c>
      <c r="BP100" s="209">
        <f t="shared" si="210"/>
        <v>0</v>
      </c>
      <c r="BQ100" s="209">
        <f t="shared" si="210"/>
        <v>0</v>
      </c>
      <c r="BR100" s="209">
        <f t="shared" si="210"/>
        <v>0</v>
      </c>
      <c r="BS100" s="209">
        <f t="shared" si="264"/>
        <v>0</v>
      </c>
      <c r="BT100" s="209"/>
      <c r="BU100" s="209"/>
      <c r="BV100" s="209">
        <f t="shared" si="210"/>
        <v>0</v>
      </c>
      <c r="BW100" s="65">
        <f t="shared" si="242"/>
        <v>0</v>
      </c>
      <c r="BX100" s="209">
        <f t="shared" si="242"/>
        <v>0</v>
      </c>
      <c r="BY100" s="209">
        <f t="shared" si="242"/>
        <v>0</v>
      </c>
      <c r="BZ100" s="209">
        <f t="shared" si="242"/>
        <v>0</v>
      </c>
      <c r="CA100" s="209">
        <f t="shared" si="242"/>
        <v>0</v>
      </c>
      <c r="CB100" s="209">
        <f t="shared" si="253"/>
        <v>0</v>
      </c>
      <c r="CC100" s="209">
        <f t="shared" si="253"/>
        <v>0</v>
      </c>
      <c r="CD100" s="209">
        <f t="shared" si="253"/>
        <v>0</v>
      </c>
      <c r="CE100" s="209">
        <f t="shared" si="253"/>
        <v>0</v>
      </c>
      <c r="CF100" s="209">
        <f t="shared" si="253"/>
        <v>0</v>
      </c>
      <c r="CG100" s="65">
        <f t="shared" si="278"/>
        <v>0</v>
      </c>
      <c r="CH100" s="210">
        <f t="shared" si="278"/>
        <v>0</v>
      </c>
      <c r="CI100" s="210">
        <f t="shared" si="278"/>
        <v>0</v>
      </c>
      <c r="CJ100" s="210">
        <f t="shared" si="278"/>
        <v>0</v>
      </c>
      <c r="CK100" s="210">
        <f t="shared" si="278"/>
        <v>0</v>
      </c>
      <c r="CL100" s="210">
        <f t="shared" si="255"/>
        <v>0</v>
      </c>
      <c r="CM100" s="210">
        <f t="shared" si="255"/>
        <v>0</v>
      </c>
      <c r="CN100" s="210">
        <f t="shared" si="255"/>
        <v>0</v>
      </c>
      <c r="CO100" s="210">
        <f t="shared" si="255"/>
        <v>0</v>
      </c>
      <c r="CP100" s="66">
        <f t="shared" si="255"/>
        <v>0</v>
      </c>
      <c r="CQ100" s="65">
        <f t="shared" si="284"/>
        <v>0</v>
      </c>
      <c r="CR100" s="210">
        <f t="shared" si="284"/>
        <v>0</v>
      </c>
      <c r="CS100" s="210">
        <f t="shared" si="284"/>
        <v>0</v>
      </c>
      <c r="CT100" s="210">
        <f t="shared" si="284"/>
        <v>0</v>
      </c>
      <c r="CU100" s="210">
        <f t="shared" si="284"/>
        <v>0</v>
      </c>
      <c r="CV100" s="210">
        <f t="shared" si="280"/>
        <v>0</v>
      </c>
      <c r="CW100" s="210">
        <f t="shared" si="280"/>
        <v>0</v>
      </c>
      <c r="CX100" s="65">
        <f>(0.5+9)/157.5</f>
        <v>6.0317460317460318E-2</v>
      </c>
      <c r="CY100" s="210">
        <f>(0+5.5)/157.5</f>
        <v>3.4920634920634921E-2</v>
      </c>
      <c r="CZ100" s="210">
        <f>(0+27)/157.5</f>
        <v>0.17142857142857143</v>
      </c>
      <c r="DA100" s="210">
        <f>(0+10.5)/157.5</f>
        <v>6.6666666666666666E-2</v>
      </c>
      <c r="DB100" s="210">
        <f t="shared" si="273"/>
        <v>0</v>
      </c>
      <c r="DC100" s="210">
        <f>(0+4.5)/157.5</f>
        <v>2.8571428571428571E-2</v>
      </c>
      <c r="DD100" s="209">
        <f>(0+24)/157.5</f>
        <v>0.15238095238095239</v>
      </c>
      <c r="DE100" s="65">
        <f t="shared" si="274"/>
        <v>0</v>
      </c>
      <c r="DF100" s="210">
        <f t="shared" si="274"/>
        <v>0</v>
      </c>
      <c r="DG100" s="210">
        <f t="shared" si="275"/>
        <v>0</v>
      </c>
      <c r="DH100" s="210">
        <f t="shared" si="275"/>
        <v>0</v>
      </c>
      <c r="DI100" s="210">
        <f t="shared" si="275"/>
        <v>0</v>
      </c>
      <c r="DJ100" s="210">
        <f t="shared" si="275"/>
        <v>0</v>
      </c>
      <c r="DK100" s="210">
        <f t="shared" si="275"/>
        <v>0</v>
      </c>
      <c r="DL100" s="65">
        <f t="shared" si="281"/>
        <v>0</v>
      </c>
      <c r="DM100" s="60">
        <f t="shared" si="281"/>
        <v>0</v>
      </c>
      <c r="DN100" s="60">
        <f t="shared" si="281"/>
        <v>0</v>
      </c>
      <c r="DO100" s="60">
        <f t="shared" si="281"/>
        <v>0</v>
      </c>
      <c r="DP100" s="60">
        <f t="shared" si="281"/>
        <v>0</v>
      </c>
      <c r="DQ100" s="210">
        <f t="shared" si="259"/>
        <v>0</v>
      </c>
      <c r="DR100" s="210">
        <f t="shared" si="259"/>
        <v>0</v>
      </c>
      <c r="DS100" s="210">
        <f t="shared" si="259"/>
        <v>0</v>
      </c>
    </row>
    <row r="101" spans="1:124" ht="26.25" customHeight="1" collapsed="1" x14ac:dyDescent="0.4">
      <c r="A101" s="347">
        <v>48</v>
      </c>
      <c r="B101" s="347" t="s">
        <v>46</v>
      </c>
      <c r="C101" s="347" t="s">
        <v>14</v>
      </c>
      <c r="D101" s="349" t="s">
        <v>384</v>
      </c>
      <c r="E101" s="349" t="s">
        <v>842</v>
      </c>
      <c r="F101" s="349"/>
      <c r="G101" s="563" t="s">
        <v>841</v>
      </c>
      <c r="H101" s="449">
        <f t="shared" ref="H101" si="285">SUM(DE101:DK101)</f>
        <v>0.11764705882352941</v>
      </c>
      <c r="I101" s="449">
        <f t="shared" ref="I101" si="286">SUM(DE102:DK102)</f>
        <v>0.45882352941176469</v>
      </c>
      <c r="J101" s="447"/>
      <c r="K101" s="445"/>
      <c r="L101" s="445"/>
      <c r="M101" s="428"/>
      <c r="N101" s="21" t="s">
        <v>24</v>
      </c>
      <c r="O101" s="190">
        <f t="shared" si="248"/>
        <v>0</v>
      </c>
      <c r="P101" s="190">
        <f t="shared" si="248"/>
        <v>0</v>
      </c>
      <c r="Q101" s="190">
        <f t="shared" si="248"/>
        <v>0</v>
      </c>
      <c r="R101" s="190">
        <f t="shared" si="248"/>
        <v>0</v>
      </c>
      <c r="S101" s="190">
        <f t="shared" si="248"/>
        <v>0</v>
      </c>
      <c r="T101" s="190">
        <f t="shared" si="248"/>
        <v>0</v>
      </c>
      <c r="U101" s="190">
        <f t="shared" si="248"/>
        <v>0</v>
      </c>
      <c r="V101" s="190">
        <f t="shared" si="248"/>
        <v>0</v>
      </c>
      <c r="W101" s="190">
        <f t="shared" si="248"/>
        <v>0</v>
      </c>
      <c r="X101" s="86">
        <f t="shared" si="248"/>
        <v>0</v>
      </c>
      <c r="Y101" s="190">
        <f t="shared" si="263"/>
        <v>0</v>
      </c>
      <c r="Z101" s="190">
        <f t="shared" si="263"/>
        <v>0</v>
      </c>
      <c r="AA101" s="190">
        <f t="shared" si="263"/>
        <v>0</v>
      </c>
      <c r="AB101" s="190">
        <f t="shared" si="263"/>
        <v>0</v>
      </c>
      <c r="AC101" s="190">
        <f t="shared" si="263"/>
        <v>0</v>
      </c>
      <c r="AD101" s="190">
        <f t="shared" si="263"/>
        <v>0</v>
      </c>
      <c r="AE101" s="190">
        <f t="shared" si="260"/>
        <v>0</v>
      </c>
      <c r="AF101" s="190"/>
      <c r="AG101" s="190">
        <f t="shared" si="260"/>
        <v>0</v>
      </c>
      <c r="AH101" s="190">
        <f t="shared" si="260"/>
        <v>0</v>
      </c>
      <c r="AI101" s="77">
        <f t="shared" si="232"/>
        <v>0</v>
      </c>
      <c r="AJ101" s="190">
        <f t="shared" si="232"/>
        <v>0</v>
      </c>
      <c r="AK101" s="190">
        <f t="shared" si="232"/>
        <v>0</v>
      </c>
      <c r="AL101" s="190">
        <f t="shared" si="232"/>
        <v>0</v>
      </c>
      <c r="AM101" s="190">
        <f t="shared" si="232"/>
        <v>0</v>
      </c>
      <c r="AN101" s="190">
        <f t="shared" si="270"/>
        <v>0</v>
      </c>
      <c r="AO101" s="190">
        <f t="shared" si="270"/>
        <v>0</v>
      </c>
      <c r="AP101" s="190">
        <f t="shared" si="232"/>
        <v>0</v>
      </c>
      <c r="AQ101" s="190">
        <f t="shared" si="232"/>
        <v>0</v>
      </c>
      <c r="AR101" s="225">
        <f t="shared" si="232"/>
        <v>0</v>
      </c>
      <c r="AS101" s="23">
        <f t="shared" si="236"/>
        <v>0</v>
      </c>
      <c r="AT101" s="190">
        <f t="shared" si="236"/>
        <v>0</v>
      </c>
      <c r="AU101" s="190">
        <f t="shared" si="236"/>
        <v>0</v>
      </c>
      <c r="AV101" s="190">
        <f t="shared" si="236"/>
        <v>0</v>
      </c>
      <c r="AW101" s="190">
        <f t="shared" si="236"/>
        <v>0</v>
      </c>
      <c r="AX101" s="190">
        <f t="shared" si="251"/>
        <v>0</v>
      </c>
      <c r="AY101" s="190">
        <f t="shared" si="251"/>
        <v>0</v>
      </c>
      <c r="AZ101" s="190">
        <f t="shared" si="251"/>
        <v>0</v>
      </c>
      <c r="BA101" s="190">
        <f t="shared" si="251"/>
        <v>0</v>
      </c>
      <c r="BB101" s="225">
        <f t="shared" si="251"/>
        <v>0</v>
      </c>
      <c r="BC101" s="77">
        <f t="shared" si="233"/>
        <v>0</v>
      </c>
      <c r="BD101" s="190">
        <f t="shared" si="233"/>
        <v>0</v>
      </c>
      <c r="BE101" s="190">
        <f t="shared" si="233"/>
        <v>0</v>
      </c>
      <c r="BF101" s="190">
        <f t="shared" si="233"/>
        <v>0</v>
      </c>
      <c r="BG101" s="190">
        <f t="shared" si="233"/>
        <v>0</v>
      </c>
      <c r="BH101" s="190">
        <f t="shared" si="233"/>
        <v>0</v>
      </c>
      <c r="BI101" s="190">
        <f t="shared" si="233"/>
        <v>0</v>
      </c>
      <c r="BJ101" s="190">
        <f t="shared" si="252"/>
        <v>0</v>
      </c>
      <c r="BK101" s="190">
        <f t="shared" si="252"/>
        <v>0</v>
      </c>
      <c r="BL101" s="190">
        <f t="shared" si="252"/>
        <v>0</v>
      </c>
      <c r="BM101" s="77">
        <f t="shared" si="210"/>
        <v>0</v>
      </c>
      <c r="BN101" s="190">
        <f t="shared" si="210"/>
        <v>0</v>
      </c>
      <c r="BO101" s="190">
        <f t="shared" si="210"/>
        <v>0</v>
      </c>
      <c r="BP101" s="190">
        <f t="shared" si="210"/>
        <v>0</v>
      </c>
      <c r="BQ101" s="190">
        <f t="shared" si="210"/>
        <v>0</v>
      </c>
      <c r="BR101" s="190">
        <f t="shared" si="210"/>
        <v>0</v>
      </c>
      <c r="BS101" s="190">
        <f t="shared" si="264"/>
        <v>0</v>
      </c>
      <c r="BT101" s="190"/>
      <c r="BU101" s="190"/>
      <c r="BV101" s="190">
        <f t="shared" si="210"/>
        <v>0</v>
      </c>
      <c r="BW101" s="23">
        <f t="shared" si="242"/>
        <v>0</v>
      </c>
      <c r="BX101" s="190">
        <f t="shared" si="242"/>
        <v>0</v>
      </c>
      <c r="BY101" s="190">
        <f t="shared" si="242"/>
        <v>0</v>
      </c>
      <c r="BZ101" s="190">
        <f t="shared" si="242"/>
        <v>0</v>
      </c>
      <c r="CA101" s="190">
        <f t="shared" si="242"/>
        <v>0</v>
      </c>
      <c r="CB101" s="190">
        <f t="shared" si="253"/>
        <v>0</v>
      </c>
      <c r="CC101" s="190">
        <f t="shared" si="253"/>
        <v>0</v>
      </c>
      <c r="CD101" s="190">
        <f t="shared" si="253"/>
        <v>0</v>
      </c>
      <c r="CE101" s="190">
        <f t="shared" si="253"/>
        <v>0</v>
      </c>
      <c r="CF101" s="190">
        <f t="shared" si="253"/>
        <v>0</v>
      </c>
      <c r="CG101" s="23">
        <f t="shared" si="278"/>
        <v>0</v>
      </c>
      <c r="CH101" s="190">
        <f t="shared" si="278"/>
        <v>0</v>
      </c>
      <c r="CI101" s="190">
        <f t="shared" si="278"/>
        <v>0</v>
      </c>
      <c r="CJ101" s="190">
        <f t="shared" si="278"/>
        <v>0</v>
      </c>
      <c r="CK101" s="190">
        <f t="shared" si="278"/>
        <v>0</v>
      </c>
      <c r="CL101" s="190">
        <f t="shared" si="255"/>
        <v>0</v>
      </c>
      <c r="CM101" s="190">
        <f t="shared" si="255"/>
        <v>0</v>
      </c>
      <c r="CN101" s="190">
        <f t="shared" si="255"/>
        <v>0</v>
      </c>
      <c r="CO101" s="190">
        <f t="shared" si="255"/>
        <v>0</v>
      </c>
      <c r="CP101" s="21">
        <f t="shared" si="255"/>
        <v>0</v>
      </c>
      <c r="CQ101" s="23">
        <f t="shared" si="284"/>
        <v>0</v>
      </c>
      <c r="CR101" s="190">
        <f t="shared" si="284"/>
        <v>0</v>
      </c>
      <c r="CS101" s="190">
        <f t="shared" si="284"/>
        <v>0</v>
      </c>
      <c r="CT101" s="190">
        <f t="shared" si="284"/>
        <v>0</v>
      </c>
      <c r="CU101" s="190">
        <f t="shared" si="284"/>
        <v>0</v>
      </c>
      <c r="CV101" s="190">
        <f t="shared" si="280"/>
        <v>0</v>
      </c>
      <c r="CW101" s="190">
        <f t="shared" si="280"/>
        <v>0</v>
      </c>
      <c r="CX101" s="77">
        <f>(5)/157.5</f>
        <v>3.1746031746031744E-2</v>
      </c>
      <c r="CY101" s="190">
        <f>(35)/157.5</f>
        <v>0.22222222222222221</v>
      </c>
      <c r="CZ101" s="190">
        <f t="shared" ref="CZ101:DD101" si="287">(20)/157.5</f>
        <v>0.12698412698412698</v>
      </c>
      <c r="DA101" s="190">
        <f t="shared" si="287"/>
        <v>0.12698412698412698</v>
      </c>
      <c r="DB101" s="190">
        <f>(20)/157.5</f>
        <v>0.12698412698412698</v>
      </c>
      <c r="DC101" s="190">
        <f t="shared" si="287"/>
        <v>0.12698412698412698</v>
      </c>
      <c r="DD101" s="190">
        <f t="shared" si="287"/>
        <v>0.12698412698412698</v>
      </c>
      <c r="DE101" s="23">
        <f>(5)/127.5</f>
        <v>3.9215686274509803E-2</v>
      </c>
      <c r="DF101" s="190">
        <f>(10)/127.5</f>
        <v>7.8431372549019607E-2</v>
      </c>
      <c r="DG101" s="190">
        <f t="shared" si="275"/>
        <v>0</v>
      </c>
      <c r="DH101" s="190">
        <f t="shared" si="275"/>
        <v>0</v>
      </c>
      <c r="DI101" s="190">
        <f t="shared" si="275"/>
        <v>0</v>
      </c>
      <c r="DJ101" s="190">
        <f t="shared" si="275"/>
        <v>0</v>
      </c>
      <c r="DK101" s="190">
        <f t="shared" si="275"/>
        <v>0</v>
      </c>
      <c r="DL101" s="23">
        <f t="shared" si="281"/>
        <v>0</v>
      </c>
      <c r="DM101" s="10">
        <f t="shared" si="281"/>
        <v>0</v>
      </c>
      <c r="DN101" s="10">
        <f t="shared" si="281"/>
        <v>0</v>
      </c>
      <c r="DO101" s="10">
        <f t="shared" si="281"/>
        <v>0</v>
      </c>
      <c r="DP101" s="10">
        <f t="shared" si="281"/>
        <v>0</v>
      </c>
      <c r="DQ101" s="190">
        <f t="shared" si="259"/>
        <v>0</v>
      </c>
      <c r="DR101" s="190">
        <f t="shared" si="259"/>
        <v>0</v>
      </c>
      <c r="DS101" s="190">
        <f t="shared" si="259"/>
        <v>0</v>
      </c>
      <c r="DT101" s="54"/>
    </row>
    <row r="102" spans="1:124" ht="26.25" customHeight="1" x14ac:dyDescent="0.4">
      <c r="A102" s="348"/>
      <c r="B102" s="348"/>
      <c r="C102" s="348"/>
      <c r="D102" s="350"/>
      <c r="E102" s="350"/>
      <c r="F102" s="350"/>
      <c r="G102" s="565"/>
      <c r="H102" s="450"/>
      <c r="I102" s="450"/>
      <c r="J102" s="448"/>
      <c r="K102" s="446"/>
      <c r="L102" s="446"/>
      <c r="M102" s="429"/>
      <c r="N102" s="209" t="s">
        <v>25</v>
      </c>
      <c r="O102" s="209">
        <f t="shared" si="248"/>
        <v>0</v>
      </c>
      <c r="P102" s="209">
        <f t="shared" si="248"/>
        <v>0</v>
      </c>
      <c r="Q102" s="209">
        <f t="shared" si="248"/>
        <v>0</v>
      </c>
      <c r="R102" s="209">
        <f t="shared" si="248"/>
        <v>0</v>
      </c>
      <c r="S102" s="209">
        <f t="shared" si="248"/>
        <v>0</v>
      </c>
      <c r="T102" s="209">
        <f t="shared" si="248"/>
        <v>0</v>
      </c>
      <c r="U102" s="209">
        <f t="shared" si="248"/>
        <v>0</v>
      </c>
      <c r="V102" s="209">
        <f t="shared" si="248"/>
        <v>0</v>
      </c>
      <c r="W102" s="209">
        <f t="shared" si="248"/>
        <v>0</v>
      </c>
      <c r="X102" s="53">
        <f t="shared" si="248"/>
        <v>0</v>
      </c>
      <c r="Y102" s="209">
        <f t="shared" si="263"/>
        <v>0</v>
      </c>
      <c r="Z102" s="209">
        <f t="shared" si="263"/>
        <v>0</v>
      </c>
      <c r="AA102" s="209">
        <f t="shared" si="263"/>
        <v>0</v>
      </c>
      <c r="AB102" s="209">
        <f t="shared" si="263"/>
        <v>0</v>
      </c>
      <c r="AC102" s="209">
        <f t="shared" si="263"/>
        <v>0</v>
      </c>
      <c r="AD102" s="209">
        <f t="shared" si="263"/>
        <v>0</v>
      </c>
      <c r="AE102" s="209">
        <f t="shared" si="260"/>
        <v>0</v>
      </c>
      <c r="AF102" s="209"/>
      <c r="AG102" s="209">
        <f t="shared" si="260"/>
        <v>0</v>
      </c>
      <c r="AH102" s="209">
        <f t="shared" si="260"/>
        <v>0</v>
      </c>
      <c r="AI102" s="58">
        <f t="shared" si="232"/>
        <v>0</v>
      </c>
      <c r="AJ102" s="209">
        <f t="shared" si="232"/>
        <v>0</v>
      </c>
      <c r="AK102" s="209">
        <f t="shared" si="232"/>
        <v>0</v>
      </c>
      <c r="AL102" s="209">
        <f t="shared" si="232"/>
        <v>0</v>
      </c>
      <c r="AM102" s="209">
        <f t="shared" si="232"/>
        <v>0</v>
      </c>
      <c r="AN102" s="209">
        <f t="shared" si="270"/>
        <v>0</v>
      </c>
      <c r="AO102" s="209">
        <f t="shared" si="270"/>
        <v>0</v>
      </c>
      <c r="AP102" s="209">
        <f t="shared" si="232"/>
        <v>0</v>
      </c>
      <c r="AQ102" s="209">
        <f t="shared" si="232"/>
        <v>0</v>
      </c>
      <c r="AR102" s="53">
        <f t="shared" si="232"/>
        <v>0</v>
      </c>
      <c r="AS102" s="65">
        <f t="shared" si="236"/>
        <v>0</v>
      </c>
      <c r="AT102" s="210">
        <f t="shared" si="236"/>
        <v>0</v>
      </c>
      <c r="AU102" s="210">
        <f t="shared" si="236"/>
        <v>0</v>
      </c>
      <c r="AV102" s="210">
        <f t="shared" si="236"/>
        <v>0</v>
      </c>
      <c r="AW102" s="280">
        <f t="shared" si="236"/>
        <v>0</v>
      </c>
      <c r="AX102" s="210">
        <f t="shared" si="251"/>
        <v>0</v>
      </c>
      <c r="AY102" s="210">
        <f t="shared" si="251"/>
        <v>0</v>
      </c>
      <c r="AZ102" s="210">
        <f t="shared" si="251"/>
        <v>0</v>
      </c>
      <c r="BA102" s="210">
        <f t="shared" si="251"/>
        <v>0</v>
      </c>
      <c r="BB102" s="53">
        <f t="shared" si="251"/>
        <v>0</v>
      </c>
      <c r="BC102" s="58">
        <f t="shared" si="233"/>
        <v>0</v>
      </c>
      <c r="BD102" s="209">
        <f t="shared" si="233"/>
        <v>0</v>
      </c>
      <c r="BE102" s="209">
        <f t="shared" si="233"/>
        <v>0</v>
      </c>
      <c r="BF102" s="209">
        <f t="shared" si="233"/>
        <v>0</v>
      </c>
      <c r="BG102" s="209">
        <f t="shared" si="233"/>
        <v>0</v>
      </c>
      <c r="BH102" s="209">
        <f t="shared" si="233"/>
        <v>0</v>
      </c>
      <c r="BI102" s="209">
        <f t="shared" si="233"/>
        <v>0</v>
      </c>
      <c r="BJ102" s="209">
        <f t="shared" si="252"/>
        <v>0</v>
      </c>
      <c r="BK102" s="209">
        <f t="shared" si="252"/>
        <v>0</v>
      </c>
      <c r="BL102" s="209">
        <f t="shared" si="252"/>
        <v>0</v>
      </c>
      <c r="BM102" s="58">
        <f t="shared" si="210"/>
        <v>0</v>
      </c>
      <c r="BN102" s="209">
        <f t="shared" si="210"/>
        <v>0</v>
      </c>
      <c r="BO102" s="209">
        <f t="shared" si="210"/>
        <v>0</v>
      </c>
      <c r="BP102" s="209">
        <f t="shared" si="210"/>
        <v>0</v>
      </c>
      <c r="BQ102" s="209">
        <f t="shared" si="210"/>
        <v>0</v>
      </c>
      <c r="BR102" s="209">
        <f t="shared" si="210"/>
        <v>0</v>
      </c>
      <c r="BS102" s="209">
        <f t="shared" si="264"/>
        <v>0</v>
      </c>
      <c r="BT102" s="209"/>
      <c r="BU102" s="209"/>
      <c r="BV102" s="209">
        <f t="shared" si="210"/>
        <v>0</v>
      </c>
      <c r="BW102" s="65">
        <f t="shared" si="242"/>
        <v>0</v>
      </c>
      <c r="BX102" s="209">
        <f t="shared" si="242"/>
        <v>0</v>
      </c>
      <c r="BY102" s="209">
        <f t="shared" si="242"/>
        <v>0</v>
      </c>
      <c r="BZ102" s="209">
        <f t="shared" si="242"/>
        <v>0</v>
      </c>
      <c r="CA102" s="209">
        <f t="shared" si="242"/>
        <v>0</v>
      </c>
      <c r="CB102" s="209">
        <f t="shared" si="253"/>
        <v>0</v>
      </c>
      <c r="CC102" s="209">
        <f t="shared" si="253"/>
        <v>0</v>
      </c>
      <c r="CD102" s="209">
        <f t="shared" si="253"/>
        <v>0</v>
      </c>
      <c r="CE102" s="209">
        <f t="shared" si="253"/>
        <v>0</v>
      </c>
      <c r="CF102" s="209">
        <f t="shared" si="253"/>
        <v>0</v>
      </c>
      <c r="CG102" s="65">
        <f t="shared" si="278"/>
        <v>0</v>
      </c>
      <c r="CH102" s="210">
        <f t="shared" si="278"/>
        <v>0</v>
      </c>
      <c r="CI102" s="210">
        <f t="shared" si="278"/>
        <v>0</v>
      </c>
      <c r="CJ102" s="210">
        <f t="shared" si="278"/>
        <v>0</v>
      </c>
      <c r="CK102" s="210">
        <f t="shared" si="278"/>
        <v>0</v>
      </c>
      <c r="CL102" s="210">
        <f t="shared" si="255"/>
        <v>0</v>
      </c>
      <c r="CM102" s="210">
        <f t="shared" si="255"/>
        <v>0</v>
      </c>
      <c r="CN102" s="210">
        <f t="shared" si="255"/>
        <v>0</v>
      </c>
      <c r="CO102" s="210">
        <f t="shared" si="255"/>
        <v>0</v>
      </c>
      <c r="CP102" s="66">
        <f t="shared" si="255"/>
        <v>0</v>
      </c>
      <c r="CQ102" s="65">
        <f t="shared" si="284"/>
        <v>0</v>
      </c>
      <c r="CR102" s="210">
        <f t="shared" si="284"/>
        <v>0</v>
      </c>
      <c r="CS102" s="210">
        <f t="shared" si="284"/>
        <v>0</v>
      </c>
      <c r="CT102" s="210">
        <f t="shared" si="284"/>
        <v>0</v>
      </c>
      <c r="CU102" s="210">
        <f t="shared" si="284"/>
        <v>0</v>
      </c>
      <c r="CV102" s="210">
        <f t="shared" si="280"/>
        <v>0</v>
      </c>
      <c r="CW102" s="210">
        <f t="shared" si="280"/>
        <v>0</v>
      </c>
      <c r="CX102" s="65">
        <f>(0.5+1)/157.5</f>
        <v>9.5238095238095247E-3</v>
      </c>
      <c r="CY102" s="210">
        <f>(17.5+12.5+7)/157.5</f>
        <v>0.23492063492063492</v>
      </c>
      <c r="CZ102" s="210">
        <f>(4.5+3.5)/157.5</f>
        <v>5.0793650793650794E-2</v>
      </c>
      <c r="DA102" s="210">
        <f>(19+4.5)/157.5</f>
        <v>0.1492063492063492</v>
      </c>
      <c r="DB102" s="210">
        <f>(16.5+17.5+5.5)/157.5</f>
        <v>0.25079365079365079</v>
      </c>
      <c r="DC102" s="210">
        <f>(13.5+2+4.5)/157.5</f>
        <v>0.12698412698412698</v>
      </c>
      <c r="DD102" s="209">
        <f>(4+7)/157.5</f>
        <v>6.9841269841269843E-2</v>
      </c>
      <c r="DE102" s="65">
        <f>(1+0)/127.5</f>
        <v>7.8431372549019607E-3</v>
      </c>
      <c r="DF102" s="210">
        <f>(2+7+1.5+20)/127.5</f>
        <v>0.23921568627450981</v>
      </c>
      <c r="DG102" s="210">
        <f t="shared" si="275"/>
        <v>0</v>
      </c>
      <c r="DH102" s="210">
        <f t="shared" si="275"/>
        <v>0</v>
      </c>
      <c r="DI102" s="210">
        <f>(0+13)/127.5</f>
        <v>0.10196078431372549</v>
      </c>
      <c r="DJ102" s="210">
        <f>(0+14)/127.5</f>
        <v>0.10980392156862745</v>
      </c>
      <c r="DK102" s="210">
        <f t="shared" si="275"/>
        <v>0</v>
      </c>
      <c r="DL102" s="65">
        <f t="shared" si="281"/>
        <v>0</v>
      </c>
      <c r="DM102" s="60">
        <f t="shared" si="281"/>
        <v>0</v>
      </c>
      <c r="DN102" s="60">
        <f t="shared" si="281"/>
        <v>0</v>
      </c>
      <c r="DO102" s="60">
        <f t="shared" si="281"/>
        <v>0</v>
      </c>
      <c r="DP102" s="60">
        <f t="shared" si="281"/>
        <v>0</v>
      </c>
      <c r="DQ102" s="210">
        <f t="shared" si="259"/>
        <v>0</v>
      </c>
      <c r="DR102" s="210">
        <f t="shared" si="259"/>
        <v>0</v>
      </c>
      <c r="DS102" s="210">
        <f t="shared" si="259"/>
        <v>0</v>
      </c>
    </row>
    <row r="103" spans="1:124" ht="26.25" customHeight="1" collapsed="1" x14ac:dyDescent="0.4">
      <c r="A103" s="347">
        <v>49</v>
      </c>
      <c r="B103" s="347" t="s">
        <v>47</v>
      </c>
      <c r="C103" s="347" t="s">
        <v>14</v>
      </c>
      <c r="D103" s="349" t="s">
        <v>735</v>
      </c>
      <c r="E103" s="349" t="s">
        <v>853</v>
      </c>
      <c r="F103" s="349" t="s">
        <v>386</v>
      </c>
      <c r="G103" s="563" t="s">
        <v>854</v>
      </c>
      <c r="H103" s="449">
        <f t="shared" ref="H103" si="288">SUM(DE103:DK103)</f>
        <v>0.3529411764705882</v>
      </c>
      <c r="I103" s="449">
        <f t="shared" ref="I103" si="289">SUM(DE104:DK104)</f>
        <v>0.36470588235294121</v>
      </c>
      <c r="J103" s="447"/>
      <c r="K103" s="445"/>
      <c r="L103" s="445"/>
      <c r="M103" s="428"/>
      <c r="N103" s="21" t="s">
        <v>24</v>
      </c>
      <c r="O103" s="190">
        <f t="shared" si="248"/>
        <v>0</v>
      </c>
      <c r="P103" s="190">
        <f t="shared" si="248"/>
        <v>0</v>
      </c>
      <c r="Q103" s="190">
        <f t="shared" si="248"/>
        <v>0</v>
      </c>
      <c r="R103" s="190">
        <f t="shared" si="248"/>
        <v>0</v>
      </c>
      <c r="S103" s="190">
        <f t="shared" si="248"/>
        <v>0</v>
      </c>
      <c r="T103" s="190">
        <f t="shared" si="248"/>
        <v>0</v>
      </c>
      <c r="U103" s="190">
        <f t="shared" si="248"/>
        <v>0</v>
      </c>
      <c r="V103" s="190">
        <f t="shared" si="248"/>
        <v>0</v>
      </c>
      <c r="W103" s="190">
        <f t="shared" si="248"/>
        <v>0</v>
      </c>
      <c r="X103" s="86">
        <f t="shared" si="248"/>
        <v>0</v>
      </c>
      <c r="Y103" s="190">
        <f t="shared" si="263"/>
        <v>0</v>
      </c>
      <c r="Z103" s="190">
        <f t="shared" si="263"/>
        <v>0</v>
      </c>
      <c r="AA103" s="190">
        <f t="shared" si="263"/>
        <v>0</v>
      </c>
      <c r="AB103" s="190">
        <f t="shared" si="263"/>
        <v>0</v>
      </c>
      <c r="AC103" s="190">
        <f t="shared" si="263"/>
        <v>0</v>
      </c>
      <c r="AD103" s="190">
        <f t="shared" si="263"/>
        <v>0</v>
      </c>
      <c r="AE103" s="190">
        <f t="shared" si="260"/>
        <v>0</v>
      </c>
      <c r="AF103" s="190"/>
      <c r="AG103" s="190">
        <f t="shared" si="260"/>
        <v>0</v>
      </c>
      <c r="AH103" s="190">
        <f t="shared" si="260"/>
        <v>0</v>
      </c>
      <c r="AI103" s="77">
        <f t="shared" si="232"/>
        <v>0</v>
      </c>
      <c r="AJ103" s="190">
        <f t="shared" si="232"/>
        <v>0</v>
      </c>
      <c r="AK103" s="190">
        <f t="shared" si="232"/>
        <v>0</v>
      </c>
      <c r="AL103" s="190">
        <f t="shared" si="232"/>
        <v>0</v>
      </c>
      <c r="AM103" s="190">
        <f t="shared" si="232"/>
        <v>0</v>
      </c>
      <c r="AN103" s="190">
        <f t="shared" si="270"/>
        <v>0</v>
      </c>
      <c r="AO103" s="190">
        <f t="shared" si="270"/>
        <v>0</v>
      </c>
      <c r="AP103" s="190">
        <f t="shared" si="232"/>
        <v>0</v>
      </c>
      <c r="AQ103" s="190">
        <f t="shared" si="232"/>
        <v>0</v>
      </c>
      <c r="AR103" s="225">
        <f t="shared" si="232"/>
        <v>0</v>
      </c>
      <c r="AS103" s="23">
        <f t="shared" si="236"/>
        <v>0</v>
      </c>
      <c r="AT103" s="190">
        <f t="shared" si="236"/>
        <v>0</v>
      </c>
      <c r="AU103" s="190">
        <f t="shared" si="236"/>
        <v>0</v>
      </c>
      <c r="AV103" s="190">
        <f t="shared" si="236"/>
        <v>0</v>
      </c>
      <c r="AW103" s="190">
        <f t="shared" si="236"/>
        <v>0</v>
      </c>
      <c r="AX103" s="190">
        <f t="shared" si="251"/>
        <v>0</v>
      </c>
      <c r="AY103" s="190">
        <f t="shared" si="251"/>
        <v>0</v>
      </c>
      <c r="AZ103" s="190">
        <f t="shared" si="251"/>
        <v>0</v>
      </c>
      <c r="BA103" s="190">
        <f t="shared" si="251"/>
        <v>0</v>
      </c>
      <c r="BB103" s="225">
        <f t="shared" si="251"/>
        <v>0</v>
      </c>
      <c r="BC103" s="77">
        <f t="shared" si="233"/>
        <v>0</v>
      </c>
      <c r="BD103" s="190">
        <f t="shared" si="233"/>
        <v>0</v>
      </c>
      <c r="BE103" s="190">
        <f t="shared" si="233"/>
        <v>0</v>
      </c>
      <c r="BF103" s="190">
        <f t="shared" si="233"/>
        <v>0</v>
      </c>
      <c r="BG103" s="190">
        <f t="shared" si="233"/>
        <v>0</v>
      </c>
      <c r="BH103" s="190">
        <f t="shared" si="233"/>
        <v>0</v>
      </c>
      <c r="BI103" s="190">
        <f t="shared" si="233"/>
        <v>0</v>
      </c>
      <c r="BJ103" s="190">
        <f t="shared" si="252"/>
        <v>0</v>
      </c>
      <c r="BK103" s="190">
        <f t="shared" si="252"/>
        <v>0</v>
      </c>
      <c r="BL103" s="190">
        <f t="shared" si="252"/>
        <v>0</v>
      </c>
      <c r="BM103" s="77">
        <f t="shared" si="210"/>
        <v>0</v>
      </c>
      <c r="BN103" s="190">
        <f t="shared" si="210"/>
        <v>0</v>
      </c>
      <c r="BO103" s="190">
        <f t="shared" si="210"/>
        <v>0</v>
      </c>
      <c r="BP103" s="190">
        <f t="shared" si="210"/>
        <v>0</v>
      </c>
      <c r="BQ103" s="190">
        <f t="shared" si="210"/>
        <v>0</v>
      </c>
      <c r="BR103" s="190">
        <f t="shared" si="210"/>
        <v>0</v>
      </c>
      <c r="BS103" s="190">
        <f t="shared" si="264"/>
        <v>0</v>
      </c>
      <c r="BT103" s="190"/>
      <c r="BU103" s="190"/>
      <c r="BV103" s="190">
        <f t="shared" si="210"/>
        <v>0</v>
      </c>
      <c r="BW103" s="23">
        <f t="shared" si="242"/>
        <v>0</v>
      </c>
      <c r="BX103" s="190">
        <f t="shared" si="242"/>
        <v>0</v>
      </c>
      <c r="BY103" s="190">
        <f t="shared" si="242"/>
        <v>0</v>
      </c>
      <c r="BZ103" s="190">
        <f t="shared" si="242"/>
        <v>0</v>
      </c>
      <c r="CA103" s="190">
        <f t="shared" si="242"/>
        <v>0</v>
      </c>
      <c r="CB103" s="190">
        <f t="shared" si="253"/>
        <v>0</v>
      </c>
      <c r="CC103" s="190">
        <f t="shared" si="253"/>
        <v>0</v>
      </c>
      <c r="CD103" s="190">
        <f t="shared" si="253"/>
        <v>0</v>
      </c>
      <c r="CE103" s="190">
        <f t="shared" si="253"/>
        <v>0</v>
      </c>
      <c r="CF103" s="190">
        <f t="shared" si="253"/>
        <v>0</v>
      </c>
      <c r="CG103" s="23">
        <f t="shared" si="278"/>
        <v>0</v>
      </c>
      <c r="CH103" s="190">
        <f t="shared" si="278"/>
        <v>0</v>
      </c>
      <c r="CI103" s="190">
        <f t="shared" si="278"/>
        <v>0</v>
      </c>
      <c r="CJ103" s="190">
        <f t="shared" si="278"/>
        <v>0</v>
      </c>
      <c r="CK103" s="190">
        <f t="shared" si="278"/>
        <v>0</v>
      </c>
      <c r="CL103" s="190">
        <f t="shared" si="255"/>
        <v>0</v>
      </c>
      <c r="CM103" s="190">
        <f t="shared" si="255"/>
        <v>0</v>
      </c>
      <c r="CN103" s="190">
        <f t="shared" si="255"/>
        <v>0</v>
      </c>
      <c r="CO103" s="190">
        <f t="shared" si="255"/>
        <v>0</v>
      </c>
      <c r="CP103" s="21">
        <f t="shared" si="255"/>
        <v>0</v>
      </c>
      <c r="CQ103" s="23">
        <f t="shared" si="284"/>
        <v>0</v>
      </c>
      <c r="CR103" s="190">
        <f t="shared" si="284"/>
        <v>0</v>
      </c>
      <c r="CS103" s="190">
        <f t="shared" si="284"/>
        <v>0</v>
      </c>
      <c r="CT103" s="190">
        <f t="shared" si="284"/>
        <v>0</v>
      </c>
      <c r="CU103" s="190">
        <f t="shared" si="284"/>
        <v>0</v>
      </c>
      <c r="CV103" s="190">
        <f t="shared" si="280"/>
        <v>0</v>
      </c>
      <c r="CW103" s="190">
        <f t="shared" si="280"/>
        <v>0</v>
      </c>
      <c r="CX103" s="77">
        <f>(5)/157.5</f>
        <v>3.1746031746031744E-2</v>
      </c>
      <c r="CY103" s="190">
        <f t="shared" si="273"/>
        <v>0</v>
      </c>
      <c r="CZ103" s="190">
        <f>(45)/157.5</f>
        <v>0.2857142857142857</v>
      </c>
      <c r="DA103" s="190">
        <f t="shared" si="273"/>
        <v>0</v>
      </c>
      <c r="DB103" s="190">
        <f t="shared" si="273"/>
        <v>0</v>
      </c>
      <c r="DC103" s="190">
        <f t="shared" si="273"/>
        <v>0</v>
      </c>
      <c r="DD103" s="190">
        <f>(42)/157.5</f>
        <v>0.26666666666666666</v>
      </c>
      <c r="DE103" s="23">
        <f>(5)/127.5</f>
        <v>3.9215686274509803E-2</v>
      </c>
      <c r="DF103" s="190">
        <f>(0)/127.5</f>
        <v>0</v>
      </c>
      <c r="DG103" s="190">
        <f>(20)/127.5</f>
        <v>0.15686274509803921</v>
      </c>
      <c r="DH103" s="190">
        <f t="shared" si="275"/>
        <v>0</v>
      </c>
      <c r="DI103" s="190">
        <f t="shared" si="275"/>
        <v>0</v>
      </c>
      <c r="DJ103" s="190">
        <f t="shared" si="275"/>
        <v>0</v>
      </c>
      <c r="DK103" s="190">
        <f>(20)/127.5</f>
        <v>0.15686274509803921</v>
      </c>
      <c r="DL103" s="23">
        <f t="shared" si="281"/>
        <v>0</v>
      </c>
      <c r="DM103" s="10">
        <f t="shared" si="281"/>
        <v>0</v>
      </c>
      <c r="DN103" s="10">
        <f t="shared" si="281"/>
        <v>0</v>
      </c>
      <c r="DO103" s="10">
        <f t="shared" si="281"/>
        <v>0</v>
      </c>
      <c r="DP103" s="10">
        <f t="shared" si="281"/>
        <v>0</v>
      </c>
      <c r="DQ103" s="190">
        <f t="shared" si="259"/>
        <v>0</v>
      </c>
      <c r="DR103" s="190">
        <f t="shared" si="259"/>
        <v>0</v>
      </c>
      <c r="DS103" s="190">
        <f t="shared" si="259"/>
        <v>0</v>
      </c>
      <c r="DT103" s="54"/>
    </row>
    <row r="104" spans="1:124" ht="26.25" customHeight="1" x14ac:dyDescent="0.4">
      <c r="A104" s="348"/>
      <c r="B104" s="348"/>
      <c r="C104" s="348"/>
      <c r="D104" s="350"/>
      <c r="E104" s="350"/>
      <c r="F104" s="350"/>
      <c r="G104" s="565"/>
      <c r="H104" s="450"/>
      <c r="I104" s="450"/>
      <c r="J104" s="448"/>
      <c r="K104" s="446"/>
      <c r="L104" s="446"/>
      <c r="M104" s="429"/>
      <c r="N104" s="209" t="s">
        <v>25</v>
      </c>
      <c r="O104" s="209">
        <f t="shared" si="248"/>
        <v>0</v>
      </c>
      <c r="P104" s="209">
        <f t="shared" si="248"/>
        <v>0</v>
      </c>
      <c r="Q104" s="209">
        <f t="shared" si="248"/>
        <v>0</v>
      </c>
      <c r="R104" s="209">
        <f t="shared" si="248"/>
        <v>0</v>
      </c>
      <c r="S104" s="209">
        <f t="shared" si="248"/>
        <v>0</v>
      </c>
      <c r="T104" s="209">
        <f t="shared" si="248"/>
        <v>0</v>
      </c>
      <c r="U104" s="209">
        <f t="shared" si="248"/>
        <v>0</v>
      </c>
      <c r="V104" s="209">
        <f t="shared" si="248"/>
        <v>0</v>
      </c>
      <c r="W104" s="209">
        <f t="shared" si="248"/>
        <v>0</v>
      </c>
      <c r="X104" s="53">
        <f t="shared" si="248"/>
        <v>0</v>
      </c>
      <c r="Y104" s="209">
        <f t="shared" si="263"/>
        <v>0</v>
      </c>
      <c r="Z104" s="209">
        <f t="shared" si="263"/>
        <v>0</v>
      </c>
      <c r="AA104" s="209">
        <f t="shared" si="263"/>
        <v>0</v>
      </c>
      <c r="AB104" s="209">
        <f t="shared" si="263"/>
        <v>0</v>
      </c>
      <c r="AC104" s="209">
        <f t="shared" si="263"/>
        <v>0</v>
      </c>
      <c r="AD104" s="209">
        <f t="shared" si="263"/>
        <v>0</v>
      </c>
      <c r="AE104" s="209">
        <f t="shared" si="260"/>
        <v>0</v>
      </c>
      <c r="AF104" s="209"/>
      <c r="AG104" s="209">
        <f t="shared" si="260"/>
        <v>0</v>
      </c>
      <c r="AH104" s="209">
        <f t="shared" si="260"/>
        <v>0</v>
      </c>
      <c r="AI104" s="58">
        <f t="shared" si="232"/>
        <v>0</v>
      </c>
      <c r="AJ104" s="209">
        <f t="shared" si="232"/>
        <v>0</v>
      </c>
      <c r="AK104" s="209">
        <f t="shared" si="232"/>
        <v>0</v>
      </c>
      <c r="AL104" s="209">
        <f t="shared" si="232"/>
        <v>0</v>
      </c>
      <c r="AM104" s="209">
        <f t="shared" si="232"/>
        <v>0</v>
      </c>
      <c r="AN104" s="209">
        <f t="shared" si="270"/>
        <v>0</v>
      </c>
      <c r="AO104" s="209">
        <f t="shared" si="270"/>
        <v>0</v>
      </c>
      <c r="AP104" s="209">
        <f t="shared" si="232"/>
        <v>0</v>
      </c>
      <c r="AQ104" s="209">
        <f t="shared" si="232"/>
        <v>0</v>
      </c>
      <c r="AR104" s="53">
        <f t="shared" si="232"/>
        <v>0</v>
      </c>
      <c r="AS104" s="65">
        <f t="shared" si="236"/>
        <v>0</v>
      </c>
      <c r="AT104" s="210">
        <f t="shared" si="236"/>
        <v>0</v>
      </c>
      <c r="AU104" s="210">
        <f t="shared" si="236"/>
        <v>0</v>
      </c>
      <c r="AV104" s="210">
        <f t="shared" si="236"/>
        <v>0</v>
      </c>
      <c r="AW104" s="280">
        <f t="shared" si="236"/>
        <v>0</v>
      </c>
      <c r="AX104" s="210">
        <f t="shared" si="251"/>
        <v>0</v>
      </c>
      <c r="AY104" s="210">
        <f t="shared" si="251"/>
        <v>0</v>
      </c>
      <c r="AZ104" s="210">
        <f t="shared" si="251"/>
        <v>0</v>
      </c>
      <c r="BA104" s="210">
        <f t="shared" si="251"/>
        <v>0</v>
      </c>
      <c r="BB104" s="53">
        <f t="shared" si="251"/>
        <v>0</v>
      </c>
      <c r="BC104" s="58">
        <f t="shared" si="233"/>
        <v>0</v>
      </c>
      <c r="BD104" s="209">
        <f t="shared" si="233"/>
        <v>0</v>
      </c>
      <c r="BE104" s="209">
        <f t="shared" si="233"/>
        <v>0</v>
      </c>
      <c r="BF104" s="209">
        <f t="shared" si="233"/>
        <v>0</v>
      </c>
      <c r="BG104" s="209">
        <f t="shared" si="233"/>
        <v>0</v>
      </c>
      <c r="BH104" s="209">
        <f t="shared" si="233"/>
        <v>0</v>
      </c>
      <c r="BI104" s="209">
        <f t="shared" si="233"/>
        <v>0</v>
      </c>
      <c r="BJ104" s="209">
        <f t="shared" si="252"/>
        <v>0</v>
      </c>
      <c r="BK104" s="209">
        <f t="shared" si="252"/>
        <v>0</v>
      </c>
      <c r="BL104" s="209">
        <f t="shared" si="252"/>
        <v>0</v>
      </c>
      <c r="BM104" s="58">
        <f t="shared" si="210"/>
        <v>0</v>
      </c>
      <c r="BN104" s="209">
        <f t="shared" si="210"/>
        <v>0</v>
      </c>
      <c r="BO104" s="209">
        <f t="shared" si="210"/>
        <v>0</v>
      </c>
      <c r="BP104" s="209">
        <f t="shared" si="210"/>
        <v>0</v>
      </c>
      <c r="BQ104" s="209">
        <f t="shared" si="210"/>
        <v>0</v>
      </c>
      <c r="BR104" s="209">
        <f t="shared" si="210"/>
        <v>0</v>
      </c>
      <c r="BS104" s="209">
        <f t="shared" si="264"/>
        <v>0</v>
      </c>
      <c r="BT104" s="209"/>
      <c r="BU104" s="209"/>
      <c r="BV104" s="209">
        <f t="shared" si="210"/>
        <v>0</v>
      </c>
      <c r="BW104" s="65">
        <f t="shared" si="242"/>
        <v>0</v>
      </c>
      <c r="BX104" s="209">
        <f t="shared" si="242"/>
        <v>0</v>
      </c>
      <c r="BY104" s="209">
        <f t="shared" si="242"/>
        <v>0</v>
      </c>
      <c r="BZ104" s="209">
        <f t="shared" si="242"/>
        <v>0</v>
      </c>
      <c r="CA104" s="209">
        <f t="shared" si="242"/>
        <v>0</v>
      </c>
      <c r="CB104" s="209">
        <f t="shared" si="253"/>
        <v>0</v>
      </c>
      <c r="CC104" s="209">
        <f t="shared" si="253"/>
        <v>0</v>
      </c>
      <c r="CD104" s="209">
        <f t="shared" si="253"/>
        <v>0</v>
      </c>
      <c r="CE104" s="209">
        <f t="shared" si="253"/>
        <v>0</v>
      </c>
      <c r="CF104" s="209">
        <f t="shared" si="253"/>
        <v>0</v>
      </c>
      <c r="CG104" s="65">
        <f t="shared" si="278"/>
        <v>0</v>
      </c>
      <c r="CH104" s="210">
        <f t="shared" si="278"/>
        <v>0</v>
      </c>
      <c r="CI104" s="210">
        <f t="shared" si="278"/>
        <v>0</v>
      </c>
      <c r="CJ104" s="210">
        <f t="shared" si="278"/>
        <v>0</v>
      </c>
      <c r="CK104" s="210">
        <f t="shared" si="278"/>
        <v>0</v>
      </c>
      <c r="CL104" s="210">
        <f t="shared" si="255"/>
        <v>0</v>
      </c>
      <c r="CM104" s="210">
        <f t="shared" si="255"/>
        <v>0</v>
      </c>
      <c r="CN104" s="210">
        <f t="shared" si="255"/>
        <v>0</v>
      </c>
      <c r="CO104" s="210">
        <f t="shared" si="255"/>
        <v>0</v>
      </c>
      <c r="CP104" s="66">
        <f t="shared" si="255"/>
        <v>0</v>
      </c>
      <c r="CQ104" s="65">
        <f t="shared" si="284"/>
        <v>0</v>
      </c>
      <c r="CR104" s="210">
        <f t="shared" si="284"/>
        <v>0</v>
      </c>
      <c r="CS104" s="210">
        <f t="shared" si="284"/>
        <v>0</v>
      </c>
      <c r="CT104" s="210">
        <f t="shared" si="284"/>
        <v>0</v>
      </c>
      <c r="CU104" s="210">
        <f t="shared" si="284"/>
        <v>0</v>
      </c>
      <c r="CV104" s="210">
        <f t="shared" si="280"/>
        <v>0</v>
      </c>
      <c r="CW104" s="210">
        <f t="shared" si="280"/>
        <v>0</v>
      </c>
      <c r="CX104" s="65">
        <f>(4.5+2.5+1.5)/157.5</f>
        <v>5.3968253968253971E-2</v>
      </c>
      <c r="CY104" s="210">
        <f t="shared" si="273"/>
        <v>0</v>
      </c>
      <c r="CZ104" s="210">
        <f>(20+18.5+6.5)/157.5</f>
        <v>0.2857142857142857</v>
      </c>
      <c r="DA104" s="210">
        <f t="shared" si="273"/>
        <v>0</v>
      </c>
      <c r="DB104" s="210">
        <f t="shared" si="273"/>
        <v>0</v>
      </c>
      <c r="DC104" s="210">
        <f t="shared" si="273"/>
        <v>0</v>
      </c>
      <c r="DD104" s="209">
        <f>(21+11.5+4.5)/157.5</f>
        <v>0.23492063492063492</v>
      </c>
      <c r="DE104" s="65">
        <f>(1.5+3.5+0.5)/127.5</f>
        <v>4.3137254901960784E-2</v>
      </c>
      <c r="DF104" s="210">
        <f>(0)/127.5</f>
        <v>0</v>
      </c>
      <c r="DG104" s="210">
        <f>(12+13.5+2.5)/127.5</f>
        <v>0.2196078431372549</v>
      </c>
      <c r="DH104" s="210">
        <f t="shared" si="275"/>
        <v>0</v>
      </c>
      <c r="DI104" s="210">
        <f t="shared" si="275"/>
        <v>0</v>
      </c>
      <c r="DJ104" s="210">
        <f t="shared" si="275"/>
        <v>0</v>
      </c>
      <c r="DK104" s="210">
        <f>(5+8)/127.5</f>
        <v>0.10196078431372549</v>
      </c>
      <c r="DL104" s="65">
        <f t="shared" si="281"/>
        <v>0</v>
      </c>
      <c r="DM104" s="60">
        <f t="shared" si="281"/>
        <v>0</v>
      </c>
      <c r="DN104" s="60">
        <f t="shared" si="281"/>
        <v>0</v>
      </c>
      <c r="DO104" s="60">
        <f t="shared" si="281"/>
        <v>0</v>
      </c>
      <c r="DP104" s="60">
        <f t="shared" si="281"/>
        <v>0</v>
      </c>
      <c r="DQ104" s="210">
        <f t="shared" si="259"/>
        <v>0</v>
      </c>
      <c r="DR104" s="210">
        <f t="shared" si="259"/>
        <v>0</v>
      </c>
      <c r="DS104" s="210">
        <f t="shared" si="259"/>
        <v>0</v>
      </c>
    </row>
    <row r="105" spans="1:124" ht="26.25" customHeight="1" collapsed="1" x14ac:dyDescent="0.4">
      <c r="A105" s="347">
        <v>50</v>
      </c>
      <c r="B105" s="347" t="s">
        <v>46</v>
      </c>
      <c r="C105" s="347" t="s">
        <v>14</v>
      </c>
      <c r="D105" s="349" t="s">
        <v>576</v>
      </c>
      <c r="E105" s="349" t="s">
        <v>860</v>
      </c>
      <c r="F105" s="349" t="s">
        <v>386</v>
      </c>
      <c r="G105" s="563" t="s">
        <v>861</v>
      </c>
      <c r="H105" s="449">
        <f t="shared" ref="H105" si="290">SUM(DE105:DK105)</f>
        <v>0.23529411764705882</v>
      </c>
      <c r="I105" s="449">
        <f t="shared" ref="I105" si="291">SUM(DE106:DK106)</f>
        <v>0.60392156862745094</v>
      </c>
      <c r="J105" s="447"/>
      <c r="K105" s="445"/>
      <c r="L105" s="445"/>
      <c r="M105" s="428"/>
      <c r="N105" s="21" t="s">
        <v>24</v>
      </c>
      <c r="O105" s="190">
        <f t="shared" si="248"/>
        <v>0</v>
      </c>
      <c r="P105" s="190">
        <f t="shared" si="248"/>
        <v>0</v>
      </c>
      <c r="Q105" s="190">
        <f t="shared" si="248"/>
        <v>0</v>
      </c>
      <c r="R105" s="190">
        <f t="shared" si="248"/>
        <v>0</v>
      </c>
      <c r="S105" s="190">
        <f t="shared" si="248"/>
        <v>0</v>
      </c>
      <c r="T105" s="190">
        <f t="shared" si="248"/>
        <v>0</v>
      </c>
      <c r="U105" s="190">
        <f t="shared" si="248"/>
        <v>0</v>
      </c>
      <c r="V105" s="190">
        <f t="shared" si="248"/>
        <v>0</v>
      </c>
      <c r="W105" s="190">
        <f t="shared" si="248"/>
        <v>0</v>
      </c>
      <c r="X105" s="86">
        <f t="shared" si="248"/>
        <v>0</v>
      </c>
      <c r="Y105" s="190">
        <f t="shared" si="263"/>
        <v>0</v>
      </c>
      <c r="Z105" s="190">
        <f t="shared" si="263"/>
        <v>0</v>
      </c>
      <c r="AA105" s="190">
        <f t="shared" si="263"/>
        <v>0</v>
      </c>
      <c r="AB105" s="190">
        <f t="shared" si="263"/>
        <v>0</v>
      </c>
      <c r="AC105" s="190">
        <f t="shared" si="263"/>
        <v>0</v>
      </c>
      <c r="AD105" s="190">
        <f t="shared" si="263"/>
        <v>0</v>
      </c>
      <c r="AE105" s="190">
        <f t="shared" si="260"/>
        <v>0</v>
      </c>
      <c r="AF105" s="190"/>
      <c r="AG105" s="190">
        <f t="shared" si="260"/>
        <v>0</v>
      </c>
      <c r="AH105" s="190">
        <f t="shared" si="260"/>
        <v>0</v>
      </c>
      <c r="AI105" s="77">
        <f t="shared" si="232"/>
        <v>0</v>
      </c>
      <c r="AJ105" s="190">
        <f t="shared" si="232"/>
        <v>0</v>
      </c>
      <c r="AK105" s="190">
        <f t="shared" si="232"/>
        <v>0</v>
      </c>
      <c r="AL105" s="190">
        <f t="shared" si="232"/>
        <v>0</v>
      </c>
      <c r="AM105" s="190">
        <f t="shared" si="232"/>
        <v>0</v>
      </c>
      <c r="AN105" s="190">
        <f t="shared" si="270"/>
        <v>0</v>
      </c>
      <c r="AO105" s="190">
        <f t="shared" si="270"/>
        <v>0</v>
      </c>
      <c r="AP105" s="190">
        <f t="shared" si="232"/>
        <v>0</v>
      </c>
      <c r="AQ105" s="190">
        <f t="shared" si="232"/>
        <v>0</v>
      </c>
      <c r="AR105" s="225">
        <f t="shared" si="232"/>
        <v>0</v>
      </c>
      <c r="AS105" s="23">
        <f t="shared" si="236"/>
        <v>0</v>
      </c>
      <c r="AT105" s="190">
        <f t="shared" si="236"/>
        <v>0</v>
      </c>
      <c r="AU105" s="190">
        <f t="shared" si="236"/>
        <v>0</v>
      </c>
      <c r="AV105" s="190">
        <f t="shared" si="236"/>
        <v>0</v>
      </c>
      <c r="AW105" s="190">
        <f t="shared" si="236"/>
        <v>0</v>
      </c>
      <c r="AX105" s="190">
        <f t="shared" si="251"/>
        <v>0</v>
      </c>
      <c r="AY105" s="190">
        <f t="shared" si="251"/>
        <v>0</v>
      </c>
      <c r="AZ105" s="190">
        <f t="shared" si="251"/>
        <v>0</v>
      </c>
      <c r="BA105" s="190">
        <f t="shared" si="251"/>
        <v>0</v>
      </c>
      <c r="BB105" s="225">
        <f t="shared" si="251"/>
        <v>0</v>
      </c>
      <c r="BC105" s="77">
        <f t="shared" si="233"/>
        <v>0</v>
      </c>
      <c r="BD105" s="190">
        <f t="shared" si="233"/>
        <v>0</v>
      </c>
      <c r="BE105" s="190">
        <f t="shared" si="233"/>
        <v>0</v>
      </c>
      <c r="BF105" s="190">
        <f t="shared" si="233"/>
        <v>0</v>
      </c>
      <c r="BG105" s="190">
        <f t="shared" si="233"/>
        <v>0</v>
      </c>
      <c r="BH105" s="190">
        <f t="shared" si="233"/>
        <v>0</v>
      </c>
      <c r="BI105" s="190">
        <f t="shared" si="233"/>
        <v>0</v>
      </c>
      <c r="BJ105" s="190">
        <f t="shared" si="252"/>
        <v>0</v>
      </c>
      <c r="BK105" s="190">
        <f t="shared" si="252"/>
        <v>0</v>
      </c>
      <c r="BL105" s="190">
        <f t="shared" si="252"/>
        <v>0</v>
      </c>
      <c r="BM105" s="77">
        <f t="shared" si="210"/>
        <v>0</v>
      </c>
      <c r="BN105" s="190">
        <f t="shared" si="210"/>
        <v>0</v>
      </c>
      <c r="BO105" s="190">
        <f t="shared" si="210"/>
        <v>0</v>
      </c>
      <c r="BP105" s="190">
        <f t="shared" si="210"/>
        <v>0</v>
      </c>
      <c r="BQ105" s="190">
        <f t="shared" si="210"/>
        <v>0</v>
      </c>
      <c r="BR105" s="190">
        <f t="shared" si="210"/>
        <v>0</v>
      </c>
      <c r="BS105" s="190">
        <f t="shared" si="264"/>
        <v>0</v>
      </c>
      <c r="BT105" s="190"/>
      <c r="BU105" s="190"/>
      <c r="BV105" s="190">
        <f t="shared" si="210"/>
        <v>0</v>
      </c>
      <c r="BW105" s="23">
        <f t="shared" si="242"/>
        <v>0</v>
      </c>
      <c r="BX105" s="190">
        <f t="shared" si="242"/>
        <v>0</v>
      </c>
      <c r="BY105" s="190">
        <f t="shared" si="242"/>
        <v>0</v>
      </c>
      <c r="BZ105" s="190">
        <f t="shared" si="242"/>
        <v>0</v>
      </c>
      <c r="CA105" s="190">
        <f t="shared" si="242"/>
        <v>0</v>
      </c>
      <c r="CB105" s="190">
        <f t="shared" si="253"/>
        <v>0</v>
      </c>
      <c r="CC105" s="190">
        <f t="shared" si="253"/>
        <v>0</v>
      </c>
      <c r="CD105" s="190">
        <f t="shared" si="253"/>
        <v>0</v>
      </c>
      <c r="CE105" s="190">
        <f t="shared" si="253"/>
        <v>0</v>
      </c>
      <c r="CF105" s="190">
        <f t="shared" si="253"/>
        <v>0</v>
      </c>
      <c r="CG105" s="23">
        <f t="shared" si="278"/>
        <v>0</v>
      </c>
      <c r="CH105" s="190">
        <f t="shared" si="278"/>
        <v>0</v>
      </c>
      <c r="CI105" s="190">
        <f t="shared" si="278"/>
        <v>0</v>
      </c>
      <c r="CJ105" s="190">
        <f t="shared" si="278"/>
        <v>0</v>
      </c>
      <c r="CK105" s="190">
        <f t="shared" si="278"/>
        <v>0</v>
      </c>
      <c r="CL105" s="190">
        <f t="shared" si="255"/>
        <v>0</v>
      </c>
      <c r="CM105" s="190">
        <f t="shared" si="255"/>
        <v>0</v>
      </c>
      <c r="CN105" s="190">
        <f t="shared" si="255"/>
        <v>0</v>
      </c>
      <c r="CO105" s="190">
        <f t="shared" si="255"/>
        <v>0</v>
      </c>
      <c r="CP105" s="21">
        <f t="shared" si="255"/>
        <v>0</v>
      </c>
      <c r="CQ105" s="23">
        <f t="shared" si="284"/>
        <v>0</v>
      </c>
      <c r="CR105" s="190">
        <f t="shared" si="284"/>
        <v>0</v>
      </c>
      <c r="CS105" s="190">
        <f t="shared" si="284"/>
        <v>0</v>
      </c>
      <c r="CT105" s="190">
        <f t="shared" si="284"/>
        <v>0</v>
      </c>
      <c r="CU105" s="190">
        <f t="shared" si="284"/>
        <v>0</v>
      </c>
      <c r="CV105" s="190">
        <f t="shared" si="280"/>
        <v>0</v>
      </c>
      <c r="CW105" s="190">
        <f t="shared" si="280"/>
        <v>0</v>
      </c>
      <c r="CX105" s="77">
        <f>(13)/157.5</f>
        <v>8.2539682539682538E-2</v>
      </c>
      <c r="CY105" s="190">
        <f>(30)/157.5</f>
        <v>0.19047619047619047</v>
      </c>
      <c r="CZ105" s="190">
        <f t="shared" si="273"/>
        <v>0</v>
      </c>
      <c r="DA105" s="190">
        <f>(30)/157.5</f>
        <v>0.19047619047619047</v>
      </c>
      <c r="DB105" s="190">
        <f t="shared" si="273"/>
        <v>0</v>
      </c>
      <c r="DC105" s="190">
        <f>(30)/157.5</f>
        <v>0.19047619047619047</v>
      </c>
      <c r="DD105" s="190">
        <f t="shared" si="273"/>
        <v>0</v>
      </c>
      <c r="DE105" s="23">
        <f>(0)/127.5</f>
        <v>0</v>
      </c>
      <c r="DF105" s="190">
        <f>(0)/127.5</f>
        <v>0</v>
      </c>
      <c r="DG105" s="190">
        <f t="shared" si="275"/>
        <v>0</v>
      </c>
      <c r="DH105" s="190">
        <f>(10)/127.5</f>
        <v>7.8431372549019607E-2</v>
      </c>
      <c r="DI105" s="190">
        <f>(10)/127.5</f>
        <v>7.8431372549019607E-2</v>
      </c>
      <c r="DJ105" s="190">
        <f>(10)/127.5</f>
        <v>7.8431372549019607E-2</v>
      </c>
      <c r="DK105" s="190">
        <f t="shared" si="275"/>
        <v>0</v>
      </c>
      <c r="DL105" s="23">
        <f t="shared" si="281"/>
        <v>0</v>
      </c>
      <c r="DM105" s="10">
        <f t="shared" si="281"/>
        <v>0</v>
      </c>
      <c r="DN105" s="10">
        <f t="shared" si="281"/>
        <v>0</v>
      </c>
      <c r="DO105" s="10">
        <f t="shared" si="281"/>
        <v>0</v>
      </c>
      <c r="DP105" s="10">
        <f t="shared" si="281"/>
        <v>0</v>
      </c>
      <c r="DQ105" s="190">
        <f t="shared" si="259"/>
        <v>0</v>
      </c>
      <c r="DR105" s="190">
        <f t="shared" si="259"/>
        <v>0</v>
      </c>
      <c r="DS105" s="190">
        <f t="shared" si="259"/>
        <v>0</v>
      </c>
      <c r="DT105" s="54"/>
    </row>
    <row r="106" spans="1:124" ht="26.25" customHeight="1" x14ac:dyDescent="0.4">
      <c r="A106" s="348"/>
      <c r="B106" s="348"/>
      <c r="C106" s="348"/>
      <c r="D106" s="350"/>
      <c r="E106" s="350"/>
      <c r="F106" s="350"/>
      <c r="G106" s="565"/>
      <c r="H106" s="450"/>
      <c r="I106" s="450"/>
      <c r="J106" s="448"/>
      <c r="K106" s="446"/>
      <c r="L106" s="446"/>
      <c r="M106" s="429"/>
      <c r="N106" s="209" t="s">
        <v>25</v>
      </c>
      <c r="O106" s="209">
        <f t="shared" si="248"/>
        <v>0</v>
      </c>
      <c r="P106" s="209">
        <f t="shared" si="248"/>
        <v>0</v>
      </c>
      <c r="Q106" s="209">
        <f t="shared" si="248"/>
        <v>0</v>
      </c>
      <c r="R106" s="209">
        <f t="shared" si="248"/>
        <v>0</v>
      </c>
      <c r="S106" s="209">
        <f t="shared" si="248"/>
        <v>0</v>
      </c>
      <c r="T106" s="209">
        <f t="shared" si="248"/>
        <v>0</v>
      </c>
      <c r="U106" s="209">
        <f t="shared" si="248"/>
        <v>0</v>
      </c>
      <c r="V106" s="209">
        <f t="shared" si="248"/>
        <v>0</v>
      </c>
      <c r="W106" s="209">
        <f t="shared" si="248"/>
        <v>0</v>
      </c>
      <c r="X106" s="53">
        <f t="shared" si="248"/>
        <v>0</v>
      </c>
      <c r="Y106" s="209">
        <f t="shared" si="263"/>
        <v>0</v>
      </c>
      <c r="Z106" s="209">
        <f t="shared" si="263"/>
        <v>0</v>
      </c>
      <c r="AA106" s="209">
        <f t="shared" si="263"/>
        <v>0</v>
      </c>
      <c r="AB106" s="209">
        <f t="shared" si="263"/>
        <v>0</v>
      </c>
      <c r="AC106" s="209">
        <f t="shared" si="263"/>
        <v>0</v>
      </c>
      <c r="AD106" s="209">
        <f t="shared" si="263"/>
        <v>0</v>
      </c>
      <c r="AE106" s="209">
        <f t="shared" si="260"/>
        <v>0</v>
      </c>
      <c r="AF106" s="209"/>
      <c r="AG106" s="209">
        <f t="shared" si="260"/>
        <v>0</v>
      </c>
      <c r="AH106" s="209">
        <f t="shared" si="260"/>
        <v>0</v>
      </c>
      <c r="AI106" s="58">
        <f t="shared" si="232"/>
        <v>0</v>
      </c>
      <c r="AJ106" s="209">
        <f t="shared" si="232"/>
        <v>0</v>
      </c>
      <c r="AK106" s="209">
        <f t="shared" si="232"/>
        <v>0</v>
      </c>
      <c r="AL106" s="209">
        <f t="shared" si="232"/>
        <v>0</v>
      </c>
      <c r="AM106" s="209">
        <f t="shared" si="232"/>
        <v>0</v>
      </c>
      <c r="AN106" s="209">
        <f t="shared" si="270"/>
        <v>0</v>
      </c>
      <c r="AO106" s="209">
        <f t="shared" si="270"/>
        <v>0</v>
      </c>
      <c r="AP106" s="209">
        <f t="shared" si="232"/>
        <v>0</v>
      </c>
      <c r="AQ106" s="209">
        <f t="shared" si="232"/>
        <v>0</v>
      </c>
      <c r="AR106" s="53">
        <f t="shared" si="232"/>
        <v>0</v>
      </c>
      <c r="AS106" s="65">
        <f t="shared" si="236"/>
        <v>0</v>
      </c>
      <c r="AT106" s="210">
        <f t="shared" si="236"/>
        <v>0</v>
      </c>
      <c r="AU106" s="210">
        <f t="shared" si="236"/>
        <v>0</v>
      </c>
      <c r="AV106" s="210">
        <f t="shared" si="236"/>
        <v>0</v>
      </c>
      <c r="AW106" s="280">
        <f t="shared" si="236"/>
        <v>0</v>
      </c>
      <c r="AX106" s="210">
        <f t="shared" si="251"/>
        <v>0</v>
      </c>
      <c r="AY106" s="210">
        <f t="shared" si="251"/>
        <v>0</v>
      </c>
      <c r="AZ106" s="210">
        <f t="shared" si="251"/>
        <v>0</v>
      </c>
      <c r="BA106" s="210">
        <f t="shared" si="251"/>
        <v>0</v>
      </c>
      <c r="BB106" s="53">
        <f t="shared" si="251"/>
        <v>0</v>
      </c>
      <c r="BC106" s="58">
        <f t="shared" si="233"/>
        <v>0</v>
      </c>
      <c r="BD106" s="209">
        <f t="shared" si="233"/>
        <v>0</v>
      </c>
      <c r="BE106" s="209">
        <f t="shared" si="233"/>
        <v>0</v>
      </c>
      <c r="BF106" s="209">
        <f t="shared" si="233"/>
        <v>0</v>
      </c>
      <c r="BG106" s="209">
        <f t="shared" si="233"/>
        <v>0</v>
      </c>
      <c r="BH106" s="209">
        <f t="shared" si="233"/>
        <v>0</v>
      </c>
      <c r="BI106" s="209">
        <f t="shared" si="233"/>
        <v>0</v>
      </c>
      <c r="BJ106" s="209">
        <f t="shared" si="252"/>
        <v>0</v>
      </c>
      <c r="BK106" s="209">
        <f t="shared" si="252"/>
        <v>0</v>
      </c>
      <c r="BL106" s="209">
        <f t="shared" si="252"/>
        <v>0</v>
      </c>
      <c r="BM106" s="58">
        <f t="shared" si="210"/>
        <v>0</v>
      </c>
      <c r="BN106" s="209">
        <f t="shared" si="210"/>
        <v>0</v>
      </c>
      <c r="BO106" s="209">
        <f t="shared" si="210"/>
        <v>0</v>
      </c>
      <c r="BP106" s="209">
        <f t="shared" si="210"/>
        <v>0</v>
      </c>
      <c r="BQ106" s="209">
        <f t="shared" si="210"/>
        <v>0</v>
      </c>
      <c r="BR106" s="209">
        <f t="shared" si="210"/>
        <v>0</v>
      </c>
      <c r="BS106" s="209">
        <f t="shared" si="264"/>
        <v>0</v>
      </c>
      <c r="BT106" s="209"/>
      <c r="BU106" s="209"/>
      <c r="BV106" s="209">
        <f t="shared" si="210"/>
        <v>0</v>
      </c>
      <c r="BW106" s="65">
        <f t="shared" si="242"/>
        <v>0</v>
      </c>
      <c r="BX106" s="209">
        <f t="shared" si="242"/>
        <v>0</v>
      </c>
      <c r="BY106" s="209">
        <f t="shared" si="242"/>
        <v>0</v>
      </c>
      <c r="BZ106" s="209">
        <f t="shared" si="242"/>
        <v>0</v>
      </c>
      <c r="CA106" s="209">
        <f t="shared" si="242"/>
        <v>0</v>
      </c>
      <c r="CB106" s="209">
        <f t="shared" si="253"/>
        <v>0</v>
      </c>
      <c r="CC106" s="209">
        <f t="shared" si="253"/>
        <v>0</v>
      </c>
      <c r="CD106" s="209">
        <f t="shared" si="253"/>
        <v>0</v>
      </c>
      <c r="CE106" s="209">
        <f t="shared" si="253"/>
        <v>0</v>
      </c>
      <c r="CF106" s="209">
        <f t="shared" si="253"/>
        <v>0</v>
      </c>
      <c r="CG106" s="65">
        <f t="shared" si="278"/>
        <v>0</v>
      </c>
      <c r="CH106" s="210">
        <f t="shared" si="278"/>
        <v>0</v>
      </c>
      <c r="CI106" s="210">
        <f t="shared" si="278"/>
        <v>0</v>
      </c>
      <c r="CJ106" s="210">
        <f t="shared" si="278"/>
        <v>0</v>
      </c>
      <c r="CK106" s="210">
        <f t="shared" si="278"/>
        <v>0</v>
      </c>
      <c r="CL106" s="210">
        <f t="shared" si="255"/>
        <v>0</v>
      </c>
      <c r="CM106" s="210">
        <f t="shared" si="255"/>
        <v>0</v>
      </c>
      <c r="CN106" s="210">
        <f t="shared" si="255"/>
        <v>0</v>
      </c>
      <c r="CO106" s="210">
        <f t="shared" si="255"/>
        <v>0</v>
      </c>
      <c r="CP106" s="66">
        <f t="shared" si="255"/>
        <v>0</v>
      </c>
      <c r="CQ106" s="65">
        <f t="shared" si="284"/>
        <v>0</v>
      </c>
      <c r="CR106" s="210">
        <f t="shared" si="284"/>
        <v>0</v>
      </c>
      <c r="CS106" s="210">
        <f t="shared" si="284"/>
        <v>0</v>
      </c>
      <c r="CT106" s="210">
        <f t="shared" si="284"/>
        <v>0</v>
      </c>
      <c r="CU106" s="210">
        <f t="shared" si="284"/>
        <v>0</v>
      </c>
      <c r="CV106" s="210">
        <f t="shared" si="280"/>
        <v>0</v>
      </c>
      <c r="CW106" s="210">
        <f t="shared" si="280"/>
        <v>0</v>
      </c>
      <c r="CX106" s="65">
        <f>(2.5+8.5+3)/157.5</f>
        <v>8.8888888888888892E-2</v>
      </c>
      <c r="CY106" s="210">
        <f>(5.5+13+5)/157.5</f>
        <v>0.1492063492063492</v>
      </c>
      <c r="CZ106" s="210">
        <f t="shared" si="273"/>
        <v>0</v>
      </c>
      <c r="DA106" s="210">
        <f>(7.5+26)/157.5</f>
        <v>0.21269841269841269</v>
      </c>
      <c r="DB106" s="210">
        <f t="shared" si="273"/>
        <v>0</v>
      </c>
      <c r="DC106" s="210">
        <f>(6+20.5+5)/157.5</f>
        <v>0.2</v>
      </c>
      <c r="DD106" s="209">
        <f t="shared" si="273"/>
        <v>0</v>
      </c>
      <c r="DE106" s="65">
        <f>(0+5)/127.5</f>
        <v>3.9215686274509803E-2</v>
      </c>
      <c r="DF106" s="210">
        <f>(3+0.5+12)/127.5</f>
        <v>0.12156862745098039</v>
      </c>
      <c r="DG106" s="210">
        <f t="shared" si="275"/>
        <v>0</v>
      </c>
      <c r="DH106" s="210">
        <f>(0+3+2.5+29)/127.5</f>
        <v>0.27058823529411763</v>
      </c>
      <c r="DI106" s="210">
        <f>(0+4+3)/127.5</f>
        <v>5.4901960784313725E-2</v>
      </c>
      <c r="DJ106" s="210">
        <f>(12+3)/127.5</f>
        <v>0.11764705882352941</v>
      </c>
      <c r="DK106" s="210">
        <f t="shared" si="275"/>
        <v>0</v>
      </c>
      <c r="DL106" s="65">
        <f t="shared" si="281"/>
        <v>0</v>
      </c>
      <c r="DM106" s="60">
        <f t="shared" si="281"/>
        <v>0</v>
      </c>
      <c r="DN106" s="60">
        <f t="shared" si="281"/>
        <v>0</v>
      </c>
      <c r="DO106" s="60">
        <f t="shared" si="281"/>
        <v>0</v>
      </c>
      <c r="DP106" s="60">
        <f t="shared" si="281"/>
        <v>0</v>
      </c>
      <c r="DQ106" s="210">
        <f t="shared" si="259"/>
        <v>0</v>
      </c>
      <c r="DR106" s="210">
        <f t="shared" si="259"/>
        <v>0</v>
      </c>
      <c r="DS106" s="228">
        <f t="shared" si="259"/>
        <v>0</v>
      </c>
    </row>
    <row r="107" spans="1:124" s="201" customFormat="1" ht="26.25" customHeight="1" x14ac:dyDescent="0.4">
      <c r="A107" s="347">
        <v>51</v>
      </c>
      <c r="B107" s="347" t="s">
        <v>46</v>
      </c>
      <c r="C107" s="347" t="s">
        <v>14</v>
      </c>
      <c r="D107" s="349" t="s">
        <v>517</v>
      </c>
      <c r="E107" s="349" t="s">
        <v>885</v>
      </c>
      <c r="F107" s="349" t="s">
        <v>386</v>
      </c>
      <c r="G107" s="563" t="s">
        <v>886</v>
      </c>
      <c r="H107" s="449">
        <f t="shared" ref="H107" si="292">SUM(DE107:DK107)</f>
        <v>0.19607843137254902</v>
      </c>
      <c r="I107" s="449">
        <f t="shared" ref="I107" si="293">SUM(DE108:DK108)</f>
        <v>0.58431372549019611</v>
      </c>
      <c r="J107" s="447"/>
      <c r="K107" s="445"/>
      <c r="L107" s="445"/>
      <c r="M107" s="428"/>
      <c r="N107" s="21" t="s">
        <v>24</v>
      </c>
      <c r="O107" s="190">
        <f t="shared" ref="O107:X135" si="294">0/127.5</f>
        <v>0</v>
      </c>
      <c r="P107" s="190">
        <f t="shared" si="294"/>
        <v>0</v>
      </c>
      <c r="Q107" s="190">
        <f t="shared" si="294"/>
        <v>0</v>
      </c>
      <c r="R107" s="190">
        <f t="shared" si="294"/>
        <v>0</v>
      </c>
      <c r="S107" s="190">
        <f t="shared" si="294"/>
        <v>0</v>
      </c>
      <c r="T107" s="190">
        <f t="shared" si="294"/>
        <v>0</v>
      </c>
      <c r="U107" s="190">
        <f t="shared" si="294"/>
        <v>0</v>
      </c>
      <c r="V107" s="190">
        <f t="shared" ref="V107:V134" si="295">0/127.5</f>
        <v>0</v>
      </c>
      <c r="W107" s="190">
        <f t="shared" si="294"/>
        <v>0</v>
      </c>
      <c r="X107" s="86">
        <f t="shared" si="294"/>
        <v>0</v>
      </c>
      <c r="Y107" s="190">
        <f t="shared" ref="Y107:AD138" si="296">0/142.5</f>
        <v>0</v>
      </c>
      <c r="Z107" s="190">
        <f t="shared" si="296"/>
        <v>0</v>
      </c>
      <c r="AA107" s="190">
        <f t="shared" si="296"/>
        <v>0</v>
      </c>
      <c r="AB107" s="190">
        <f t="shared" si="296"/>
        <v>0</v>
      </c>
      <c r="AC107" s="190">
        <f t="shared" si="296"/>
        <v>0</v>
      </c>
      <c r="AD107" s="190">
        <f t="shared" si="296"/>
        <v>0</v>
      </c>
      <c r="AE107" s="190">
        <f t="shared" ref="AE107:AR130" si="297">0/165</f>
        <v>0</v>
      </c>
      <c r="AF107" s="190"/>
      <c r="AG107" s="190">
        <f t="shared" si="297"/>
        <v>0</v>
      </c>
      <c r="AH107" s="190">
        <f t="shared" si="297"/>
        <v>0</v>
      </c>
      <c r="AI107" s="77">
        <f t="shared" si="297"/>
        <v>0</v>
      </c>
      <c r="AJ107" s="190">
        <f t="shared" si="297"/>
        <v>0</v>
      </c>
      <c r="AK107" s="190">
        <f t="shared" si="297"/>
        <v>0</v>
      </c>
      <c r="AL107" s="190">
        <f t="shared" si="297"/>
        <v>0</v>
      </c>
      <c r="AM107" s="190">
        <f t="shared" si="297"/>
        <v>0</v>
      </c>
      <c r="AN107" s="190">
        <f t="shared" si="270"/>
        <v>0</v>
      </c>
      <c r="AO107" s="190">
        <f t="shared" si="270"/>
        <v>0</v>
      </c>
      <c r="AP107" s="190">
        <f t="shared" si="297"/>
        <v>0</v>
      </c>
      <c r="AQ107" s="190">
        <f t="shared" si="297"/>
        <v>0</v>
      </c>
      <c r="AR107" s="225">
        <f t="shared" si="297"/>
        <v>0</v>
      </c>
      <c r="AS107" s="23">
        <f t="shared" ref="AS107:AW122" si="298">0/150</f>
        <v>0</v>
      </c>
      <c r="AT107" s="190">
        <f t="shared" si="298"/>
        <v>0</v>
      </c>
      <c r="AU107" s="190">
        <f t="shared" si="298"/>
        <v>0</v>
      </c>
      <c r="AV107" s="190">
        <f t="shared" si="298"/>
        <v>0</v>
      </c>
      <c r="AW107" s="190">
        <f t="shared" si="298"/>
        <v>0</v>
      </c>
      <c r="AX107" s="190">
        <f t="shared" ref="AX107:BB138" si="299">0/165</f>
        <v>0</v>
      </c>
      <c r="AY107" s="190">
        <f t="shared" si="299"/>
        <v>0</v>
      </c>
      <c r="AZ107" s="190">
        <f t="shared" si="299"/>
        <v>0</v>
      </c>
      <c r="BA107" s="190">
        <f t="shared" si="299"/>
        <v>0</v>
      </c>
      <c r="BB107" s="225">
        <f t="shared" si="299"/>
        <v>0</v>
      </c>
      <c r="BC107" s="77">
        <f t="shared" ref="BC107:BI138" si="300">0/157.5</f>
        <v>0</v>
      </c>
      <c r="BD107" s="190">
        <f t="shared" si="300"/>
        <v>0</v>
      </c>
      <c r="BE107" s="190">
        <f t="shared" si="300"/>
        <v>0</v>
      </c>
      <c r="BF107" s="190">
        <f t="shared" si="300"/>
        <v>0</v>
      </c>
      <c r="BG107" s="190">
        <f t="shared" si="300"/>
        <v>0</v>
      </c>
      <c r="BH107" s="190">
        <f t="shared" si="300"/>
        <v>0</v>
      </c>
      <c r="BI107" s="190">
        <f t="shared" si="300"/>
        <v>0</v>
      </c>
      <c r="BJ107" s="190">
        <f t="shared" ref="BJ107:BL138" si="301">0/165</f>
        <v>0</v>
      </c>
      <c r="BK107" s="190">
        <f t="shared" si="301"/>
        <v>0</v>
      </c>
      <c r="BL107" s="190">
        <f t="shared" si="301"/>
        <v>0</v>
      </c>
      <c r="BM107" s="77">
        <f t="shared" ref="BM107:BV138" si="302">0/172.5</f>
        <v>0</v>
      </c>
      <c r="BN107" s="190">
        <f t="shared" si="302"/>
        <v>0</v>
      </c>
      <c r="BO107" s="190">
        <f t="shared" si="302"/>
        <v>0</v>
      </c>
      <c r="BP107" s="190">
        <f t="shared" si="302"/>
        <v>0</v>
      </c>
      <c r="BQ107" s="190">
        <f t="shared" si="302"/>
        <v>0</v>
      </c>
      <c r="BR107" s="190">
        <f t="shared" si="302"/>
        <v>0</v>
      </c>
      <c r="BS107" s="190">
        <f t="shared" si="302"/>
        <v>0</v>
      </c>
      <c r="BT107" s="190"/>
      <c r="BU107" s="190"/>
      <c r="BV107" s="190">
        <f t="shared" si="302"/>
        <v>0</v>
      </c>
      <c r="BW107" s="23">
        <f t="shared" ref="BW107:CA138" si="303">0/142.5</f>
        <v>0</v>
      </c>
      <c r="BX107" s="190">
        <f t="shared" si="303"/>
        <v>0</v>
      </c>
      <c r="BY107" s="190">
        <f t="shared" si="303"/>
        <v>0</v>
      </c>
      <c r="BZ107" s="190">
        <f t="shared" si="303"/>
        <v>0</v>
      </c>
      <c r="CA107" s="190">
        <f t="shared" si="303"/>
        <v>0</v>
      </c>
      <c r="CB107" s="190">
        <f t="shared" ref="CB107:CF138" si="304">0/172.5</f>
        <v>0</v>
      </c>
      <c r="CC107" s="190">
        <f t="shared" si="304"/>
        <v>0</v>
      </c>
      <c r="CD107" s="190">
        <f t="shared" si="304"/>
        <v>0</v>
      </c>
      <c r="CE107" s="190">
        <f t="shared" si="304"/>
        <v>0</v>
      </c>
      <c r="CF107" s="190">
        <f t="shared" si="304"/>
        <v>0</v>
      </c>
      <c r="CG107" s="23">
        <f t="shared" si="278"/>
        <v>0</v>
      </c>
      <c r="CH107" s="190">
        <f t="shared" si="278"/>
        <v>0</v>
      </c>
      <c r="CI107" s="190">
        <f t="shared" si="278"/>
        <v>0</v>
      </c>
      <c r="CJ107" s="190">
        <f t="shared" si="278"/>
        <v>0</v>
      </c>
      <c r="CK107" s="190">
        <f t="shared" si="278"/>
        <v>0</v>
      </c>
      <c r="CL107" s="190">
        <f t="shared" ref="CL107:CP138" si="305">0/172.5</f>
        <v>0</v>
      </c>
      <c r="CM107" s="190">
        <f t="shared" si="305"/>
        <v>0</v>
      </c>
      <c r="CN107" s="190">
        <f t="shared" si="305"/>
        <v>0</v>
      </c>
      <c r="CO107" s="190">
        <f t="shared" si="305"/>
        <v>0</v>
      </c>
      <c r="CP107" s="21">
        <f t="shared" si="305"/>
        <v>0</v>
      </c>
      <c r="CQ107" s="23">
        <f t="shared" si="284"/>
        <v>0</v>
      </c>
      <c r="CR107" s="190">
        <f t="shared" si="284"/>
        <v>0</v>
      </c>
      <c r="CS107" s="190">
        <f t="shared" si="284"/>
        <v>0</v>
      </c>
      <c r="CT107" s="190">
        <f t="shared" si="284"/>
        <v>0</v>
      </c>
      <c r="CU107" s="190">
        <f t="shared" si="284"/>
        <v>0</v>
      </c>
      <c r="CV107" s="190">
        <f t="shared" ref="CV107:CW138" si="306">0/172.5</f>
        <v>0</v>
      </c>
      <c r="CW107" s="190">
        <f t="shared" si="306"/>
        <v>0</v>
      </c>
      <c r="CX107" s="77">
        <f>(5)/157.5</f>
        <v>3.1746031746031744E-2</v>
      </c>
      <c r="CY107" s="190">
        <f t="shared" si="273"/>
        <v>0</v>
      </c>
      <c r="CZ107" s="190">
        <f>(5)/157.5</f>
        <v>3.1746031746031744E-2</v>
      </c>
      <c r="DA107" s="190">
        <f t="shared" si="273"/>
        <v>0</v>
      </c>
      <c r="DB107" s="190">
        <f t="shared" si="273"/>
        <v>0</v>
      </c>
      <c r="DC107" s="190">
        <f t="shared" si="273"/>
        <v>0</v>
      </c>
      <c r="DD107" s="190">
        <f>(5)/157.5</f>
        <v>3.1746031746031744E-2</v>
      </c>
      <c r="DE107" s="23">
        <f>(5)/127.5</f>
        <v>3.9215686274509803E-2</v>
      </c>
      <c r="DF107" s="190">
        <f>(0)/127.5</f>
        <v>0</v>
      </c>
      <c r="DG107" s="190">
        <f>(10)/127.5</f>
        <v>7.8431372549019607E-2</v>
      </c>
      <c r="DH107" s="190">
        <f t="shared" si="275"/>
        <v>0</v>
      </c>
      <c r="DI107" s="190">
        <f t="shared" si="275"/>
        <v>0</v>
      </c>
      <c r="DJ107" s="190">
        <f t="shared" si="275"/>
        <v>0</v>
      </c>
      <c r="DK107" s="190">
        <f>(10)/127.5</f>
        <v>7.8431372549019607E-2</v>
      </c>
      <c r="DL107" s="23">
        <f t="shared" si="281"/>
        <v>0</v>
      </c>
      <c r="DM107" s="190">
        <f t="shared" si="281"/>
        <v>0</v>
      </c>
      <c r="DN107" s="190">
        <f t="shared" si="281"/>
        <v>0</v>
      </c>
      <c r="DO107" s="190">
        <f t="shared" si="281"/>
        <v>0</v>
      </c>
      <c r="DP107" s="190">
        <f t="shared" si="281"/>
        <v>0</v>
      </c>
      <c r="DQ107" s="190">
        <f t="shared" ref="DQ107:DS138" si="307">0/172.5</f>
        <v>0</v>
      </c>
      <c r="DR107" s="190">
        <f t="shared" si="307"/>
        <v>0</v>
      </c>
      <c r="DS107" s="190">
        <f t="shared" si="307"/>
        <v>0</v>
      </c>
    </row>
    <row r="108" spans="1:124" s="201" customFormat="1" ht="26.25" customHeight="1" x14ac:dyDescent="0.4">
      <c r="A108" s="348"/>
      <c r="B108" s="348"/>
      <c r="C108" s="348"/>
      <c r="D108" s="350"/>
      <c r="E108" s="350"/>
      <c r="F108" s="350"/>
      <c r="G108" s="565"/>
      <c r="H108" s="450"/>
      <c r="I108" s="450"/>
      <c r="J108" s="448"/>
      <c r="K108" s="446"/>
      <c r="L108" s="446"/>
      <c r="M108" s="429"/>
      <c r="N108" s="209" t="s">
        <v>25</v>
      </c>
      <c r="O108" s="209">
        <f t="shared" si="294"/>
        <v>0</v>
      </c>
      <c r="P108" s="209">
        <f t="shared" si="294"/>
        <v>0</v>
      </c>
      <c r="Q108" s="209">
        <f t="shared" si="294"/>
        <v>0</v>
      </c>
      <c r="R108" s="209">
        <f t="shared" si="294"/>
        <v>0</v>
      </c>
      <c r="S108" s="209">
        <f t="shared" si="294"/>
        <v>0</v>
      </c>
      <c r="T108" s="209">
        <f t="shared" si="294"/>
        <v>0</v>
      </c>
      <c r="U108" s="209">
        <f t="shared" si="294"/>
        <v>0</v>
      </c>
      <c r="V108" s="209">
        <f t="shared" si="295"/>
        <v>0</v>
      </c>
      <c r="W108" s="209">
        <f t="shared" si="294"/>
        <v>0</v>
      </c>
      <c r="X108" s="53">
        <f t="shared" si="294"/>
        <v>0</v>
      </c>
      <c r="Y108" s="209">
        <f t="shared" si="296"/>
        <v>0</v>
      </c>
      <c r="Z108" s="209">
        <f t="shared" si="296"/>
        <v>0</v>
      </c>
      <c r="AA108" s="209">
        <f t="shared" si="296"/>
        <v>0</v>
      </c>
      <c r="AB108" s="209">
        <f t="shared" si="296"/>
        <v>0</v>
      </c>
      <c r="AC108" s="209">
        <f t="shared" si="296"/>
        <v>0</v>
      </c>
      <c r="AD108" s="209">
        <f t="shared" si="296"/>
        <v>0</v>
      </c>
      <c r="AE108" s="209">
        <f t="shared" si="297"/>
        <v>0</v>
      </c>
      <c r="AF108" s="209"/>
      <c r="AG108" s="209">
        <f t="shared" si="297"/>
        <v>0</v>
      </c>
      <c r="AH108" s="209">
        <f t="shared" si="297"/>
        <v>0</v>
      </c>
      <c r="AI108" s="58">
        <f t="shared" si="297"/>
        <v>0</v>
      </c>
      <c r="AJ108" s="209">
        <f t="shared" si="297"/>
        <v>0</v>
      </c>
      <c r="AK108" s="209">
        <f t="shared" si="297"/>
        <v>0</v>
      </c>
      <c r="AL108" s="209">
        <f t="shared" si="297"/>
        <v>0</v>
      </c>
      <c r="AM108" s="209">
        <f t="shared" si="297"/>
        <v>0</v>
      </c>
      <c r="AN108" s="209">
        <f t="shared" si="270"/>
        <v>0</v>
      </c>
      <c r="AO108" s="209">
        <f t="shared" si="270"/>
        <v>0</v>
      </c>
      <c r="AP108" s="209">
        <f t="shared" si="297"/>
        <v>0</v>
      </c>
      <c r="AQ108" s="209">
        <f t="shared" si="297"/>
        <v>0</v>
      </c>
      <c r="AR108" s="53">
        <f t="shared" si="297"/>
        <v>0</v>
      </c>
      <c r="AS108" s="65">
        <f t="shared" si="298"/>
        <v>0</v>
      </c>
      <c r="AT108" s="210">
        <f t="shared" si="298"/>
        <v>0</v>
      </c>
      <c r="AU108" s="210">
        <f t="shared" si="298"/>
        <v>0</v>
      </c>
      <c r="AV108" s="210">
        <f t="shared" si="298"/>
        <v>0</v>
      </c>
      <c r="AW108" s="280">
        <f t="shared" si="298"/>
        <v>0</v>
      </c>
      <c r="AX108" s="210">
        <f t="shared" si="299"/>
        <v>0</v>
      </c>
      <c r="AY108" s="210">
        <f t="shared" si="299"/>
        <v>0</v>
      </c>
      <c r="AZ108" s="210">
        <f t="shared" si="299"/>
        <v>0</v>
      </c>
      <c r="BA108" s="210">
        <f t="shared" si="299"/>
        <v>0</v>
      </c>
      <c r="BB108" s="53">
        <f t="shared" si="299"/>
        <v>0</v>
      </c>
      <c r="BC108" s="58">
        <f t="shared" si="300"/>
        <v>0</v>
      </c>
      <c r="BD108" s="209">
        <f t="shared" si="300"/>
        <v>0</v>
      </c>
      <c r="BE108" s="209">
        <f t="shared" si="300"/>
        <v>0</v>
      </c>
      <c r="BF108" s="209">
        <f t="shared" si="300"/>
        <v>0</v>
      </c>
      <c r="BG108" s="209">
        <f t="shared" si="300"/>
        <v>0</v>
      </c>
      <c r="BH108" s="209">
        <f t="shared" si="300"/>
        <v>0</v>
      </c>
      <c r="BI108" s="209">
        <f t="shared" si="300"/>
        <v>0</v>
      </c>
      <c r="BJ108" s="209">
        <f t="shared" si="301"/>
        <v>0</v>
      </c>
      <c r="BK108" s="209">
        <f t="shared" si="301"/>
        <v>0</v>
      </c>
      <c r="BL108" s="209">
        <f t="shared" si="301"/>
        <v>0</v>
      </c>
      <c r="BM108" s="58">
        <f t="shared" si="302"/>
        <v>0</v>
      </c>
      <c r="BN108" s="209">
        <f t="shared" si="302"/>
        <v>0</v>
      </c>
      <c r="BO108" s="209">
        <f t="shared" si="302"/>
        <v>0</v>
      </c>
      <c r="BP108" s="209">
        <f t="shared" si="302"/>
        <v>0</v>
      </c>
      <c r="BQ108" s="209">
        <f t="shared" si="302"/>
        <v>0</v>
      </c>
      <c r="BR108" s="209">
        <f t="shared" si="302"/>
        <v>0</v>
      </c>
      <c r="BS108" s="209">
        <f t="shared" si="302"/>
        <v>0</v>
      </c>
      <c r="BT108" s="209"/>
      <c r="BU108" s="209"/>
      <c r="BV108" s="209">
        <f t="shared" si="302"/>
        <v>0</v>
      </c>
      <c r="BW108" s="65">
        <f t="shared" si="303"/>
        <v>0</v>
      </c>
      <c r="BX108" s="209">
        <f t="shared" si="303"/>
        <v>0</v>
      </c>
      <c r="BY108" s="209">
        <f t="shared" si="303"/>
        <v>0</v>
      </c>
      <c r="BZ108" s="209">
        <f t="shared" si="303"/>
        <v>0</v>
      </c>
      <c r="CA108" s="209">
        <f t="shared" si="303"/>
        <v>0</v>
      </c>
      <c r="CB108" s="209">
        <f t="shared" si="304"/>
        <v>0</v>
      </c>
      <c r="CC108" s="209">
        <f t="shared" si="304"/>
        <v>0</v>
      </c>
      <c r="CD108" s="209">
        <f t="shared" si="304"/>
        <v>0</v>
      </c>
      <c r="CE108" s="209">
        <f t="shared" si="304"/>
        <v>0</v>
      </c>
      <c r="CF108" s="209">
        <f t="shared" si="304"/>
        <v>0</v>
      </c>
      <c r="CG108" s="65">
        <f t="shared" si="278"/>
        <v>0</v>
      </c>
      <c r="CH108" s="210">
        <f t="shared" si="278"/>
        <v>0</v>
      </c>
      <c r="CI108" s="210">
        <f t="shared" si="278"/>
        <v>0</v>
      </c>
      <c r="CJ108" s="210">
        <f t="shared" si="278"/>
        <v>0</v>
      </c>
      <c r="CK108" s="210">
        <f t="shared" si="278"/>
        <v>0</v>
      </c>
      <c r="CL108" s="210">
        <f t="shared" si="305"/>
        <v>0</v>
      </c>
      <c r="CM108" s="210">
        <f t="shared" si="305"/>
        <v>0</v>
      </c>
      <c r="CN108" s="210">
        <f t="shared" si="305"/>
        <v>0</v>
      </c>
      <c r="CO108" s="210">
        <f t="shared" si="305"/>
        <v>0</v>
      </c>
      <c r="CP108" s="66">
        <f t="shared" si="305"/>
        <v>0</v>
      </c>
      <c r="CQ108" s="65">
        <f t="shared" si="284"/>
        <v>0</v>
      </c>
      <c r="CR108" s="210">
        <f t="shared" si="284"/>
        <v>0</v>
      </c>
      <c r="CS108" s="210">
        <f t="shared" si="284"/>
        <v>0</v>
      </c>
      <c r="CT108" s="210">
        <f t="shared" si="284"/>
        <v>0</v>
      </c>
      <c r="CU108" s="210">
        <f t="shared" si="284"/>
        <v>0</v>
      </c>
      <c r="CV108" s="210">
        <f t="shared" si="306"/>
        <v>0</v>
      </c>
      <c r="CW108" s="210">
        <f t="shared" si="306"/>
        <v>0</v>
      </c>
      <c r="CX108" s="65">
        <f>(0+4.5)/157.5</f>
        <v>2.8571428571428571E-2</v>
      </c>
      <c r="CY108" s="210">
        <f t="shared" si="273"/>
        <v>0</v>
      </c>
      <c r="CZ108" s="210">
        <f>(0+2.5)/157.5</f>
        <v>1.5873015873015872E-2</v>
      </c>
      <c r="DA108" s="210">
        <f t="shared" si="273"/>
        <v>0</v>
      </c>
      <c r="DB108" s="210">
        <f t="shared" si="273"/>
        <v>0</v>
      </c>
      <c r="DC108" s="210">
        <f t="shared" si="273"/>
        <v>0</v>
      </c>
      <c r="DD108" s="209">
        <f>(0+5+1)/157.5</f>
        <v>3.8095238095238099E-2</v>
      </c>
      <c r="DE108" s="23">
        <f>(2.5+0.5+1.5)/127.5</f>
        <v>3.5294117647058823E-2</v>
      </c>
      <c r="DF108" s="210">
        <f t="shared" si="275"/>
        <v>0</v>
      </c>
      <c r="DG108" s="210">
        <f>(2+2+22.5)/127.5</f>
        <v>0.20784313725490197</v>
      </c>
      <c r="DH108" s="210">
        <f t="shared" si="275"/>
        <v>0</v>
      </c>
      <c r="DI108" s="210">
        <f t="shared" si="275"/>
        <v>0</v>
      </c>
      <c r="DJ108" s="210">
        <f t="shared" si="275"/>
        <v>0</v>
      </c>
      <c r="DK108" s="210">
        <f>(3+4.5+2+34)/127.5</f>
        <v>0.3411764705882353</v>
      </c>
      <c r="DL108" s="65">
        <f t="shared" si="281"/>
        <v>0</v>
      </c>
      <c r="DM108" s="210">
        <f t="shared" si="281"/>
        <v>0</v>
      </c>
      <c r="DN108" s="210">
        <f t="shared" si="281"/>
        <v>0</v>
      </c>
      <c r="DO108" s="210">
        <f t="shared" si="281"/>
        <v>0</v>
      </c>
      <c r="DP108" s="210">
        <f t="shared" si="281"/>
        <v>0</v>
      </c>
      <c r="DQ108" s="210">
        <f t="shared" si="307"/>
        <v>0</v>
      </c>
      <c r="DR108" s="210">
        <f t="shared" si="307"/>
        <v>0</v>
      </c>
      <c r="DS108" s="210">
        <f t="shared" si="307"/>
        <v>0</v>
      </c>
    </row>
    <row r="109" spans="1:124" s="201" customFormat="1" ht="26.25" customHeight="1" x14ac:dyDescent="0.4">
      <c r="A109" s="347">
        <v>52</v>
      </c>
      <c r="B109" s="347" t="s">
        <v>46</v>
      </c>
      <c r="C109" s="347" t="s">
        <v>347</v>
      </c>
      <c r="D109" s="349" t="s">
        <v>348</v>
      </c>
      <c r="E109" s="349" t="s">
        <v>889</v>
      </c>
      <c r="F109" s="349" t="s">
        <v>890</v>
      </c>
      <c r="G109" s="563" t="s">
        <v>891</v>
      </c>
      <c r="H109" s="449">
        <f t="shared" ref="H109" si="308">SUM(DE109:DK109)</f>
        <v>0.90196078431372539</v>
      </c>
      <c r="I109" s="449">
        <f t="shared" ref="I109" si="309">SUM(DE110:DK110)</f>
        <v>0.8666666666666667</v>
      </c>
      <c r="J109" s="447"/>
      <c r="K109" s="445"/>
      <c r="L109" s="445"/>
      <c r="M109" s="428"/>
      <c r="N109" s="21" t="s">
        <v>24</v>
      </c>
      <c r="O109" s="190">
        <f t="shared" si="294"/>
        <v>0</v>
      </c>
      <c r="P109" s="190">
        <f t="shared" si="294"/>
        <v>0</v>
      </c>
      <c r="Q109" s="190">
        <f t="shared" si="294"/>
        <v>0</v>
      </c>
      <c r="R109" s="190">
        <f t="shared" si="294"/>
        <v>0</v>
      </c>
      <c r="S109" s="190">
        <f t="shared" si="294"/>
        <v>0</v>
      </c>
      <c r="T109" s="190">
        <f t="shared" si="294"/>
        <v>0</v>
      </c>
      <c r="U109" s="190">
        <f t="shared" si="294"/>
        <v>0</v>
      </c>
      <c r="V109" s="190">
        <f t="shared" si="295"/>
        <v>0</v>
      </c>
      <c r="W109" s="190">
        <f t="shared" si="294"/>
        <v>0</v>
      </c>
      <c r="X109" s="86">
        <f t="shared" si="294"/>
        <v>0</v>
      </c>
      <c r="Y109" s="190">
        <f t="shared" si="296"/>
        <v>0</v>
      </c>
      <c r="Z109" s="190">
        <f t="shared" si="296"/>
        <v>0</v>
      </c>
      <c r="AA109" s="190">
        <f t="shared" si="296"/>
        <v>0</v>
      </c>
      <c r="AB109" s="190">
        <f t="shared" si="296"/>
        <v>0</v>
      </c>
      <c r="AC109" s="190">
        <f t="shared" si="296"/>
        <v>0</v>
      </c>
      <c r="AD109" s="190">
        <f t="shared" si="296"/>
        <v>0</v>
      </c>
      <c r="AE109" s="190">
        <f t="shared" si="297"/>
        <v>0</v>
      </c>
      <c r="AF109" s="190"/>
      <c r="AG109" s="190">
        <f t="shared" si="297"/>
        <v>0</v>
      </c>
      <c r="AH109" s="190">
        <f t="shared" si="297"/>
        <v>0</v>
      </c>
      <c r="AI109" s="77">
        <f t="shared" si="297"/>
        <v>0</v>
      </c>
      <c r="AJ109" s="190">
        <f t="shared" si="297"/>
        <v>0</v>
      </c>
      <c r="AK109" s="190">
        <f t="shared" si="297"/>
        <v>0</v>
      </c>
      <c r="AL109" s="190">
        <f t="shared" si="297"/>
        <v>0</v>
      </c>
      <c r="AM109" s="190">
        <f t="shared" si="297"/>
        <v>0</v>
      </c>
      <c r="AN109" s="190">
        <f t="shared" si="270"/>
        <v>0</v>
      </c>
      <c r="AO109" s="190">
        <f t="shared" si="270"/>
        <v>0</v>
      </c>
      <c r="AP109" s="190">
        <f t="shared" si="297"/>
        <v>0</v>
      </c>
      <c r="AQ109" s="190">
        <f t="shared" si="297"/>
        <v>0</v>
      </c>
      <c r="AR109" s="225">
        <f t="shared" si="297"/>
        <v>0</v>
      </c>
      <c r="AS109" s="23">
        <f t="shared" si="298"/>
        <v>0</v>
      </c>
      <c r="AT109" s="190">
        <f t="shared" si="298"/>
        <v>0</v>
      </c>
      <c r="AU109" s="190">
        <f t="shared" si="298"/>
        <v>0</v>
      </c>
      <c r="AV109" s="190">
        <f t="shared" si="298"/>
        <v>0</v>
      </c>
      <c r="AW109" s="190">
        <f t="shared" si="298"/>
        <v>0</v>
      </c>
      <c r="AX109" s="190">
        <f t="shared" si="299"/>
        <v>0</v>
      </c>
      <c r="AY109" s="190">
        <f t="shared" si="299"/>
        <v>0</v>
      </c>
      <c r="AZ109" s="190">
        <f t="shared" si="299"/>
        <v>0</v>
      </c>
      <c r="BA109" s="190">
        <f t="shared" si="299"/>
        <v>0</v>
      </c>
      <c r="BB109" s="225">
        <f t="shared" si="299"/>
        <v>0</v>
      </c>
      <c r="BC109" s="77">
        <f t="shared" si="300"/>
        <v>0</v>
      </c>
      <c r="BD109" s="190">
        <f t="shared" si="300"/>
        <v>0</v>
      </c>
      <c r="BE109" s="190">
        <f t="shared" si="300"/>
        <v>0</v>
      </c>
      <c r="BF109" s="190">
        <f t="shared" si="300"/>
        <v>0</v>
      </c>
      <c r="BG109" s="190">
        <f t="shared" si="300"/>
        <v>0</v>
      </c>
      <c r="BH109" s="190">
        <f t="shared" si="300"/>
        <v>0</v>
      </c>
      <c r="BI109" s="190">
        <f t="shared" si="300"/>
        <v>0</v>
      </c>
      <c r="BJ109" s="190">
        <f t="shared" si="301"/>
        <v>0</v>
      </c>
      <c r="BK109" s="190">
        <f t="shared" si="301"/>
        <v>0</v>
      </c>
      <c r="BL109" s="190">
        <f t="shared" si="301"/>
        <v>0</v>
      </c>
      <c r="BM109" s="77">
        <f t="shared" si="302"/>
        <v>0</v>
      </c>
      <c r="BN109" s="190">
        <f t="shared" si="302"/>
        <v>0</v>
      </c>
      <c r="BO109" s="190">
        <f t="shared" si="302"/>
        <v>0</v>
      </c>
      <c r="BP109" s="190">
        <f t="shared" si="302"/>
        <v>0</v>
      </c>
      <c r="BQ109" s="190">
        <f t="shared" si="302"/>
        <v>0</v>
      </c>
      <c r="BR109" s="190">
        <f t="shared" si="302"/>
        <v>0</v>
      </c>
      <c r="BS109" s="190">
        <f t="shared" si="302"/>
        <v>0</v>
      </c>
      <c r="BT109" s="190"/>
      <c r="BU109" s="190"/>
      <c r="BV109" s="190">
        <f t="shared" si="302"/>
        <v>0</v>
      </c>
      <c r="BW109" s="23">
        <f t="shared" si="303"/>
        <v>0</v>
      </c>
      <c r="BX109" s="190">
        <f t="shared" si="303"/>
        <v>0</v>
      </c>
      <c r="BY109" s="190">
        <f t="shared" si="303"/>
        <v>0</v>
      </c>
      <c r="BZ109" s="190">
        <f t="shared" si="303"/>
        <v>0</v>
      </c>
      <c r="CA109" s="190">
        <f t="shared" si="303"/>
        <v>0</v>
      </c>
      <c r="CB109" s="190">
        <f t="shared" si="304"/>
        <v>0</v>
      </c>
      <c r="CC109" s="190">
        <f t="shared" si="304"/>
        <v>0</v>
      </c>
      <c r="CD109" s="190">
        <f t="shared" si="304"/>
        <v>0</v>
      </c>
      <c r="CE109" s="190">
        <f t="shared" si="304"/>
        <v>0</v>
      </c>
      <c r="CF109" s="190">
        <f t="shared" si="304"/>
        <v>0</v>
      </c>
      <c r="CG109" s="23">
        <f t="shared" si="278"/>
        <v>0</v>
      </c>
      <c r="CH109" s="190">
        <f t="shared" si="278"/>
        <v>0</v>
      </c>
      <c r="CI109" s="190">
        <f t="shared" si="278"/>
        <v>0</v>
      </c>
      <c r="CJ109" s="190">
        <f t="shared" si="278"/>
        <v>0</v>
      </c>
      <c r="CK109" s="190">
        <f t="shared" si="278"/>
        <v>0</v>
      </c>
      <c r="CL109" s="190">
        <f t="shared" si="305"/>
        <v>0</v>
      </c>
      <c r="CM109" s="190">
        <f t="shared" si="305"/>
        <v>0</v>
      </c>
      <c r="CN109" s="190">
        <f t="shared" si="305"/>
        <v>0</v>
      </c>
      <c r="CO109" s="190">
        <f t="shared" si="305"/>
        <v>0</v>
      </c>
      <c r="CP109" s="21">
        <f t="shared" si="305"/>
        <v>0</v>
      </c>
      <c r="CQ109" s="23">
        <f t="shared" si="284"/>
        <v>0</v>
      </c>
      <c r="CR109" s="190">
        <f t="shared" si="284"/>
        <v>0</v>
      </c>
      <c r="CS109" s="190">
        <f t="shared" si="284"/>
        <v>0</v>
      </c>
      <c r="CT109" s="190">
        <f t="shared" si="284"/>
        <v>0</v>
      </c>
      <c r="CU109" s="190">
        <f t="shared" si="284"/>
        <v>0</v>
      </c>
      <c r="CV109" s="190">
        <f t="shared" si="306"/>
        <v>0</v>
      </c>
      <c r="CW109" s="190">
        <f t="shared" si="306"/>
        <v>0</v>
      </c>
      <c r="CX109" s="77">
        <f>(5)/157.5</f>
        <v>3.1746031746031744E-2</v>
      </c>
      <c r="CY109" s="190">
        <f t="shared" si="273"/>
        <v>0</v>
      </c>
      <c r="CZ109" s="190">
        <f>(5)/157.5</f>
        <v>3.1746031746031744E-2</v>
      </c>
      <c r="DA109" s="190">
        <f>(10)/157.5</f>
        <v>6.3492063492063489E-2</v>
      </c>
      <c r="DB109" s="190">
        <f>(5)/157.5</f>
        <v>3.1746031746031744E-2</v>
      </c>
      <c r="DC109" s="190">
        <f t="shared" si="273"/>
        <v>0</v>
      </c>
      <c r="DD109" s="190">
        <f t="shared" si="273"/>
        <v>0</v>
      </c>
      <c r="DE109" s="23">
        <f>(5)/127.5</f>
        <v>3.9215686274509803E-2</v>
      </c>
      <c r="DF109" s="190">
        <f>(20)/127.5</f>
        <v>0.15686274509803921</v>
      </c>
      <c r="DG109" s="190">
        <f>(20)/127.5</f>
        <v>0.15686274509803921</v>
      </c>
      <c r="DH109" s="190">
        <f>(40)/127.5</f>
        <v>0.31372549019607843</v>
      </c>
      <c r="DI109" s="190">
        <f>(30)/127.5</f>
        <v>0.23529411764705882</v>
      </c>
      <c r="DJ109" s="190">
        <f t="shared" si="275"/>
        <v>0</v>
      </c>
      <c r="DK109" s="190">
        <f t="shared" si="275"/>
        <v>0</v>
      </c>
      <c r="DL109" s="23">
        <f t="shared" si="281"/>
        <v>0</v>
      </c>
      <c r="DM109" s="190">
        <f t="shared" si="281"/>
        <v>0</v>
      </c>
      <c r="DN109" s="190">
        <f t="shared" si="281"/>
        <v>0</v>
      </c>
      <c r="DO109" s="190">
        <f t="shared" si="281"/>
        <v>0</v>
      </c>
      <c r="DP109" s="190">
        <f t="shared" si="281"/>
        <v>0</v>
      </c>
      <c r="DQ109" s="190">
        <f t="shared" si="307"/>
        <v>0</v>
      </c>
      <c r="DR109" s="190">
        <f t="shared" si="307"/>
        <v>0</v>
      </c>
      <c r="DS109" s="190">
        <f t="shared" si="307"/>
        <v>0</v>
      </c>
    </row>
    <row r="110" spans="1:124" s="201" customFormat="1" ht="26.25" customHeight="1" x14ac:dyDescent="0.4">
      <c r="A110" s="348"/>
      <c r="B110" s="348"/>
      <c r="C110" s="348"/>
      <c r="D110" s="350"/>
      <c r="E110" s="350"/>
      <c r="F110" s="350"/>
      <c r="G110" s="565"/>
      <c r="H110" s="450"/>
      <c r="I110" s="450"/>
      <c r="J110" s="448"/>
      <c r="K110" s="446"/>
      <c r="L110" s="446"/>
      <c r="M110" s="429"/>
      <c r="N110" s="209" t="s">
        <v>25</v>
      </c>
      <c r="O110" s="209">
        <f t="shared" si="294"/>
        <v>0</v>
      </c>
      <c r="P110" s="209">
        <f t="shared" si="294"/>
        <v>0</v>
      </c>
      <c r="Q110" s="209">
        <f t="shared" si="294"/>
        <v>0</v>
      </c>
      <c r="R110" s="209">
        <f t="shared" si="294"/>
        <v>0</v>
      </c>
      <c r="S110" s="209">
        <f t="shared" si="294"/>
        <v>0</v>
      </c>
      <c r="T110" s="209">
        <f t="shared" si="294"/>
        <v>0</v>
      </c>
      <c r="U110" s="209">
        <f t="shared" si="294"/>
        <v>0</v>
      </c>
      <c r="V110" s="209">
        <f t="shared" si="295"/>
        <v>0</v>
      </c>
      <c r="W110" s="209">
        <f t="shared" si="294"/>
        <v>0</v>
      </c>
      <c r="X110" s="53">
        <f t="shared" si="294"/>
        <v>0</v>
      </c>
      <c r="Y110" s="209">
        <f t="shared" si="296"/>
        <v>0</v>
      </c>
      <c r="Z110" s="209">
        <f t="shared" si="296"/>
        <v>0</v>
      </c>
      <c r="AA110" s="209">
        <f t="shared" si="296"/>
        <v>0</v>
      </c>
      <c r="AB110" s="209">
        <f t="shared" si="296"/>
        <v>0</v>
      </c>
      <c r="AC110" s="209">
        <f t="shared" si="296"/>
        <v>0</v>
      </c>
      <c r="AD110" s="209">
        <f t="shared" si="296"/>
        <v>0</v>
      </c>
      <c r="AE110" s="209">
        <f t="shared" si="297"/>
        <v>0</v>
      </c>
      <c r="AF110" s="209"/>
      <c r="AG110" s="209">
        <f t="shared" si="297"/>
        <v>0</v>
      </c>
      <c r="AH110" s="209">
        <f t="shared" si="297"/>
        <v>0</v>
      </c>
      <c r="AI110" s="58">
        <f t="shared" si="297"/>
        <v>0</v>
      </c>
      <c r="AJ110" s="209">
        <f t="shared" si="297"/>
        <v>0</v>
      </c>
      <c r="AK110" s="209">
        <f t="shared" si="297"/>
        <v>0</v>
      </c>
      <c r="AL110" s="209">
        <f t="shared" si="297"/>
        <v>0</v>
      </c>
      <c r="AM110" s="209">
        <f t="shared" si="297"/>
        <v>0</v>
      </c>
      <c r="AN110" s="209">
        <f t="shared" si="270"/>
        <v>0</v>
      </c>
      <c r="AO110" s="209">
        <f t="shared" si="270"/>
        <v>0</v>
      </c>
      <c r="AP110" s="209">
        <f t="shared" si="297"/>
        <v>0</v>
      </c>
      <c r="AQ110" s="209">
        <f t="shared" si="297"/>
        <v>0</v>
      </c>
      <c r="AR110" s="53">
        <f t="shared" si="297"/>
        <v>0</v>
      </c>
      <c r="AS110" s="65">
        <f t="shared" si="298"/>
        <v>0</v>
      </c>
      <c r="AT110" s="210">
        <f t="shared" si="298"/>
        <v>0</v>
      </c>
      <c r="AU110" s="210">
        <f t="shared" si="298"/>
        <v>0</v>
      </c>
      <c r="AV110" s="210">
        <f t="shared" si="298"/>
        <v>0</v>
      </c>
      <c r="AW110" s="280">
        <f t="shared" si="298"/>
        <v>0</v>
      </c>
      <c r="AX110" s="210">
        <f t="shared" si="299"/>
        <v>0</v>
      </c>
      <c r="AY110" s="210">
        <f t="shared" si="299"/>
        <v>0</v>
      </c>
      <c r="AZ110" s="210">
        <f t="shared" si="299"/>
        <v>0</v>
      </c>
      <c r="BA110" s="210">
        <f t="shared" si="299"/>
        <v>0</v>
      </c>
      <c r="BB110" s="53">
        <f t="shared" si="299"/>
        <v>0</v>
      </c>
      <c r="BC110" s="58">
        <f t="shared" si="300"/>
        <v>0</v>
      </c>
      <c r="BD110" s="209">
        <f t="shared" si="300"/>
        <v>0</v>
      </c>
      <c r="BE110" s="209">
        <f t="shared" si="300"/>
        <v>0</v>
      </c>
      <c r="BF110" s="209">
        <f t="shared" si="300"/>
        <v>0</v>
      </c>
      <c r="BG110" s="209">
        <f t="shared" si="300"/>
        <v>0</v>
      </c>
      <c r="BH110" s="209">
        <f t="shared" si="300"/>
        <v>0</v>
      </c>
      <c r="BI110" s="209">
        <f t="shared" si="300"/>
        <v>0</v>
      </c>
      <c r="BJ110" s="209">
        <f t="shared" si="301"/>
        <v>0</v>
      </c>
      <c r="BK110" s="209">
        <f t="shared" si="301"/>
        <v>0</v>
      </c>
      <c r="BL110" s="209">
        <f t="shared" si="301"/>
        <v>0</v>
      </c>
      <c r="BM110" s="58">
        <f t="shared" si="302"/>
        <v>0</v>
      </c>
      <c r="BN110" s="209">
        <f t="shared" si="302"/>
        <v>0</v>
      </c>
      <c r="BO110" s="209">
        <f t="shared" si="302"/>
        <v>0</v>
      </c>
      <c r="BP110" s="209">
        <f t="shared" si="302"/>
        <v>0</v>
      </c>
      <c r="BQ110" s="209">
        <f t="shared" si="302"/>
        <v>0</v>
      </c>
      <c r="BR110" s="209">
        <f t="shared" si="302"/>
        <v>0</v>
      </c>
      <c r="BS110" s="209">
        <f t="shared" si="302"/>
        <v>0</v>
      </c>
      <c r="BT110" s="209"/>
      <c r="BU110" s="209"/>
      <c r="BV110" s="209">
        <f t="shared" si="302"/>
        <v>0</v>
      </c>
      <c r="BW110" s="65">
        <f t="shared" si="303"/>
        <v>0</v>
      </c>
      <c r="BX110" s="209">
        <f t="shared" si="303"/>
        <v>0</v>
      </c>
      <c r="BY110" s="209">
        <f t="shared" si="303"/>
        <v>0</v>
      </c>
      <c r="BZ110" s="209">
        <f t="shared" si="303"/>
        <v>0</v>
      </c>
      <c r="CA110" s="209">
        <f t="shared" si="303"/>
        <v>0</v>
      </c>
      <c r="CB110" s="209">
        <f t="shared" si="304"/>
        <v>0</v>
      </c>
      <c r="CC110" s="209">
        <f t="shared" si="304"/>
        <v>0</v>
      </c>
      <c r="CD110" s="209">
        <f t="shared" si="304"/>
        <v>0</v>
      </c>
      <c r="CE110" s="209">
        <f t="shared" si="304"/>
        <v>0</v>
      </c>
      <c r="CF110" s="209">
        <f t="shared" si="304"/>
        <v>0</v>
      </c>
      <c r="CG110" s="65">
        <f t="shared" si="278"/>
        <v>0</v>
      </c>
      <c r="CH110" s="210">
        <f t="shared" si="278"/>
        <v>0</v>
      </c>
      <c r="CI110" s="210">
        <f t="shared" si="278"/>
        <v>0</v>
      </c>
      <c r="CJ110" s="210">
        <f t="shared" si="278"/>
        <v>0</v>
      </c>
      <c r="CK110" s="210">
        <f t="shared" si="278"/>
        <v>0</v>
      </c>
      <c r="CL110" s="210">
        <f t="shared" si="305"/>
        <v>0</v>
      </c>
      <c r="CM110" s="210">
        <f t="shared" si="305"/>
        <v>0</v>
      </c>
      <c r="CN110" s="210">
        <f t="shared" si="305"/>
        <v>0</v>
      </c>
      <c r="CO110" s="210">
        <f t="shared" si="305"/>
        <v>0</v>
      </c>
      <c r="CP110" s="66">
        <f t="shared" si="305"/>
        <v>0</v>
      </c>
      <c r="CQ110" s="65">
        <f t="shared" si="284"/>
        <v>0</v>
      </c>
      <c r="CR110" s="210">
        <f t="shared" si="284"/>
        <v>0</v>
      </c>
      <c r="CS110" s="210">
        <f t="shared" si="284"/>
        <v>0</v>
      </c>
      <c r="CT110" s="210">
        <f t="shared" si="284"/>
        <v>0</v>
      </c>
      <c r="CU110" s="210">
        <f t="shared" si="284"/>
        <v>0</v>
      </c>
      <c r="CV110" s="210">
        <f t="shared" si="306"/>
        <v>0</v>
      </c>
      <c r="CW110" s="210">
        <f t="shared" si="306"/>
        <v>0</v>
      </c>
      <c r="CX110" s="65">
        <f>(1)/157.5</f>
        <v>6.3492063492063492E-3</v>
      </c>
      <c r="CY110" s="210">
        <f t="shared" si="273"/>
        <v>0</v>
      </c>
      <c r="CZ110" s="210">
        <f>(3)/157.5</f>
        <v>1.9047619047619049E-2</v>
      </c>
      <c r="DA110" s="210">
        <f>(13.5)/157.5</f>
        <v>8.5714285714285715E-2</v>
      </c>
      <c r="DB110" s="210">
        <f>(4.5)/157.5</f>
        <v>2.8571428571428571E-2</v>
      </c>
      <c r="DC110" s="210">
        <f t="shared" si="273"/>
        <v>0</v>
      </c>
      <c r="DD110" s="209">
        <f t="shared" si="273"/>
        <v>0</v>
      </c>
      <c r="DE110" s="65">
        <f>(1+5.5+0.5)/127.5</f>
        <v>5.4901960784313725E-2</v>
      </c>
      <c r="DF110" s="210">
        <f>(2.5+12)/127.5</f>
        <v>0.11372549019607843</v>
      </c>
      <c r="DG110" s="210">
        <f>(2+5)/127.5</f>
        <v>5.4901960784313725E-2</v>
      </c>
      <c r="DH110" s="210">
        <f>(21+25.5+1)/127.5</f>
        <v>0.37254901960784315</v>
      </c>
      <c r="DI110" s="210">
        <f>(15+18.5+1)/127.5</f>
        <v>0.27058823529411763</v>
      </c>
      <c r="DJ110" s="210">
        <f t="shared" si="275"/>
        <v>0</v>
      </c>
      <c r="DK110" s="210">
        <f t="shared" si="275"/>
        <v>0</v>
      </c>
      <c r="DL110" s="65">
        <f t="shared" si="281"/>
        <v>0</v>
      </c>
      <c r="DM110" s="210">
        <f t="shared" si="281"/>
        <v>0</v>
      </c>
      <c r="DN110" s="210">
        <f t="shared" si="281"/>
        <v>0</v>
      </c>
      <c r="DO110" s="210">
        <f t="shared" si="281"/>
        <v>0</v>
      </c>
      <c r="DP110" s="210">
        <f t="shared" si="281"/>
        <v>0</v>
      </c>
      <c r="DQ110" s="210">
        <f t="shared" si="307"/>
        <v>0</v>
      </c>
      <c r="DR110" s="210">
        <f t="shared" si="307"/>
        <v>0</v>
      </c>
      <c r="DS110" s="210">
        <f t="shared" si="307"/>
        <v>0</v>
      </c>
    </row>
    <row r="111" spans="1:124" s="201" customFormat="1" ht="26.25" customHeight="1" x14ac:dyDescent="0.4">
      <c r="A111" s="347">
        <v>53</v>
      </c>
      <c r="B111" s="347" t="s">
        <v>46</v>
      </c>
      <c r="C111" s="347" t="s">
        <v>347</v>
      </c>
      <c r="D111" s="349" t="s">
        <v>348</v>
      </c>
      <c r="E111" s="349" t="s">
        <v>904</v>
      </c>
      <c r="F111" s="349" t="s">
        <v>386</v>
      </c>
      <c r="G111" s="563" t="s">
        <v>902</v>
      </c>
      <c r="H111" s="449">
        <f t="shared" ref="H111" si="310">SUM(DE111:DK111)</f>
        <v>0.35294117647058826</v>
      </c>
      <c r="I111" s="449">
        <f t="shared" ref="I111" si="311">SUM(DE112:DK112)</f>
        <v>0.3294117647058824</v>
      </c>
      <c r="J111" s="447"/>
      <c r="K111" s="445"/>
      <c r="L111" s="445"/>
      <c r="M111" s="428"/>
      <c r="N111" s="21" t="s">
        <v>24</v>
      </c>
      <c r="O111" s="190">
        <f t="shared" si="294"/>
        <v>0</v>
      </c>
      <c r="P111" s="190">
        <f t="shared" si="294"/>
        <v>0</v>
      </c>
      <c r="Q111" s="190">
        <f t="shared" si="294"/>
        <v>0</v>
      </c>
      <c r="R111" s="190">
        <f t="shared" si="294"/>
        <v>0</v>
      </c>
      <c r="S111" s="190">
        <f t="shared" si="294"/>
        <v>0</v>
      </c>
      <c r="T111" s="190">
        <f t="shared" si="294"/>
        <v>0</v>
      </c>
      <c r="U111" s="190">
        <f t="shared" si="294"/>
        <v>0</v>
      </c>
      <c r="V111" s="190">
        <f t="shared" si="295"/>
        <v>0</v>
      </c>
      <c r="W111" s="190">
        <f t="shared" si="294"/>
        <v>0</v>
      </c>
      <c r="X111" s="86">
        <f t="shared" si="294"/>
        <v>0</v>
      </c>
      <c r="Y111" s="190">
        <f t="shared" si="296"/>
        <v>0</v>
      </c>
      <c r="Z111" s="190">
        <f t="shared" si="296"/>
        <v>0</v>
      </c>
      <c r="AA111" s="190">
        <f t="shared" si="296"/>
        <v>0</v>
      </c>
      <c r="AB111" s="190">
        <f t="shared" si="296"/>
        <v>0</v>
      </c>
      <c r="AC111" s="190">
        <f t="shared" si="296"/>
        <v>0</v>
      </c>
      <c r="AD111" s="190">
        <f t="shared" si="296"/>
        <v>0</v>
      </c>
      <c r="AE111" s="190">
        <f t="shared" si="297"/>
        <v>0</v>
      </c>
      <c r="AF111" s="190"/>
      <c r="AG111" s="190">
        <f t="shared" si="297"/>
        <v>0</v>
      </c>
      <c r="AH111" s="190">
        <f t="shared" si="297"/>
        <v>0</v>
      </c>
      <c r="AI111" s="77">
        <f t="shared" si="297"/>
        <v>0</v>
      </c>
      <c r="AJ111" s="190">
        <f t="shared" si="297"/>
        <v>0</v>
      </c>
      <c r="AK111" s="190">
        <f t="shared" si="297"/>
        <v>0</v>
      </c>
      <c r="AL111" s="190">
        <f t="shared" si="297"/>
        <v>0</v>
      </c>
      <c r="AM111" s="190">
        <f t="shared" si="297"/>
        <v>0</v>
      </c>
      <c r="AN111" s="190">
        <f t="shared" si="270"/>
        <v>0</v>
      </c>
      <c r="AO111" s="190">
        <f t="shared" si="270"/>
        <v>0</v>
      </c>
      <c r="AP111" s="190">
        <f t="shared" si="297"/>
        <v>0</v>
      </c>
      <c r="AQ111" s="190">
        <f t="shared" si="297"/>
        <v>0</v>
      </c>
      <c r="AR111" s="225">
        <f t="shared" si="297"/>
        <v>0</v>
      </c>
      <c r="AS111" s="23">
        <f t="shared" si="298"/>
        <v>0</v>
      </c>
      <c r="AT111" s="190">
        <f t="shared" si="298"/>
        <v>0</v>
      </c>
      <c r="AU111" s="190">
        <f t="shared" si="298"/>
        <v>0</v>
      </c>
      <c r="AV111" s="190">
        <f t="shared" si="298"/>
        <v>0</v>
      </c>
      <c r="AW111" s="190">
        <f t="shared" si="298"/>
        <v>0</v>
      </c>
      <c r="AX111" s="190">
        <f t="shared" si="299"/>
        <v>0</v>
      </c>
      <c r="AY111" s="190">
        <f t="shared" si="299"/>
        <v>0</v>
      </c>
      <c r="AZ111" s="190">
        <f t="shared" si="299"/>
        <v>0</v>
      </c>
      <c r="BA111" s="190">
        <f t="shared" si="299"/>
        <v>0</v>
      </c>
      <c r="BB111" s="225">
        <f t="shared" si="299"/>
        <v>0</v>
      </c>
      <c r="BC111" s="77">
        <f t="shared" si="300"/>
        <v>0</v>
      </c>
      <c r="BD111" s="190">
        <f t="shared" si="300"/>
        <v>0</v>
      </c>
      <c r="BE111" s="190">
        <f t="shared" si="300"/>
        <v>0</v>
      </c>
      <c r="BF111" s="190">
        <f t="shared" si="300"/>
        <v>0</v>
      </c>
      <c r="BG111" s="190">
        <f t="shared" si="300"/>
        <v>0</v>
      </c>
      <c r="BH111" s="190">
        <f t="shared" si="300"/>
        <v>0</v>
      </c>
      <c r="BI111" s="190">
        <f t="shared" si="300"/>
        <v>0</v>
      </c>
      <c r="BJ111" s="190">
        <f t="shared" si="301"/>
        <v>0</v>
      </c>
      <c r="BK111" s="190">
        <f t="shared" si="301"/>
        <v>0</v>
      </c>
      <c r="BL111" s="190">
        <f t="shared" si="301"/>
        <v>0</v>
      </c>
      <c r="BM111" s="77">
        <f t="shared" si="302"/>
        <v>0</v>
      </c>
      <c r="BN111" s="190">
        <f t="shared" si="302"/>
        <v>0</v>
      </c>
      <c r="BO111" s="190">
        <f t="shared" si="302"/>
        <v>0</v>
      </c>
      <c r="BP111" s="190">
        <f t="shared" si="302"/>
        <v>0</v>
      </c>
      <c r="BQ111" s="190">
        <f t="shared" si="302"/>
        <v>0</v>
      </c>
      <c r="BR111" s="190">
        <f t="shared" si="302"/>
        <v>0</v>
      </c>
      <c r="BS111" s="190">
        <f t="shared" si="302"/>
        <v>0</v>
      </c>
      <c r="BT111" s="190"/>
      <c r="BU111" s="190"/>
      <c r="BV111" s="190">
        <f t="shared" si="302"/>
        <v>0</v>
      </c>
      <c r="BW111" s="23">
        <f t="shared" si="303"/>
        <v>0</v>
      </c>
      <c r="BX111" s="190">
        <f t="shared" si="303"/>
        <v>0</v>
      </c>
      <c r="BY111" s="190">
        <f t="shared" si="303"/>
        <v>0</v>
      </c>
      <c r="BZ111" s="190">
        <f t="shared" si="303"/>
        <v>0</v>
      </c>
      <c r="CA111" s="190">
        <f t="shared" si="303"/>
        <v>0</v>
      </c>
      <c r="CB111" s="190">
        <f t="shared" si="304"/>
        <v>0</v>
      </c>
      <c r="CC111" s="190">
        <f t="shared" si="304"/>
        <v>0</v>
      </c>
      <c r="CD111" s="190">
        <f t="shared" si="304"/>
        <v>0</v>
      </c>
      <c r="CE111" s="190">
        <f t="shared" si="304"/>
        <v>0</v>
      </c>
      <c r="CF111" s="190">
        <f t="shared" si="304"/>
        <v>0</v>
      </c>
      <c r="CG111" s="23">
        <f t="shared" si="278"/>
        <v>0</v>
      </c>
      <c r="CH111" s="190">
        <f t="shared" si="278"/>
        <v>0</v>
      </c>
      <c r="CI111" s="190">
        <f t="shared" si="278"/>
        <v>0</v>
      </c>
      <c r="CJ111" s="190">
        <f t="shared" si="278"/>
        <v>0</v>
      </c>
      <c r="CK111" s="190">
        <f t="shared" si="278"/>
        <v>0</v>
      </c>
      <c r="CL111" s="190">
        <f t="shared" si="305"/>
        <v>0</v>
      </c>
      <c r="CM111" s="190">
        <f t="shared" si="305"/>
        <v>0</v>
      </c>
      <c r="CN111" s="190">
        <f t="shared" si="305"/>
        <v>0</v>
      </c>
      <c r="CO111" s="190">
        <f t="shared" si="305"/>
        <v>0</v>
      </c>
      <c r="CP111" s="21">
        <f t="shared" si="305"/>
        <v>0</v>
      </c>
      <c r="CQ111" s="23">
        <f t="shared" si="284"/>
        <v>0</v>
      </c>
      <c r="CR111" s="190">
        <f t="shared" si="284"/>
        <v>0</v>
      </c>
      <c r="CS111" s="190">
        <f t="shared" si="284"/>
        <v>0</v>
      </c>
      <c r="CT111" s="190">
        <f t="shared" si="284"/>
        <v>0</v>
      </c>
      <c r="CU111" s="190">
        <f t="shared" si="284"/>
        <v>0</v>
      </c>
      <c r="CV111" s="190">
        <f t="shared" si="306"/>
        <v>0</v>
      </c>
      <c r="CW111" s="190">
        <f t="shared" si="306"/>
        <v>0</v>
      </c>
      <c r="CX111" s="77">
        <f t="shared" ref="CX111:CX114" si="312">(0)/157.5</f>
        <v>0</v>
      </c>
      <c r="CY111" s="190">
        <f t="shared" si="273"/>
        <v>0</v>
      </c>
      <c r="CZ111" s="190">
        <f t="shared" si="273"/>
        <v>0</v>
      </c>
      <c r="DA111" s="190">
        <f t="shared" si="273"/>
        <v>0</v>
      </c>
      <c r="DB111" s="190">
        <f t="shared" si="273"/>
        <v>0</v>
      </c>
      <c r="DC111" s="190">
        <f>(5)/157.5</f>
        <v>3.1746031746031744E-2</v>
      </c>
      <c r="DD111" s="190">
        <f>(5)/157.5</f>
        <v>3.1746031746031744E-2</v>
      </c>
      <c r="DE111" s="23">
        <f>(5)/127.5</f>
        <v>3.9215686274509803E-2</v>
      </c>
      <c r="DF111" s="190">
        <f>(10)/127.5</f>
        <v>7.8431372549019607E-2</v>
      </c>
      <c r="DG111" s="190">
        <f t="shared" ref="DF111:DK118" si="313">(0)/127.5</f>
        <v>0</v>
      </c>
      <c r="DH111" s="190">
        <f t="shared" si="313"/>
        <v>0</v>
      </c>
      <c r="DI111" s="190">
        <f t="shared" si="313"/>
        <v>0</v>
      </c>
      <c r="DJ111" s="190">
        <f>(20)/127.5</f>
        <v>0.15686274509803921</v>
      </c>
      <c r="DK111" s="190">
        <f t="shared" ref="DK111" si="314">(10)/127.5</f>
        <v>7.8431372549019607E-2</v>
      </c>
      <c r="DL111" s="23">
        <f t="shared" si="281"/>
        <v>0</v>
      </c>
      <c r="DM111" s="190">
        <f t="shared" si="281"/>
        <v>0</v>
      </c>
      <c r="DN111" s="190">
        <f t="shared" si="281"/>
        <v>0</v>
      </c>
      <c r="DO111" s="190">
        <f t="shared" si="281"/>
        <v>0</v>
      </c>
      <c r="DP111" s="190">
        <f t="shared" si="281"/>
        <v>0</v>
      </c>
      <c r="DQ111" s="190">
        <f t="shared" si="307"/>
        <v>0</v>
      </c>
      <c r="DR111" s="190">
        <f t="shared" si="307"/>
        <v>0</v>
      </c>
      <c r="DS111" s="190">
        <f t="shared" si="307"/>
        <v>0</v>
      </c>
    </row>
    <row r="112" spans="1:124" s="201" customFormat="1" ht="26.25" customHeight="1" x14ac:dyDescent="0.4">
      <c r="A112" s="348"/>
      <c r="B112" s="348"/>
      <c r="C112" s="348"/>
      <c r="D112" s="350"/>
      <c r="E112" s="350"/>
      <c r="F112" s="350"/>
      <c r="G112" s="565"/>
      <c r="H112" s="450"/>
      <c r="I112" s="450"/>
      <c r="J112" s="448"/>
      <c r="K112" s="446"/>
      <c r="L112" s="446"/>
      <c r="M112" s="429"/>
      <c r="N112" s="209" t="s">
        <v>25</v>
      </c>
      <c r="O112" s="209">
        <f t="shared" si="294"/>
        <v>0</v>
      </c>
      <c r="P112" s="209">
        <f t="shared" si="294"/>
        <v>0</v>
      </c>
      <c r="Q112" s="209">
        <f t="shared" si="294"/>
        <v>0</v>
      </c>
      <c r="R112" s="209">
        <f t="shared" si="294"/>
        <v>0</v>
      </c>
      <c r="S112" s="209">
        <f t="shared" si="294"/>
        <v>0</v>
      </c>
      <c r="T112" s="209">
        <f t="shared" si="294"/>
        <v>0</v>
      </c>
      <c r="U112" s="209">
        <f t="shared" si="294"/>
        <v>0</v>
      </c>
      <c r="V112" s="209">
        <f t="shared" si="295"/>
        <v>0</v>
      </c>
      <c r="W112" s="209">
        <f t="shared" si="294"/>
        <v>0</v>
      </c>
      <c r="X112" s="53">
        <f t="shared" si="294"/>
        <v>0</v>
      </c>
      <c r="Y112" s="209">
        <f t="shared" si="296"/>
        <v>0</v>
      </c>
      <c r="Z112" s="209">
        <f t="shared" si="296"/>
        <v>0</v>
      </c>
      <c r="AA112" s="209">
        <f t="shared" si="296"/>
        <v>0</v>
      </c>
      <c r="AB112" s="209">
        <f t="shared" si="296"/>
        <v>0</v>
      </c>
      <c r="AC112" s="209">
        <f t="shared" si="296"/>
        <v>0</v>
      </c>
      <c r="AD112" s="209">
        <f t="shared" si="296"/>
        <v>0</v>
      </c>
      <c r="AE112" s="209">
        <f t="shared" si="297"/>
        <v>0</v>
      </c>
      <c r="AF112" s="209"/>
      <c r="AG112" s="209">
        <f t="shared" si="297"/>
        <v>0</v>
      </c>
      <c r="AH112" s="209">
        <f t="shared" si="297"/>
        <v>0</v>
      </c>
      <c r="AI112" s="58">
        <f t="shared" si="297"/>
        <v>0</v>
      </c>
      <c r="AJ112" s="209">
        <f t="shared" si="297"/>
        <v>0</v>
      </c>
      <c r="AK112" s="209">
        <f t="shared" si="297"/>
        <v>0</v>
      </c>
      <c r="AL112" s="209">
        <f t="shared" si="297"/>
        <v>0</v>
      </c>
      <c r="AM112" s="209">
        <f t="shared" si="297"/>
        <v>0</v>
      </c>
      <c r="AN112" s="209">
        <f t="shared" si="270"/>
        <v>0</v>
      </c>
      <c r="AO112" s="209">
        <f t="shared" si="270"/>
        <v>0</v>
      </c>
      <c r="AP112" s="209">
        <f t="shared" si="297"/>
        <v>0</v>
      </c>
      <c r="AQ112" s="209">
        <f t="shared" si="297"/>
        <v>0</v>
      </c>
      <c r="AR112" s="53">
        <f t="shared" si="297"/>
        <v>0</v>
      </c>
      <c r="AS112" s="65">
        <f t="shared" si="298"/>
        <v>0</v>
      </c>
      <c r="AT112" s="210">
        <f t="shared" si="298"/>
        <v>0</v>
      </c>
      <c r="AU112" s="210">
        <f t="shared" si="298"/>
        <v>0</v>
      </c>
      <c r="AV112" s="210">
        <f t="shared" si="298"/>
        <v>0</v>
      </c>
      <c r="AW112" s="280">
        <f t="shared" si="298"/>
        <v>0</v>
      </c>
      <c r="AX112" s="210">
        <f t="shared" si="299"/>
        <v>0</v>
      </c>
      <c r="AY112" s="210">
        <f t="shared" si="299"/>
        <v>0</v>
      </c>
      <c r="AZ112" s="210">
        <f t="shared" si="299"/>
        <v>0</v>
      </c>
      <c r="BA112" s="210">
        <f t="shared" si="299"/>
        <v>0</v>
      </c>
      <c r="BB112" s="53">
        <f t="shared" si="299"/>
        <v>0</v>
      </c>
      <c r="BC112" s="58">
        <f t="shared" si="300"/>
        <v>0</v>
      </c>
      <c r="BD112" s="209">
        <f t="shared" si="300"/>
        <v>0</v>
      </c>
      <c r="BE112" s="209">
        <f t="shared" si="300"/>
        <v>0</v>
      </c>
      <c r="BF112" s="209">
        <f t="shared" si="300"/>
        <v>0</v>
      </c>
      <c r="BG112" s="209">
        <f t="shared" si="300"/>
        <v>0</v>
      </c>
      <c r="BH112" s="209">
        <f t="shared" si="300"/>
        <v>0</v>
      </c>
      <c r="BI112" s="209">
        <f t="shared" si="300"/>
        <v>0</v>
      </c>
      <c r="BJ112" s="209">
        <f t="shared" si="301"/>
        <v>0</v>
      </c>
      <c r="BK112" s="209">
        <f t="shared" si="301"/>
        <v>0</v>
      </c>
      <c r="BL112" s="209">
        <f t="shared" si="301"/>
        <v>0</v>
      </c>
      <c r="BM112" s="58">
        <f t="shared" si="302"/>
        <v>0</v>
      </c>
      <c r="BN112" s="209">
        <f t="shared" si="302"/>
        <v>0</v>
      </c>
      <c r="BO112" s="209">
        <f t="shared" si="302"/>
        <v>0</v>
      </c>
      <c r="BP112" s="209">
        <f t="shared" si="302"/>
        <v>0</v>
      </c>
      <c r="BQ112" s="209">
        <f t="shared" si="302"/>
        <v>0</v>
      </c>
      <c r="BR112" s="209">
        <f t="shared" si="302"/>
        <v>0</v>
      </c>
      <c r="BS112" s="209">
        <f t="shared" si="302"/>
        <v>0</v>
      </c>
      <c r="BT112" s="209"/>
      <c r="BU112" s="209"/>
      <c r="BV112" s="209">
        <f t="shared" si="302"/>
        <v>0</v>
      </c>
      <c r="BW112" s="65">
        <f t="shared" si="303"/>
        <v>0</v>
      </c>
      <c r="BX112" s="209">
        <f t="shared" si="303"/>
        <v>0</v>
      </c>
      <c r="BY112" s="209">
        <f t="shared" si="303"/>
        <v>0</v>
      </c>
      <c r="BZ112" s="209">
        <f t="shared" si="303"/>
        <v>0</v>
      </c>
      <c r="CA112" s="209">
        <f t="shared" si="303"/>
        <v>0</v>
      </c>
      <c r="CB112" s="209">
        <f t="shared" si="304"/>
        <v>0</v>
      </c>
      <c r="CC112" s="209">
        <f t="shared" si="304"/>
        <v>0</v>
      </c>
      <c r="CD112" s="209">
        <f t="shared" si="304"/>
        <v>0</v>
      </c>
      <c r="CE112" s="209">
        <f t="shared" si="304"/>
        <v>0</v>
      </c>
      <c r="CF112" s="209">
        <f t="shared" si="304"/>
        <v>0</v>
      </c>
      <c r="CG112" s="65">
        <f t="shared" si="278"/>
        <v>0</v>
      </c>
      <c r="CH112" s="210">
        <f t="shared" si="278"/>
        <v>0</v>
      </c>
      <c r="CI112" s="210">
        <f t="shared" si="278"/>
        <v>0</v>
      </c>
      <c r="CJ112" s="210">
        <f t="shared" si="278"/>
        <v>0</v>
      </c>
      <c r="CK112" s="210">
        <f t="shared" si="278"/>
        <v>0</v>
      </c>
      <c r="CL112" s="210">
        <f t="shared" si="305"/>
        <v>0</v>
      </c>
      <c r="CM112" s="210">
        <f t="shared" si="305"/>
        <v>0</v>
      </c>
      <c r="CN112" s="210">
        <f t="shared" si="305"/>
        <v>0</v>
      </c>
      <c r="CO112" s="210">
        <f t="shared" si="305"/>
        <v>0</v>
      </c>
      <c r="CP112" s="66">
        <f t="shared" si="305"/>
        <v>0</v>
      </c>
      <c r="CQ112" s="65">
        <f t="shared" si="284"/>
        <v>0</v>
      </c>
      <c r="CR112" s="210">
        <f t="shared" si="284"/>
        <v>0</v>
      </c>
      <c r="CS112" s="210">
        <f t="shared" si="284"/>
        <v>0</v>
      </c>
      <c r="CT112" s="210">
        <f t="shared" si="284"/>
        <v>0</v>
      </c>
      <c r="CU112" s="210">
        <f t="shared" si="284"/>
        <v>0</v>
      </c>
      <c r="CV112" s="210">
        <f t="shared" si="306"/>
        <v>0</v>
      </c>
      <c r="CW112" s="210">
        <f t="shared" si="306"/>
        <v>0</v>
      </c>
      <c r="CX112" s="65">
        <f t="shared" si="312"/>
        <v>0</v>
      </c>
      <c r="CY112" s="210">
        <f t="shared" ref="CY112:DD114" si="315">(0)/157.5</f>
        <v>0</v>
      </c>
      <c r="CZ112" s="210">
        <f t="shared" si="315"/>
        <v>0</v>
      </c>
      <c r="DA112" s="210">
        <f t="shared" si="315"/>
        <v>0</v>
      </c>
      <c r="DB112" s="210">
        <f t="shared" si="315"/>
        <v>0</v>
      </c>
      <c r="DC112" s="210">
        <f>(4)/157.5</f>
        <v>2.5396825396825397E-2</v>
      </c>
      <c r="DD112" s="209">
        <f>(6)/157.5</f>
        <v>3.8095238095238099E-2</v>
      </c>
      <c r="DE112" s="65">
        <f>(1+2+0.5+1.5)/127.5</f>
        <v>3.9215686274509803E-2</v>
      </c>
      <c r="DF112" s="210">
        <f>(1.5+1.5)/127.5</f>
        <v>2.3529411764705882E-2</v>
      </c>
      <c r="DG112" s="210">
        <f t="shared" si="313"/>
        <v>0</v>
      </c>
      <c r="DH112" s="210">
        <f t="shared" si="313"/>
        <v>0</v>
      </c>
      <c r="DI112" s="210">
        <f t="shared" si="313"/>
        <v>0</v>
      </c>
      <c r="DJ112" s="210">
        <f>(9+8.5)/127.5</f>
        <v>0.13725490196078433</v>
      </c>
      <c r="DK112" s="210">
        <f>(6+5.5+4+1)/127.5</f>
        <v>0.12941176470588237</v>
      </c>
      <c r="DL112" s="65">
        <f t="shared" si="281"/>
        <v>0</v>
      </c>
      <c r="DM112" s="210">
        <f t="shared" si="281"/>
        <v>0</v>
      </c>
      <c r="DN112" s="210">
        <f t="shared" si="281"/>
        <v>0</v>
      </c>
      <c r="DO112" s="210">
        <f t="shared" si="281"/>
        <v>0</v>
      </c>
      <c r="DP112" s="210">
        <f t="shared" si="281"/>
        <v>0</v>
      </c>
      <c r="DQ112" s="210">
        <f t="shared" si="307"/>
        <v>0</v>
      </c>
      <c r="DR112" s="210">
        <f t="shared" si="307"/>
        <v>0</v>
      </c>
      <c r="DS112" s="210">
        <f t="shared" si="307"/>
        <v>0</v>
      </c>
    </row>
    <row r="113" spans="1:124" s="201" customFormat="1" ht="26.25" customHeight="1" x14ac:dyDescent="0.4">
      <c r="A113" s="347">
        <v>54</v>
      </c>
      <c r="B113" s="347" t="s">
        <v>46</v>
      </c>
      <c r="C113" s="347" t="s">
        <v>14</v>
      </c>
      <c r="D113" s="349" t="s">
        <v>384</v>
      </c>
      <c r="E113" s="349" t="s">
        <v>899</v>
      </c>
      <c r="F113" s="349"/>
      <c r="G113" s="563" t="s">
        <v>901</v>
      </c>
      <c r="H113" s="449">
        <f t="shared" ref="H113" si="316">SUM(DE113:DK113)</f>
        <v>0.3529411764705882</v>
      </c>
      <c r="I113" s="449">
        <f t="shared" ref="I113" si="317">SUM(DE114:DK114)</f>
        <v>0.46666666666666667</v>
      </c>
      <c r="J113" s="447"/>
      <c r="K113" s="445"/>
      <c r="L113" s="445"/>
      <c r="M113" s="428"/>
      <c r="N113" s="21" t="s">
        <v>24</v>
      </c>
      <c r="O113" s="190">
        <f t="shared" si="294"/>
        <v>0</v>
      </c>
      <c r="P113" s="190">
        <f t="shared" si="294"/>
        <v>0</v>
      </c>
      <c r="Q113" s="190">
        <f t="shared" si="294"/>
        <v>0</v>
      </c>
      <c r="R113" s="190">
        <f t="shared" si="294"/>
        <v>0</v>
      </c>
      <c r="S113" s="190">
        <f t="shared" si="294"/>
        <v>0</v>
      </c>
      <c r="T113" s="190">
        <f t="shared" si="294"/>
        <v>0</v>
      </c>
      <c r="U113" s="190">
        <f t="shared" si="294"/>
        <v>0</v>
      </c>
      <c r="V113" s="190">
        <f t="shared" si="295"/>
        <v>0</v>
      </c>
      <c r="W113" s="190">
        <f t="shared" si="294"/>
        <v>0</v>
      </c>
      <c r="X113" s="86">
        <f t="shared" si="294"/>
        <v>0</v>
      </c>
      <c r="Y113" s="190">
        <f t="shared" si="296"/>
        <v>0</v>
      </c>
      <c r="Z113" s="190">
        <f t="shared" si="296"/>
        <v>0</v>
      </c>
      <c r="AA113" s="190">
        <f t="shared" si="296"/>
        <v>0</v>
      </c>
      <c r="AB113" s="190">
        <f t="shared" si="296"/>
        <v>0</v>
      </c>
      <c r="AC113" s="190">
        <f t="shared" si="296"/>
        <v>0</v>
      </c>
      <c r="AD113" s="190">
        <f t="shared" si="296"/>
        <v>0</v>
      </c>
      <c r="AE113" s="190">
        <f t="shared" si="297"/>
        <v>0</v>
      </c>
      <c r="AF113" s="190"/>
      <c r="AG113" s="190">
        <f t="shared" si="297"/>
        <v>0</v>
      </c>
      <c r="AH113" s="190">
        <f t="shared" si="297"/>
        <v>0</v>
      </c>
      <c r="AI113" s="77">
        <f t="shared" si="297"/>
        <v>0</v>
      </c>
      <c r="AJ113" s="190">
        <f t="shared" si="297"/>
        <v>0</v>
      </c>
      <c r="AK113" s="190">
        <f t="shared" si="297"/>
        <v>0</v>
      </c>
      <c r="AL113" s="190">
        <f t="shared" si="297"/>
        <v>0</v>
      </c>
      <c r="AM113" s="190">
        <f t="shared" si="297"/>
        <v>0</v>
      </c>
      <c r="AN113" s="190">
        <f t="shared" si="270"/>
        <v>0</v>
      </c>
      <c r="AO113" s="190">
        <f t="shared" si="270"/>
        <v>0</v>
      </c>
      <c r="AP113" s="190">
        <f t="shared" si="297"/>
        <v>0</v>
      </c>
      <c r="AQ113" s="190">
        <f t="shared" si="297"/>
        <v>0</v>
      </c>
      <c r="AR113" s="225">
        <f t="shared" si="297"/>
        <v>0</v>
      </c>
      <c r="AS113" s="23">
        <f t="shared" si="298"/>
        <v>0</v>
      </c>
      <c r="AT113" s="190">
        <f t="shared" si="298"/>
        <v>0</v>
      </c>
      <c r="AU113" s="190">
        <f t="shared" si="298"/>
        <v>0</v>
      </c>
      <c r="AV113" s="190">
        <f t="shared" si="298"/>
        <v>0</v>
      </c>
      <c r="AW113" s="190">
        <f t="shared" si="298"/>
        <v>0</v>
      </c>
      <c r="AX113" s="190">
        <f t="shared" si="299"/>
        <v>0</v>
      </c>
      <c r="AY113" s="190">
        <f t="shared" si="299"/>
        <v>0</v>
      </c>
      <c r="AZ113" s="190">
        <f t="shared" si="299"/>
        <v>0</v>
      </c>
      <c r="BA113" s="190">
        <f t="shared" si="299"/>
        <v>0</v>
      </c>
      <c r="BB113" s="225">
        <f t="shared" si="299"/>
        <v>0</v>
      </c>
      <c r="BC113" s="77">
        <f t="shared" si="300"/>
        <v>0</v>
      </c>
      <c r="BD113" s="190">
        <f t="shared" si="300"/>
        <v>0</v>
      </c>
      <c r="BE113" s="190">
        <f t="shared" si="300"/>
        <v>0</v>
      </c>
      <c r="BF113" s="190">
        <f t="shared" si="300"/>
        <v>0</v>
      </c>
      <c r="BG113" s="190">
        <f t="shared" si="300"/>
        <v>0</v>
      </c>
      <c r="BH113" s="190">
        <f t="shared" si="300"/>
        <v>0</v>
      </c>
      <c r="BI113" s="190">
        <f t="shared" si="300"/>
        <v>0</v>
      </c>
      <c r="BJ113" s="190">
        <f t="shared" si="301"/>
        <v>0</v>
      </c>
      <c r="BK113" s="190">
        <f t="shared" si="301"/>
        <v>0</v>
      </c>
      <c r="BL113" s="190">
        <f t="shared" si="301"/>
        <v>0</v>
      </c>
      <c r="BM113" s="77">
        <f t="shared" si="302"/>
        <v>0</v>
      </c>
      <c r="BN113" s="190">
        <f t="shared" si="302"/>
        <v>0</v>
      </c>
      <c r="BO113" s="190">
        <f t="shared" si="302"/>
        <v>0</v>
      </c>
      <c r="BP113" s="190">
        <f t="shared" si="302"/>
        <v>0</v>
      </c>
      <c r="BQ113" s="190">
        <f t="shared" si="302"/>
        <v>0</v>
      </c>
      <c r="BR113" s="190">
        <f t="shared" si="302"/>
        <v>0</v>
      </c>
      <c r="BS113" s="190">
        <f t="shared" si="302"/>
        <v>0</v>
      </c>
      <c r="BT113" s="190"/>
      <c r="BU113" s="190"/>
      <c r="BV113" s="190">
        <f t="shared" si="302"/>
        <v>0</v>
      </c>
      <c r="BW113" s="23">
        <f t="shared" si="303"/>
        <v>0</v>
      </c>
      <c r="BX113" s="190">
        <f t="shared" si="303"/>
        <v>0</v>
      </c>
      <c r="BY113" s="190">
        <f t="shared" si="303"/>
        <v>0</v>
      </c>
      <c r="BZ113" s="190">
        <f t="shared" si="303"/>
        <v>0</v>
      </c>
      <c r="CA113" s="190">
        <f t="shared" si="303"/>
        <v>0</v>
      </c>
      <c r="CB113" s="190">
        <f t="shared" si="304"/>
        <v>0</v>
      </c>
      <c r="CC113" s="190">
        <f t="shared" si="304"/>
        <v>0</v>
      </c>
      <c r="CD113" s="190">
        <f t="shared" si="304"/>
        <v>0</v>
      </c>
      <c r="CE113" s="190">
        <f t="shared" si="304"/>
        <v>0</v>
      </c>
      <c r="CF113" s="190">
        <f t="shared" si="304"/>
        <v>0</v>
      </c>
      <c r="CG113" s="23">
        <f t="shared" ref="CG113:CK128" si="318">0/142.5</f>
        <v>0</v>
      </c>
      <c r="CH113" s="190">
        <f t="shared" si="318"/>
        <v>0</v>
      </c>
      <c r="CI113" s="190">
        <f t="shared" si="318"/>
        <v>0</v>
      </c>
      <c r="CJ113" s="190">
        <f t="shared" si="318"/>
        <v>0</v>
      </c>
      <c r="CK113" s="190">
        <f t="shared" si="318"/>
        <v>0</v>
      </c>
      <c r="CL113" s="190">
        <f t="shared" si="305"/>
        <v>0</v>
      </c>
      <c r="CM113" s="190">
        <f t="shared" si="305"/>
        <v>0</v>
      </c>
      <c r="CN113" s="190">
        <f t="shared" si="305"/>
        <v>0</v>
      </c>
      <c r="CO113" s="190">
        <f t="shared" si="305"/>
        <v>0</v>
      </c>
      <c r="CP113" s="21">
        <f t="shared" si="305"/>
        <v>0</v>
      </c>
      <c r="CQ113" s="23">
        <f t="shared" si="284"/>
        <v>0</v>
      </c>
      <c r="CR113" s="190">
        <f t="shared" si="284"/>
        <v>0</v>
      </c>
      <c r="CS113" s="190">
        <f t="shared" si="284"/>
        <v>0</v>
      </c>
      <c r="CT113" s="190">
        <f t="shared" si="284"/>
        <v>0</v>
      </c>
      <c r="CU113" s="190">
        <f t="shared" si="284"/>
        <v>0</v>
      </c>
      <c r="CV113" s="190">
        <f t="shared" si="306"/>
        <v>0</v>
      </c>
      <c r="CW113" s="190">
        <f t="shared" si="306"/>
        <v>0</v>
      </c>
      <c r="CX113" s="77">
        <f t="shared" si="312"/>
        <v>0</v>
      </c>
      <c r="CY113" s="190">
        <f t="shared" si="315"/>
        <v>0</v>
      </c>
      <c r="CZ113" s="190">
        <f t="shared" si="315"/>
        <v>0</v>
      </c>
      <c r="DA113" s="190">
        <f t="shared" si="315"/>
        <v>0</v>
      </c>
      <c r="DB113" s="190">
        <f t="shared" si="315"/>
        <v>0</v>
      </c>
      <c r="DC113" s="190">
        <f t="shared" si="315"/>
        <v>0</v>
      </c>
      <c r="DD113" s="190">
        <f t="shared" si="315"/>
        <v>0</v>
      </c>
      <c r="DE113" s="23">
        <f>(5)/127.5</f>
        <v>3.9215686274509803E-2</v>
      </c>
      <c r="DF113" s="190">
        <f>(20)/127.5</f>
        <v>0.15686274509803921</v>
      </c>
      <c r="DG113" s="190">
        <f t="shared" si="313"/>
        <v>0</v>
      </c>
      <c r="DH113" s="190">
        <f t="shared" si="313"/>
        <v>0</v>
      </c>
      <c r="DI113" s="190">
        <f t="shared" si="313"/>
        <v>0</v>
      </c>
      <c r="DJ113" s="190">
        <f>(20)/127.5</f>
        <v>0.15686274509803921</v>
      </c>
      <c r="DK113" s="190">
        <f t="shared" si="313"/>
        <v>0</v>
      </c>
      <c r="DL113" s="23">
        <f t="shared" ref="DL113:DP128" si="319">0/142.5</f>
        <v>0</v>
      </c>
      <c r="DM113" s="190">
        <f t="shared" si="319"/>
        <v>0</v>
      </c>
      <c r="DN113" s="190">
        <f t="shared" si="319"/>
        <v>0</v>
      </c>
      <c r="DO113" s="190">
        <f t="shared" si="319"/>
        <v>0</v>
      </c>
      <c r="DP113" s="190">
        <f t="shared" si="319"/>
        <v>0</v>
      </c>
      <c r="DQ113" s="190">
        <f t="shared" si="307"/>
        <v>0</v>
      </c>
      <c r="DR113" s="190">
        <f t="shared" si="307"/>
        <v>0</v>
      </c>
      <c r="DS113" s="190">
        <f t="shared" si="307"/>
        <v>0</v>
      </c>
    </row>
    <row r="114" spans="1:124" s="201" customFormat="1" ht="26.25" customHeight="1" x14ac:dyDescent="0.4">
      <c r="A114" s="348"/>
      <c r="B114" s="348"/>
      <c r="C114" s="348"/>
      <c r="D114" s="350"/>
      <c r="E114" s="350"/>
      <c r="F114" s="350"/>
      <c r="G114" s="565"/>
      <c r="H114" s="450"/>
      <c r="I114" s="450"/>
      <c r="J114" s="448"/>
      <c r="K114" s="446"/>
      <c r="L114" s="446"/>
      <c r="M114" s="429"/>
      <c r="N114" s="209" t="s">
        <v>25</v>
      </c>
      <c r="O114" s="209">
        <f t="shared" si="294"/>
        <v>0</v>
      </c>
      <c r="P114" s="209">
        <f t="shared" si="294"/>
        <v>0</v>
      </c>
      <c r="Q114" s="209">
        <f t="shared" si="294"/>
        <v>0</v>
      </c>
      <c r="R114" s="209">
        <f t="shared" si="294"/>
        <v>0</v>
      </c>
      <c r="S114" s="209">
        <f t="shared" si="294"/>
        <v>0</v>
      </c>
      <c r="T114" s="209">
        <f t="shared" si="294"/>
        <v>0</v>
      </c>
      <c r="U114" s="209">
        <f t="shared" si="294"/>
        <v>0</v>
      </c>
      <c r="V114" s="209">
        <f t="shared" si="295"/>
        <v>0</v>
      </c>
      <c r="W114" s="209">
        <f t="shared" si="294"/>
        <v>0</v>
      </c>
      <c r="X114" s="53">
        <f t="shared" si="294"/>
        <v>0</v>
      </c>
      <c r="Y114" s="209">
        <f t="shared" si="296"/>
        <v>0</v>
      </c>
      <c r="Z114" s="209">
        <f t="shared" si="296"/>
        <v>0</v>
      </c>
      <c r="AA114" s="209">
        <f t="shared" si="296"/>
        <v>0</v>
      </c>
      <c r="AB114" s="209">
        <f t="shared" si="296"/>
        <v>0</v>
      </c>
      <c r="AC114" s="209">
        <f t="shared" si="296"/>
        <v>0</v>
      </c>
      <c r="AD114" s="209">
        <f t="shared" si="296"/>
        <v>0</v>
      </c>
      <c r="AE114" s="209">
        <f t="shared" si="297"/>
        <v>0</v>
      </c>
      <c r="AF114" s="209"/>
      <c r="AG114" s="209">
        <f t="shared" si="297"/>
        <v>0</v>
      </c>
      <c r="AH114" s="209">
        <f t="shared" si="297"/>
        <v>0</v>
      </c>
      <c r="AI114" s="58">
        <f t="shared" si="297"/>
        <v>0</v>
      </c>
      <c r="AJ114" s="209">
        <f t="shared" si="297"/>
        <v>0</v>
      </c>
      <c r="AK114" s="209">
        <f t="shared" si="297"/>
        <v>0</v>
      </c>
      <c r="AL114" s="209">
        <f t="shared" si="297"/>
        <v>0</v>
      </c>
      <c r="AM114" s="209">
        <f t="shared" si="297"/>
        <v>0</v>
      </c>
      <c r="AN114" s="209">
        <f t="shared" si="270"/>
        <v>0</v>
      </c>
      <c r="AO114" s="209">
        <f t="shared" si="270"/>
        <v>0</v>
      </c>
      <c r="AP114" s="209">
        <f t="shared" si="297"/>
        <v>0</v>
      </c>
      <c r="AQ114" s="209">
        <f t="shared" si="297"/>
        <v>0</v>
      </c>
      <c r="AR114" s="53">
        <f t="shared" si="297"/>
        <v>0</v>
      </c>
      <c r="AS114" s="65">
        <f t="shared" si="298"/>
        <v>0</v>
      </c>
      <c r="AT114" s="210">
        <f t="shared" si="298"/>
        <v>0</v>
      </c>
      <c r="AU114" s="210">
        <f t="shared" si="298"/>
        <v>0</v>
      </c>
      <c r="AV114" s="210">
        <f t="shared" si="298"/>
        <v>0</v>
      </c>
      <c r="AW114" s="280">
        <f t="shared" si="298"/>
        <v>0</v>
      </c>
      <c r="AX114" s="210">
        <f t="shared" si="299"/>
        <v>0</v>
      </c>
      <c r="AY114" s="210">
        <f t="shared" si="299"/>
        <v>0</v>
      </c>
      <c r="AZ114" s="210">
        <f t="shared" si="299"/>
        <v>0</v>
      </c>
      <c r="BA114" s="210">
        <f t="shared" si="299"/>
        <v>0</v>
      </c>
      <c r="BB114" s="53">
        <f t="shared" si="299"/>
        <v>0</v>
      </c>
      <c r="BC114" s="58">
        <f t="shared" si="300"/>
        <v>0</v>
      </c>
      <c r="BD114" s="209">
        <f t="shared" si="300"/>
        <v>0</v>
      </c>
      <c r="BE114" s="209">
        <f t="shared" si="300"/>
        <v>0</v>
      </c>
      <c r="BF114" s="209">
        <f t="shared" si="300"/>
        <v>0</v>
      </c>
      <c r="BG114" s="209">
        <f t="shared" si="300"/>
        <v>0</v>
      </c>
      <c r="BH114" s="209">
        <f t="shared" si="300"/>
        <v>0</v>
      </c>
      <c r="BI114" s="209">
        <f t="shared" si="300"/>
        <v>0</v>
      </c>
      <c r="BJ114" s="209">
        <f t="shared" si="301"/>
        <v>0</v>
      </c>
      <c r="BK114" s="209">
        <f t="shared" si="301"/>
        <v>0</v>
      </c>
      <c r="BL114" s="209">
        <f t="shared" si="301"/>
        <v>0</v>
      </c>
      <c r="BM114" s="58">
        <f t="shared" si="302"/>
        <v>0</v>
      </c>
      <c r="BN114" s="209">
        <f t="shared" si="302"/>
        <v>0</v>
      </c>
      <c r="BO114" s="209">
        <f t="shared" si="302"/>
        <v>0</v>
      </c>
      <c r="BP114" s="209">
        <f t="shared" si="302"/>
        <v>0</v>
      </c>
      <c r="BQ114" s="209">
        <f t="shared" si="302"/>
        <v>0</v>
      </c>
      <c r="BR114" s="209">
        <f t="shared" si="302"/>
        <v>0</v>
      </c>
      <c r="BS114" s="209">
        <f t="shared" si="302"/>
        <v>0</v>
      </c>
      <c r="BT114" s="209"/>
      <c r="BU114" s="209"/>
      <c r="BV114" s="209">
        <f t="shared" si="302"/>
        <v>0</v>
      </c>
      <c r="BW114" s="65">
        <f t="shared" si="303"/>
        <v>0</v>
      </c>
      <c r="BX114" s="209">
        <f t="shared" si="303"/>
        <v>0</v>
      </c>
      <c r="BY114" s="209">
        <f t="shared" si="303"/>
        <v>0</v>
      </c>
      <c r="BZ114" s="209">
        <f t="shared" si="303"/>
        <v>0</v>
      </c>
      <c r="CA114" s="209">
        <f t="shared" si="303"/>
        <v>0</v>
      </c>
      <c r="CB114" s="209">
        <f t="shared" si="304"/>
        <v>0</v>
      </c>
      <c r="CC114" s="209">
        <f t="shared" si="304"/>
        <v>0</v>
      </c>
      <c r="CD114" s="209">
        <f t="shared" si="304"/>
        <v>0</v>
      </c>
      <c r="CE114" s="209">
        <f t="shared" si="304"/>
        <v>0</v>
      </c>
      <c r="CF114" s="209">
        <f t="shared" si="304"/>
        <v>0</v>
      </c>
      <c r="CG114" s="65">
        <f t="shared" si="318"/>
        <v>0</v>
      </c>
      <c r="CH114" s="210">
        <f t="shared" si="318"/>
        <v>0</v>
      </c>
      <c r="CI114" s="210">
        <f t="shared" si="318"/>
        <v>0</v>
      </c>
      <c r="CJ114" s="210">
        <f t="shared" si="318"/>
        <v>0</v>
      </c>
      <c r="CK114" s="210">
        <f t="shared" si="318"/>
        <v>0</v>
      </c>
      <c r="CL114" s="210">
        <f t="shared" si="305"/>
        <v>0</v>
      </c>
      <c r="CM114" s="210">
        <f t="shared" si="305"/>
        <v>0</v>
      </c>
      <c r="CN114" s="210">
        <f t="shared" si="305"/>
        <v>0</v>
      </c>
      <c r="CO114" s="210">
        <f t="shared" si="305"/>
        <v>0</v>
      </c>
      <c r="CP114" s="66">
        <f t="shared" si="305"/>
        <v>0</v>
      </c>
      <c r="CQ114" s="65">
        <f t="shared" si="284"/>
        <v>0</v>
      </c>
      <c r="CR114" s="210">
        <f t="shared" si="284"/>
        <v>0</v>
      </c>
      <c r="CS114" s="210">
        <f t="shared" si="284"/>
        <v>0</v>
      </c>
      <c r="CT114" s="210">
        <f t="shared" si="284"/>
        <v>0</v>
      </c>
      <c r="CU114" s="210">
        <f t="shared" si="284"/>
        <v>0</v>
      </c>
      <c r="CV114" s="210">
        <f t="shared" si="306"/>
        <v>0</v>
      </c>
      <c r="CW114" s="210">
        <f t="shared" si="306"/>
        <v>0</v>
      </c>
      <c r="CX114" s="65">
        <f t="shared" si="312"/>
        <v>0</v>
      </c>
      <c r="CY114" s="210">
        <f t="shared" si="315"/>
        <v>0</v>
      </c>
      <c r="CZ114" s="210">
        <f t="shared" si="315"/>
        <v>0</v>
      </c>
      <c r="DA114" s="210">
        <f t="shared" si="315"/>
        <v>0</v>
      </c>
      <c r="DB114" s="210">
        <f t="shared" si="315"/>
        <v>0</v>
      </c>
      <c r="DC114" s="210">
        <f t="shared" si="315"/>
        <v>0</v>
      </c>
      <c r="DD114" s="209">
        <f t="shared" si="315"/>
        <v>0</v>
      </c>
      <c r="DE114" s="65">
        <f>(1+0.5+1+2.5)/127.5</f>
        <v>3.9215686274509803E-2</v>
      </c>
      <c r="DF114" s="210">
        <f>(2+14+2.5+4.5)/127.5</f>
        <v>0.1803921568627451</v>
      </c>
      <c r="DG114" s="210">
        <f t="shared" si="313"/>
        <v>0</v>
      </c>
      <c r="DH114" s="210">
        <f>(0+2.5+1)/127.5</f>
        <v>2.7450980392156862E-2</v>
      </c>
      <c r="DI114" s="210">
        <f t="shared" si="313"/>
        <v>0</v>
      </c>
      <c r="DJ114" s="210">
        <f>(0+17+11)/127.5</f>
        <v>0.2196078431372549</v>
      </c>
      <c r="DK114" s="210">
        <f t="shared" si="313"/>
        <v>0</v>
      </c>
      <c r="DL114" s="65">
        <f t="shared" si="319"/>
        <v>0</v>
      </c>
      <c r="DM114" s="210">
        <f t="shared" si="319"/>
        <v>0</v>
      </c>
      <c r="DN114" s="210">
        <f t="shared" si="319"/>
        <v>0</v>
      </c>
      <c r="DO114" s="210">
        <f t="shared" si="319"/>
        <v>0</v>
      </c>
      <c r="DP114" s="210">
        <f t="shared" si="319"/>
        <v>0</v>
      </c>
      <c r="DQ114" s="210">
        <f t="shared" si="307"/>
        <v>0</v>
      </c>
      <c r="DR114" s="210">
        <f t="shared" si="307"/>
        <v>0</v>
      </c>
      <c r="DS114" s="210">
        <f t="shared" si="307"/>
        <v>0</v>
      </c>
    </row>
    <row r="115" spans="1:124" s="201" customFormat="1" ht="26.25" customHeight="1" x14ac:dyDescent="0.4">
      <c r="A115" s="347">
        <v>55</v>
      </c>
      <c r="B115" s="347" t="s">
        <v>46</v>
      </c>
      <c r="C115" s="347" t="s">
        <v>347</v>
      </c>
      <c r="D115" s="349" t="s">
        <v>348</v>
      </c>
      <c r="E115" s="349" t="s">
        <v>908</v>
      </c>
      <c r="F115" s="349" t="s">
        <v>911</v>
      </c>
      <c r="G115" s="563" t="s">
        <v>910</v>
      </c>
      <c r="H115" s="449">
        <f t="shared" ref="H115" si="320">SUM(DE115:DK115)</f>
        <v>0.19607843137254902</v>
      </c>
      <c r="I115" s="449">
        <f t="shared" ref="I115" si="321">SUM(DE116:DK116)</f>
        <v>0.43529411764705883</v>
      </c>
      <c r="J115" s="447"/>
      <c r="K115" s="445"/>
      <c r="L115" s="445"/>
      <c r="M115" s="463"/>
      <c r="N115" s="21" t="s">
        <v>24</v>
      </c>
      <c r="O115" s="190">
        <f t="shared" si="294"/>
        <v>0</v>
      </c>
      <c r="P115" s="190">
        <f t="shared" si="294"/>
        <v>0</v>
      </c>
      <c r="Q115" s="190">
        <f t="shared" si="294"/>
        <v>0</v>
      </c>
      <c r="R115" s="190">
        <f t="shared" si="294"/>
        <v>0</v>
      </c>
      <c r="S115" s="190">
        <f t="shared" si="294"/>
        <v>0</v>
      </c>
      <c r="T115" s="190">
        <f t="shared" si="294"/>
        <v>0</v>
      </c>
      <c r="U115" s="190">
        <f t="shared" si="294"/>
        <v>0</v>
      </c>
      <c r="V115" s="190">
        <f t="shared" si="295"/>
        <v>0</v>
      </c>
      <c r="W115" s="190">
        <f t="shared" si="294"/>
        <v>0</v>
      </c>
      <c r="X115" s="86">
        <f t="shared" si="294"/>
        <v>0</v>
      </c>
      <c r="Y115" s="190">
        <f t="shared" si="296"/>
        <v>0</v>
      </c>
      <c r="Z115" s="190">
        <f t="shared" si="296"/>
        <v>0</v>
      </c>
      <c r="AA115" s="190">
        <f t="shared" si="296"/>
        <v>0</v>
      </c>
      <c r="AB115" s="190">
        <f t="shared" si="296"/>
        <v>0</v>
      </c>
      <c r="AC115" s="190">
        <f t="shared" si="296"/>
        <v>0</v>
      </c>
      <c r="AD115" s="190">
        <f t="shared" si="296"/>
        <v>0</v>
      </c>
      <c r="AE115" s="190">
        <f t="shared" si="297"/>
        <v>0</v>
      </c>
      <c r="AF115" s="190"/>
      <c r="AG115" s="190">
        <f t="shared" si="297"/>
        <v>0</v>
      </c>
      <c r="AH115" s="190">
        <f t="shared" si="297"/>
        <v>0</v>
      </c>
      <c r="AI115" s="77">
        <f t="shared" si="297"/>
        <v>0</v>
      </c>
      <c r="AJ115" s="190">
        <f t="shared" si="297"/>
        <v>0</v>
      </c>
      <c r="AK115" s="190">
        <f t="shared" si="297"/>
        <v>0</v>
      </c>
      <c r="AL115" s="190">
        <f t="shared" si="297"/>
        <v>0</v>
      </c>
      <c r="AM115" s="190">
        <f t="shared" si="297"/>
        <v>0</v>
      </c>
      <c r="AN115" s="190">
        <f t="shared" si="270"/>
        <v>0</v>
      </c>
      <c r="AO115" s="190">
        <f t="shared" si="270"/>
        <v>0</v>
      </c>
      <c r="AP115" s="190">
        <f t="shared" si="297"/>
        <v>0</v>
      </c>
      <c r="AQ115" s="190">
        <f t="shared" si="297"/>
        <v>0</v>
      </c>
      <c r="AR115" s="225">
        <f t="shared" si="297"/>
        <v>0</v>
      </c>
      <c r="AS115" s="23">
        <f t="shared" si="298"/>
        <v>0</v>
      </c>
      <c r="AT115" s="190">
        <f t="shared" si="298"/>
        <v>0</v>
      </c>
      <c r="AU115" s="190">
        <f t="shared" si="298"/>
        <v>0</v>
      </c>
      <c r="AV115" s="190">
        <f t="shared" si="298"/>
        <v>0</v>
      </c>
      <c r="AW115" s="190">
        <f t="shared" si="298"/>
        <v>0</v>
      </c>
      <c r="AX115" s="190">
        <f t="shared" si="299"/>
        <v>0</v>
      </c>
      <c r="AY115" s="190">
        <f t="shared" si="299"/>
        <v>0</v>
      </c>
      <c r="AZ115" s="190">
        <f t="shared" si="299"/>
        <v>0</v>
      </c>
      <c r="BA115" s="190">
        <f t="shared" si="299"/>
        <v>0</v>
      </c>
      <c r="BB115" s="225">
        <f t="shared" si="299"/>
        <v>0</v>
      </c>
      <c r="BC115" s="77">
        <f t="shared" si="300"/>
        <v>0</v>
      </c>
      <c r="BD115" s="190">
        <f t="shared" si="300"/>
        <v>0</v>
      </c>
      <c r="BE115" s="190">
        <f t="shared" si="300"/>
        <v>0</v>
      </c>
      <c r="BF115" s="190">
        <f t="shared" si="300"/>
        <v>0</v>
      </c>
      <c r="BG115" s="190">
        <f t="shared" si="300"/>
        <v>0</v>
      </c>
      <c r="BH115" s="190">
        <f t="shared" si="300"/>
        <v>0</v>
      </c>
      <c r="BI115" s="190">
        <f t="shared" si="300"/>
        <v>0</v>
      </c>
      <c r="BJ115" s="190">
        <f t="shared" si="301"/>
        <v>0</v>
      </c>
      <c r="BK115" s="190">
        <f t="shared" si="301"/>
        <v>0</v>
      </c>
      <c r="BL115" s="190">
        <f t="shared" si="301"/>
        <v>0</v>
      </c>
      <c r="BM115" s="77">
        <f t="shared" si="302"/>
        <v>0</v>
      </c>
      <c r="BN115" s="190">
        <f t="shared" si="302"/>
        <v>0</v>
      </c>
      <c r="BO115" s="190">
        <f t="shared" si="302"/>
        <v>0</v>
      </c>
      <c r="BP115" s="190">
        <f t="shared" si="302"/>
        <v>0</v>
      </c>
      <c r="BQ115" s="190">
        <f t="shared" si="302"/>
        <v>0</v>
      </c>
      <c r="BR115" s="190">
        <f t="shared" si="302"/>
        <v>0</v>
      </c>
      <c r="BS115" s="190">
        <f t="shared" si="302"/>
        <v>0</v>
      </c>
      <c r="BT115" s="190"/>
      <c r="BU115" s="190"/>
      <c r="BV115" s="190">
        <f t="shared" si="302"/>
        <v>0</v>
      </c>
      <c r="BW115" s="23">
        <f t="shared" si="303"/>
        <v>0</v>
      </c>
      <c r="BX115" s="190">
        <f t="shared" si="303"/>
        <v>0</v>
      </c>
      <c r="BY115" s="190">
        <f t="shared" si="303"/>
        <v>0</v>
      </c>
      <c r="BZ115" s="190">
        <f t="shared" si="303"/>
        <v>0</v>
      </c>
      <c r="CA115" s="190">
        <f t="shared" si="303"/>
        <v>0</v>
      </c>
      <c r="CB115" s="190">
        <f t="shared" si="304"/>
        <v>0</v>
      </c>
      <c r="CC115" s="190">
        <f t="shared" si="304"/>
        <v>0</v>
      </c>
      <c r="CD115" s="190">
        <f t="shared" si="304"/>
        <v>0</v>
      </c>
      <c r="CE115" s="190">
        <f t="shared" si="304"/>
        <v>0</v>
      </c>
      <c r="CF115" s="190">
        <f t="shared" si="304"/>
        <v>0</v>
      </c>
      <c r="CG115" s="23">
        <f t="shared" si="318"/>
        <v>0</v>
      </c>
      <c r="CH115" s="190">
        <f t="shared" si="318"/>
        <v>0</v>
      </c>
      <c r="CI115" s="190">
        <f t="shared" si="318"/>
        <v>0</v>
      </c>
      <c r="CJ115" s="190">
        <f t="shared" si="318"/>
        <v>0</v>
      </c>
      <c r="CK115" s="190">
        <f t="shared" si="318"/>
        <v>0</v>
      </c>
      <c r="CL115" s="190">
        <f t="shared" si="305"/>
        <v>0</v>
      </c>
      <c r="CM115" s="190">
        <f t="shared" si="305"/>
        <v>0</v>
      </c>
      <c r="CN115" s="190">
        <f t="shared" si="305"/>
        <v>0</v>
      </c>
      <c r="CO115" s="190">
        <f t="shared" si="305"/>
        <v>0</v>
      </c>
      <c r="CP115" s="21">
        <f t="shared" si="305"/>
        <v>0</v>
      </c>
      <c r="CQ115" s="23">
        <f t="shared" ref="CQ115:CU130" si="322">0/157.5</f>
        <v>0</v>
      </c>
      <c r="CR115" s="190">
        <f t="shared" si="322"/>
        <v>0</v>
      </c>
      <c r="CS115" s="190">
        <f t="shared" si="322"/>
        <v>0</v>
      </c>
      <c r="CT115" s="190">
        <f t="shared" si="322"/>
        <v>0</v>
      </c>
      <c r="CU115" s="190">
        <f t="shared" si="322"/>
        <v>0</v>
      </c>
      <c r="CV115" s="190">
        <f t="shared" si="306"/>
        <v>0</v>
      </c>
      <c r="CW115" s="190">
        <f t="shared" si="306"/>
        <v>0</v>
      </c>
      <c r="CX115" s="77">
        <f t="shared" ref="CX115:DB138" si="323">0/157.5</f>
        <v>0</v>
      </c>
      <c r="CY115" s="190">
        <f t="shared" si="323"/>
        <v>0</v>
      </c>
      <c r="CZ115" s="190">
        <f t="shared" si="323"/>
        <v>0</v>
      </c>
      <c r="DA115" s="190">
        <f t="shared" si="323"/>
        <v>0</v>
      </c>
      <c r="DB115" s="190">
        <f t="shared" si="323"/>
        <v>0</v>
      </c>
      <c r="DC115" s="190">
        <f t="shared" ref="DC115:DD138" si="324">0/172.5</f>
        <v>0</v>
      </c>
      <c r="DD115" s="190">
        <f t="shared" si="324"/>
        <v>0</v>
      </c>
      <c r="DE115" s="23">
        <f>(5)/127.5</f>
        <v>3.9215686274509803E-2</v>
      </c>
      <c r="DF115" s="190">
        <f t="shared" si="313"/>
        <v>0</v>
      </c>
      <c r="DG115" s="190">
        <f>(10)/127.5</f>
        <v>7.8431372549019607E-2</v>
      </c>
      <c r="DH115" s="190">
        <f t="shared" si="313"/>
        <v>0</v>
      </c>
      <c r="DI115" s="190">
        <f>(10)/127.5</f>
        <v>7.8431372549019607E-2</v>
      </c>
      <c r="DJ115" s="190">
        <f t="shared" si="313"/>
        <v>0</v>
      </c>
      <c r="DK115" s="190">
        <f t="shared" si="313"/>
        <v>0</v>
      </c>
      <c r="DL115" s="23">
        <f t="shared" si="319"/>
        <v>0</v>
      </c>
      <c r="DM115" s="190">
        <f t="shared" si="319"/>
        <v>0</v>
      </c>
      <c r="DN115" s="190">
        <f t="shared" si="319"/>
        <v>0</v>
      </c>
      <c r="DO115" s="190">
        <f t="shared" si="319"/>
        <v>0</v>
      </c>
      <c r="DP115" s="190">
        <f t="shared" si="319"/>
        <v>0</v>
      </c>
      <c r="DQ115" s="190">
        <f t="shared" si="307"/>
        <v>0</v>
      </c>
      <c r="DR115" s="190">
        <f t="shared" si="307"/>
        <v>0</v>
      </c>
      <c r="DS115" s="190">
        <f t="shared" si="307"/>
        <v>0</v>
      </c>
    </row>
    <row r="116" spans="1:124" s="201" customFormat="1" ht="26.25" customHeight="1" x14ac:dyDescent="0.4">
      <c r="A116" s="348"/>
      <c r="B116" s="348"/>
      <c r="C116" s="348"/>
      <c r="D116" s="350"/>
      <c r="E116" s="350"/>
      <c r="F116" s="350"/>
      <c r="G116" s="565"/>
      <c r="H116" s="450"/>
      <c r="I116" s="450"/>
      <c r="J116" s="448"/>
      <c r="K116" s="446"/>
      <c r="L116" s="446"/>
      <c r="M116" s="464"/>
      <c r="N116" s="209" t="s">
        <v>25</v>
      </c>
      <c r="O116" s="209">
        <f t="shared" si="294"/>
        <v>0</v>
      </c>
      <c r="P116" s="209">
        <f t="shared" si="294"/>
        <v>0</v>
      </c>
      <c r="Q116" s="209">
        <f t="shared" si="294"/>
        <v>0</v>
      </c>
      <c r="R116" s="209">
        <f t="shared" si="294"/>
        <v>0</v>
      </c>
      <c r="S116" s="209">
        <f t="shared" si="294"/>
        <v>0</v>
      </c>
      <c r="T116" s="209">
        <f t="shared" si="294"/>
        <v>0</v>
      </c>
      <c r="U116" s="209">
        <f t="shared" si="294"/>
        <v>0</v>
      </c>
      <c r="V116" s="209">
        <f t="shared" si="295"/>
        <v>0</v>
      </c>
      <c r="W116" s="209">
        <f t="shared" si="294"/>
        <v>0</v>
      </c>
      <c r="X116" s="53">
        <f t="shared" si="294"/>
        <v>0</v>
      </c>
      <c r="Y116" s="209">
        <f t="shared" si="296"/>
        <v>0</v>
      </c>
      <c r="Z116" s="209">
        <f t="shared" si="296"/>
        <v>0</v>
      </c>
      <c r="AA116" s="209">
        <f t="shared" si="296"/>
        <v>0</v>
      </c>
      <c r="AB116" s="209">
        <f t="shared" si="296"/>
        <v>0</v>
      </c>
      <c r="AC116" s="209">
        <f t="shared" si="296"/>
        <v>0</v>
      </c>
      <c r="AD116" s="209">
        <f t="shared" si="296"/>
        <v>0</v>
      </c>
      <c r="AE116" s="209">
        <f t="shared" si="297"/>
        <v>0</v>
      </c>
      <c r="AF116" s="209"/>
      <c r="AG116" s="209">
        <f t="shared" si="297"/>
        <v>0</v>
      </c>
      <c r="AH116" s="209">
        <f t="shared" si="297"/>
        <v>0</v>
      </c>
      <c r="AI116" s="58">
        <f t="shared" si="297"/>
        <v>0</v>
      </c>
      <c r="AJ116" s="209">
        <f t="shared" si="297"/>
        <v>0</v>
      </c>
      <c r="AK116" s="209">
        <f t="shared" si="297"/>
        <v>0</v>
      </c>
      <c r="AL116" s="209">
        <f t="shared" si="297"/>
        <v>0</v>
      </c>
      <c r="AM116" s="209">
        <f t="shared" si="297"/>
        <v>0</v>
      </c>
      <c r="AN116" s="209">
        <f t="shared" si="270"/>
        <v>0</v>
      </c>
      <c r="AO116" s="209">
        <f t="shared" si="270"/>
        <v>0</v>
      </c>
      <c r="AP116" s="209">
        <f t="shared" si="297"/>
        <v>0</v>
      </c>
      <c r="AQ116" s="209">
        <f t="shared" si="297"/>
        <v>0</v>
      </c>
      <c r="AR116" s="53">
        <f t="shared" si="297"/>
        <v>0</v>
      </c>
      <c r="AS116" s="65">
        <f t="shared" si="298"/>
        <v>0</v>
      </c>
      <c r="AT116" s="210">
        <f t="shared" si="298"/>
        <v>0</v>
      </c>
      <c r="AU116" s="210">
        <f t="shared" si="298"/>
        <v>0</v>
      </c>
      <c r="AV116" s="210">
        <f t="shared" si="298"/>
        <v>0</v>
      </c>
      <c r="AW116" s="280">
        <f t="shared" si="298"/>
        <v>0</v>
      </c>
      <c r="AX116" s="210">
        <f t="shared" si="299"/>
        <v>0</v>
      </c>
      <c r="AY116" s="210">
        <f t="shared" si="299"/>
        <v>0</v>
      </c>
      <c r="AZ116" s="210">
        <f t="shared" si="299"/>
        <v>0</v>
      </c>
      <c r="BA116" s="210">
        <f t="shared" si="299"/>
        <v>0</v>
      </c>
      <c r="BB116" s="53">
        <f t="shared" si="299"/>
        <v>0</v>
      </c>
      <c r="BC116" s="58">
        <f t="shared" si="300"/>
        <v>0</v>
      </c>
      <c r="BD116" s="209">
        <f t="shared" si="300"/>
        <v>0</v>
      </c>
      <c r="BE116" s="209">
        <f t="shared" si="300"/>
        <v>0</v>
      </c>
      <c r="BF116" s="209">
        <f t="shared" si="300"/>
        <v>0</v>
      </c>
      <c r="BG116" s="209">
        <f t="shared" si="300"/>
        <v>0</v>
      </c>
      <c r="BH116" s="209">
        <f t="shared" si="300"/>
        <v>0</v>
      </c>
      <c r="BI116" s="209">
        <f t="shared" si="300"/>
        <v>0</v>
      </c>
      <c r="BJ116" s="209">
        <f t="shared" si="301"/>
        <v>0</v>
      </c>
      <c r="BK116" s="209">
        <f t="shared" si="301"/>
        <v>0</v>
      </c>
      <c r="BL116" s="209">
        <f t="shared" si="301"/>
        <v>0</v>
      </c>
      <c r="BM116" s="58">
        <f t="shared" si="302"/>
        <v>0</v>
      </c>
      <c r="BN116" s="209">
        <f t="shared" si="302"/>
        <v>0</v>
      </c>
      <c r="BO116" s="209">
        <f t="shared" si="302"/>
        <v>0</v>
      </c>
      <c r="BP116" s="209">
        <f t="shared" si="302"/>
        <v>0</v>
      </c>
      <c r="BQ116" s="209">
        <f t="shared" si="302"/>
        <v>0</v>
      </c>
      <c r="BR116" s="209">
        <f t="shared" si="302"/>
        <v>0</v>
      </c>
      <c r="BS116" s="209">
        <f t="shared" si="302"/>
        <v>0</v>
      </c>
      <c r="BT116" s="209"/>
      <c r="BU116" s="209"/>
      <c r="BV116" s="209">
        <f t="shared" si="302"/>
        <v>0</v>
      </c>
      <c r="BW116" s="65">
        <f t="shared" si="303"/>
        <v>0</v>
      </c>
      <c r="BX116" s="209">
        <f t="shared" si="303"/>
        <v>0</v>
      </c>
      <c r="BY116" s="209">
        <f t="shared" si="303"/>
        <v>0</v>
      </c>
      <c r="BZ116" s="209">
        <f t="shared" si="303"/>
        <v>0</v>
      </c>
      <c r="CA116" s="209">
        <f t="shared" si="303"/>
        <v>0</v>
      </c>
      <c r="CB116" s="209">
        <f t="shared" si="304"/>
        <v>0</v>
      </c>
      <c r="CC116" s="209">
        <f t="shared" si="304"/>
        <v>0</v>
      </c>
      <c r="CD116" s="209">
        <f t="shared" si="304"/>
        <v>0</v>
      </c>
      <c r="CE116" s="209">
        <f t="shared" si="304"/>
        <v>0</v>
      </c>
      <c r="CF116" s="209">
        <f t="shared" si="304"/>
        <v>0</v>
      </c>
      <c r="CG116" s="65">
        <f t="shared" si="318"/>
        <v>0</v>
      </c>
      <c r="CH116" s="210">
        <f t="shared" si="318"/>
        <v>0</v>
      </c>
      <c r="CI116" s="210">
        <f t="shared" si="318"/>
        <v>0</v>
      </c>
      <c r="CJ116" s="210">
        <f t="shared" si="318"/>
        <v>0</v>
      </c>
      <c r="CK116" s="210">
        <f t="shared" si="318"/>
        <v>0</v>
      </c>
      <c r="CL116" s="210">
        <f t="shared" si="305"/>
        <v>0</v>
      </c>
      <c r="CM116" s="210">
        <f t="shared" si="305"/>
        <v>0</v>
      </c>
      <c r="CN116" s="210">
        <f t="shared" si="305"/>
        <v>0</v>
      </c>
      <c r="CO116" s="210">
        <f t="shared" si="305"/>
        <v>0</v>
      </c>
      <c r="CP116" s="66">
        <f t="shared" si="305"/>
        <v>0</v>
      </c>
      <c r="CQ116" s="65">
        <f t="shared" si="322"/>
        <v>0</v>
      </c>
      <c r="CR116" s="210">
        <f t="shared" si="322"/>
        <v>0</v>
      </c>
      <c r="CS116" s="210">
        <f t="shared" si="322"/>
        <v>0</v>
      </c>
      <c r="CT116" s="210">
        <f t="shared" si="322"/>
        <v>0</v>
      </c>
      <c r="CU116" s="210">
        <f t="shared" si="322"/>
        <v>0</v>
      </c>
      <c r="CV116" s="210">
        <f t="shared" si="306"/>
        <v>0</v>
      </c>
      <c r="CW116" s="210">
        <f t="shared" si="306"/>
        <v>0</v>
      </c>
      <c r="CX116" s="65">
        <f t="shared" si="323"/>
        <v>0</v>
      </c>
      <c r="CY116" s="210">
        <f t="shared" si="323"/>
        <v>0</v>
      </c>
      <c r="CZ116" s="210">
        <f t="shared" si="323"/>
        <v>0</v>
      </c>
      <c r="DA116" s="210">
        <f t="shared" si="323"/>
        <v>0</v>
      </c>
      <c r="DB116" s="210">
        <f t="shared" si="323"/>
        <v>0</v>
      </c>
      <c r="DC116" s="210">
        <f t="shared" si="324"/>
        <v>0</v>
      </c>
      <c r="DD116" s="209">
        <f t="shared" si="324"/>
        <v>0</v>
      </c>
      <c r="DE116" s="65">
        <f>(0+2.5+1+4)/127.5</f>
        <v>5.8823529411764705E-2</v>
      </c>
      <c r="DF116" s="210">
        <f t="shared" si="313"/>
        <v>0</v>
      </c>
      <c r="DG116" s="210">
        <f>(0+9+2.5+6.5)/127.5</f>
        <v>0.14117647058823529</v>
      </c>
      <c r="DH116" s="210">
        <f t="shared" si="313"/>
        <v>0</v>
      </c>
      <c r="DI116" s="210">
        <f>(0+4+3+14)/127.5</f>
        <v>0.16470588235294117</v>
      </c>
      <c r="DJ116" s="210">
        <f t="shared" si="313"/>
        <v>0</v>
      </c>
      <c r="DK116" s="210">
        <f>(0+9)/127.5</f>
        <v>7.0588235294117646E-2</v>
      </c>
      <c r="DL116" s="65">
        <f t="shared" si="319"/>
        <v>0</v>
      </c>
      <c r="DM116" s="210">
        <f t="shared" si="319"/>
        <v>0</v>
      </c>
      <c r="DN116" s="210">
        <f t="shared" si="319"/>
        <v>0</v>
      </c>
      <c r="DO116" s="210">
        <f t="shared" si="319"/>
        <v>0</v>
      </c>
      <c r="DP116" s="210">
        <f t="shared" si="319"/>
        <v>0</v>
      </c>
      <c r="DQ116" s="210">
        <f t="shared" si="307"/>
        <v>0</v>
      </c>
      <c r="DR116" s="210">
        <f t="shared" si="307"/>
        <v>0</v>
      </c>
      <c r="DS116" s="210">
        <f t="shared" si="307"/>
        <v>0</v>
      </c>
    </row>
    <row r="117" spans="1:124" s="201" customFormat="1" ht="26.25" customHeight="1" x14ac:dyDescent="0.4">
      <c r="A117" s="347">
        <v>56</v>
      </c>
      <c r="B117" s="347" t="s">
        <v>46</v>
      </c>
      <c r="C117" s="347" t="s">
        <v>14</v>
      </c>
      <c r="D117" s="349" t="s">
        <v>576</v>
      </c>
      <c r="E117" s="349" t="s">
        <v>917</v>
      </c>
      <c r="F117" s="349" t="s">
        <v>386</v>
      </c>
      <c r="G117" s="563" t="s">
        <v>918</v>
      </c>
      <c r="H117" s="449">
        <f t="shared" ref="H117" si="325">SUM(DE117:DK117)</f>
        <v>0</v>
      </c>
      <c r="I117" s="449">
        <f t="shared" ref="I117" si="326">SUM(DE118:DK118)</f>
        <v>0.13725490196078433</v>
      </c>
      <c r="J117" s="447"/>
      <c r="K117" s="445"/>
      <c r="L117" s="445"/>
      <c r="M117" s="428"/>
      <c r="N117" s="21" t="s">
        <v>24</v>
      </c>
      <c r="O117" s="190">
        <f t="shared" si="294"/>
        <v>0</v>
      </c>
      <c r="P117" s="190">
        <f t="shared" si="294"/>
        <v>0</v>
      </c>
      <c r="Q117" s="190">
        <f t="shared" si="294"/>
        <v>0</v>
      </c>
      <c r="R117" s="190">
        <f t="shared" si="294"/>
        <v>0</v>
      </c>
      <c r="S117" s="190">
        <f t="shared" si="294"/>
        <v>0</v>
      </c>
      <c r="T117" s="190">
        <f t="shared" si="294"/>
        <v>0</v>
      </c>
      <c r="U117" s="190">
        <f t="shared" si="294"/>
        <v>0</v>
      </c>
      <c r="V117" s="190">
        <f t="shared" si="295"/>
        <v>0</v>
      </c>
      <c r="W117" s="190">
        <f t="shared" si="294"/>
        <v>0</v>
      </c>
      <c r="X117" s="86">
        <f t="shared" si="294"/>
        <v>0</v>
      </c>
      <c r="Y117" s="190">
        <f t="shared" si="296"/>
        <v>0</v>
      </c>
      <c r="Z117" s="190">
        <f t="shared" si="296"/>
        <v>0</v>
      </c>
      <c r="AA117" s="190">
        <f t="shared" si="296"/>
        <v>0</v>
      </c>
      <c r="AB117" s="190">
        <f t="shared" si="296"/>
        <v>0</v>
      </c>
      <c r="AC117" s="190">
        <f t="shared" si="296"/>
        <v>0</v>
      </c>
      <c r="AD117" s="190">
        <f t="shared" si="296"/>
        <v>0</v>
      </c>
      <c r="AE117" s="190">
        <f t="shared" si="297"/>
        <v>0</v>
      </c>
      <c r="AF117" s="190"/>
      <c r="AG117" s="190">
        <f t="shared" si="297"/>
        <v>0</v>
      </c>
      <c r="AH117" s="190">
        <f t="shared" si="297"/>
        <v>0</v>
      </c>
      <c r="AI117" s="77">
        <f t="shared" si="297"/>
        <v>0</v>
      </c>
      <c r="AJ117" s="190">
        <f t="shared" si="297"/>
        <v>0</v>
      </c>
      <c r="AK117" s="190">
        <f t="shared" si="297"/>
        <v>0</v>
      </c>
      <c r="AL117" s="190">
        <f t="shared" si="297"/>
        <v>0</v>
      </c>
      <c r="AM117" s="190">
        <f t="shared" si="297"/>
        <v>0</v>
      </c>
      <c r="AN117" s="190">
        <f t="shared" si="270"/>
        <v>0</v>
      </c>
      <c r="AO117" s="190">
        <f t="shared" si="270"/>
        <v>0</v>
      </c>
      <c r="AP117" s="190">
        <f t="shared" si="297"/>
        <v>0</v>
      </c>
      <c r="AQ117" s="190">
        <f t="shared" si="297"/>
        <v>0</v>
      </c>
      <c r="AR117" s="225">
        <f t="shared" si="297"/>
        <v>0</v>
      </c>
      <c r="AS117" s="23">
        <f t="shared" si="298"/>
        <v>0</v>
      </c>
      <c r="AT117" s="190">
        <f t="shared" si="298"/>
        <v>0</v>
      </c>
      <c r="AU117" s="190">
        <f t="shared" si="298"/>
        <v>0</v>
      </c>
      <c r="AV117" s="190">
        <f t="shared" si="298"/>
        <v>0</v>
      </c>
      <c r="AW117" s="190">
        <f t="shared" si="298"/>
        <v>0</v>
      </c>
      <c r="AX117" s="190">
        <f t="shared" si="299"/>
        <v>0</v>
      </c>
      <c r="AY117" s="190">
        <f t="shared" si="299"/>
        <v>0</v>
      </c>
      <c r="AZ117" s="190">
        <f t="shared" si="299"/>
        <v>0</v>
      </c>
      <c r="BA117" s="190">
        <f t="shared" si="299"/>
        <v>0</v>
      </c>
      <c r="BB117" s="225">
        <f t="shared" si="299"/>
        <v>0</v>
      </c>
      <c r="BC117" s="77">
        <f t="shared" si="300"/>
        <v>0</v>
      </c>
      <c r="BD117" s="190">
        <f t="shared" si="300"/>
        <v>0</v>
      </c>
      <c r="BE117" s="190">
        <f t="shared" si="300"/>
        <v>0</v>
      </c>
      <c r="BF117" s="190">
        <f t="shared" si="300"/>
        <v>0</v>
      </c>
      <c r="BG117" s="190">
        <f t="shared" si="300"/>
        <v>0</v>
      </c>
      <c r="BH117" s="190">
        <f t="shared" si="300"/>
        <v>0</v>
      </c>
      <c r="BI117" s="190">
        <f t="shared" si="300"/>
        <v>0</v>
      </c>
      <c r="BJ117" s="190">
        <f t="shared" si="301"/>
        <v>0</v>
      </c>
      <c r="BK117" s="190">
        <f t="shared" si="301"/>
        <v>0</v>
      </c>
      <c r="BL117" s="190">
        <f t="shared" si="301"/>
        <v>0</v>
      </c>
      <c r="BM117" s="77">
        <f t="shared" si="302"/>
        <v>0</v>
      </c>
      <c r="BN117" s="190">
        <f t="shared" si="302"/>
        <v>0</v>
      </c>
      <c r="BO117" s="190">
        <f t="shared" si="302"/>
        <v>0</v>
      </c>
      <c r="BP117" s="190">
        <f t="shared" si="302"/>
        <v>0</v>
      </c>
      <c r="BQ117" s="190">
        <f t="shared" si="302"/>
        <v>0</v>
      </c>
      <c r="BR117" s="190">
        <f t="shared" si="302"/>
        <v>0</v>
      </c>
      <c r="BS117" s="190">
        <f t="shared" si="302"/>
        <v>0</v>
      </c>
      <c r="BT117" s="190"/>
      <c r="BU117" s="190"/>
      <c r="BV117" s="190">
        <f t="shared" si="302"/>
        <v>0</v>
      </c>
      <c r="BW117" s="23">
        <f t="shared" si="303"/>
        <v>0</v>
      </c>
      <c r="BX117" s="190">
        <f t="shared" si="303"/>
        <v>0</v>
      </c>
      <c r="BY117" s="190">
        <f t="shared" si="303"/>
        <v>0</v>
      </c>
      <c r="BZ117" s="190">
        <f t="shared" si="303"/>
        <v>0</v>
      </c>
      <c r="CA117" s="190">
        <f t="shared" si="303"/>
        <v>0</v>
      </c>
      <c r="CB117" s="190">
        <f t="shared" si="304"/>
        <v>0</v>
      </c>
      <c r="CC117" s="190">
        <f t="shared" si="304"/>
        <v>0</v>
      </c>
      <c r="CD117" s="190">
        <f t="shared" si="304"/>
        <v>0</v>
      </c>
      <c r="CE117" s="190">
        <f t="shared" si="304"/>
        <v>0</v>
      </c>
      <c r="CF117" s="190">
        <f t="shared" si="304"/>
        <v>0</v>
      </c>
      <c r="CG117" s="23">
        <f t="shared" si="318"/>
        <v>0</v>
      </c>
      <c r="CH117" s="190">
        <f t="shared" si="318"/>
        <v>0</v>
      </c>
      <c r="CI117" s="190">
        <f t="shared" si="318"/>
        <v>0</v>
      </c>
      <c r="CJ117" s="190">
        <f t="shared" si="318"/>
        <v>0</v>
      </c>
      <c r="CK117" s="190">
        <f t="shared" si="318"/>
        <v>0</v>
      </c>
      <c r="CL117" s="190">
        <f t="shared" si="305"/>
        <v>0</v>
      </c>
      <c r="CM117" s="190">
        <f t="shared" si="305"/>
        <v>0</v>
      </c>
      <c r="CN117" s="190">
        <f t="shared" si="305"/>
        <v>0</v>
      </c>
      <c r="CO117" s="190">
        <f t="shared" si="305"/>
        <v>0</v>
      </c>
      <c r="CP117" s="21">
        <f t="shared" si="305"/>
        <v>0</v>
      </c>
      <c r="CQ117" s="23">
        <f t="shared" si="322"/>
        <v>0</v>
      </c>
      <c r="CR117" s="190">
        <f t="shared" si="322"/>
        <v>0</v>
      </c>
      <c r="CS117" s="190">
        <f t="shared" si="322"/>
        <v>0</v>
      </c>
      <c r="CT117" s="190">
        <f t="shared" si="322"/>
        <v>0</v>
      </c>
      <c r="CU117" s="190">
        <f t="shared" si="322"/>
        <v>0</v>
      </c>
      <c r="CV117" s="190">
        <f t="shared" si="306"/>
        <v>0</v>
      </c>
      <c r="CW117" s="190">
        <f t="shared" si="306"/>
        <v>0</v>
      </c>
      <c r="CX117" s="77">
        <f t="shared" si="323"/>
        <v>0</v>
      </c>
      <c r="CY117" s="190">
        <f t="shared" si="323"/>
        <v>0</v>
      </c>
      <c r="CZ117" s="190">
        <f t="shared" si="323"/>
        <v>0</v>
      </c>
      <c r="DA117" s="190">
        <f t="shared" si="323"/>
        <v>0</v>
      </c>
      <c r="DB117" s="190">
        <f t="shared" si="323"/>
        <v>0</v>
      </c>
      <c r="DC117" s="190">
        <f t="shared" si="324"/>
        <v>0</v>
      </c>
      <c r="DD117" s="190">
        <f t="shared" si="324"/>
        <v>0</v>
      </c>
      <c r="DE117" s="23">
        <f>(0)/127.5</f>
        <v>0</v>
      </c>
      <c r="DF117" s="190">
        <f t="shared" si="313"/>
        <v>0</v>
      </c>
      <c r="DG117" s="190">
        <f t="shared" si="313"/>
        <v>0</v>
      </c>
      <c r="DH117" s="190">
        <f t="shared" si="313"/>
        <v>0</v>
      </c>
      <c r="DI117" s="190">
        <f t="shared" si="313"/>
        <v>0</v>
      </c>
      <c r="DJ117" s="190">
        <f t="shared" si="313"/>
        <v>0</v>
      </c>
      <c r="DK117" s="190">
        <f t="shared" si="313"/>
        <v>0</v>
      </c>
      <c r="DL117" s="23">
        <f t="shared" si="319"/>
        <v>0</v>
      </c>
      <c r="DM117" s="190">
        <f t="shared" si="319"/>
        <v>0</v>
      </c>
      <c r="DN117" s="190">
        <f t="shared" si="319"/>
        <v>0</v>
      </c>
      <c r="DO117" s="190">
        <f t="shared" si="319"/>
        <v>0</v>
      </c>
      <c r="DP117" s="190">
        <f t="shared" si="319"/>
        <v>0</v>
      </c>
      <c r="DQ117" s="190">
        <f t="shared" si="307"/>
        <v>0</v>
      </c>
      <c r="DR117" s="190">
        <f t="shared" si="307"/>
        <v>0</v>
      </c>
      <c r="DS117" s="190">
        <f t="shared" si="307"/>
        <v>0</v>
      </c>
    </row>
    <row r="118" spans="1:124" s="201" customFormat="1" ht="26.25" customHeight="1" x14ac:dyDescent="0.4">
      <c r="A118" s="348"/>
      <c r="B118" s="348"/>
      <c r="C118" s="348"/>
      <c r="D118" s="350"/>
      <c r="E118" s="350"/>
      <c r="F118" s="350"/>
      <c r="G118" s="565"/>
      <c r="H118" s="450"/>
      <c r="I118" s="450"/>
      <c r="J118" s="448"/>
      <c r="K118" s="446"/>
      <c r="L118" s="446"/>
      <c r="M118" s="429"/>
      <c r="N118" s="209" t="s">
        <v>25</v>
      </c>
      <c r="O118" s="209">
        <f t="shared" si="294"/>
        <v>0</v>
      </c>
      <c r="P118" s="209">
        <f t="shared" si="294"/>
        <v>0</v>
      </c>
      <c r="Q118" s="209">
        <f t="shared" si="294"/>
        <v>0</v>
      </c>
      <c r="R118" s="209">
        <f t="shared" si="294"/>
        <v>0</v>
      </c>
      <c r="S118" s="209">
        <f t="shared" si="294"/>
        <v>0</v>
      </c>
      <c r="T118" s="209">
        <f t="shared" si="294"/>
        <v>0</v>
      </c>
      <c r="U118" s="209">
        <f t="shared" si="294"/>
        <v>0</v>
      </c>
      <c r="V118" s="209">
        <f t="shared" si="295"/>
        <v>0</v>
      </c>
      <c r="W118" s="209">
        <f t="shared" si="294"/>
        <v>0</v>
      </c>
      <c r="X118" s="53">
        <f t="shared" si="294"/>
        <v>0</v>
      </c>
      <c r="Y118" s="209">
        <f t="shared" si="296"/>
        <v>0</v>
      </c>
      <c r="Z118" s="209">
        <f t="shared" si="296"/>
        <v>0</v>
      </c>
      <c r="AA118" s="209">
        <f t="shared" si="296"/>
        <v>0</v>
      </c>
      <c r="AB118" s="209">
        <f t="shared" si="296"/>
        <v>0</v>
      </c>
      <c r="AC118" s="209">
        <f t="shared" si="296"/>
        <v>0</v>
      </c>
      <c r="AD118" s="209">
        <f t="shared" si="296"/>
        <v>0</v>
      </c>
      <c r="AE118" s="209">
        <f t="shared" si="297"/>
        <v>0</v>
      </c>
      <c r="AF118" s="209"/>
      <c r="AG118" s="209">
        <f t="shared" si="297"/>
        <v>0</v>
      </c>
      <c r="AH118" s="209">
        <f t="shared" si="297"/>
        <v>0</v>
      </c>
      <c r="AI118" s="58">
        <f t="shared" si="297"/>
        <v>0</v>
      </c>
      <c r="AJ118" s="209">
        <f t="shared" si="297"/>
        <v>0</v>
      </c>
      <c r="AK118" s="209">
        <f t="shared" si="297"/>
        <v>0</v>
      </c>
      <c r="AL118" s="209">
        <f t="shared" si="297"/>
        <v>0</v>
      </c>
      <c r="AM118" s="209">
        <f t="shared" si="297"/>
        <v>0</v>
      </c>
      <c r="AN118" s="209">
        <f t="shared" si="270"/>
        <v>0</v>
      </c>
      <c r="AO118" s="209">
        <f t="shared" si="270"/>
        <v>0</v>
      </c>
      <c r="AP118" s="209">
        <f t="shared" si="297"/>
        <v>0</v>
      </c>
      <c r="AQ118" s="209">
        <f t="shared" si="297"/>
        <v>0</v>
      </c>
      <c r="AR118" s="53">
        <f t="shared" si="297"/>
        <v>0</v>
      </c>
      <c r="AS118" s="65">
        <f t="shared" si="298"/>
        <v>0</v>
      </c>
      <c r="AT118" s="210">
        <f t="shared" si="298"/>
        <v>0</v>
      </c>
      <c r="AU118" s="210">
        <f t="shared" si="298"/>
        <v>0</v>
      </c>
      <c r="AV118" s="210">
        <f t="shared" si="298"/>
        <v>0</v>
      </c>
      <c r="AW118" s="280">
        <f t="shared" si="298"/>
        <v>0</v>
      </c>
      <c r="AX118" s="210">
        <f t="shared" si="299"/>
        <v>0</v>
      </c>
      <c r="AY118" s="210">
        <f t="shared" si="299"/>
        <v>0</v>
      </c>
      <c r="AZ118" s="210">
        <f t="shared" si="299"/>
        <v>0</v>
      </c>
      <c r="BA118" s="210">
        <f t="shared" si="299"/>
        <v>0</v>
      </c>
      <c r="BB118" s="53">
        <f t="shared" si="299"/>
        <v>0</v>
      </c>
      <c r="BC118" s="58">
        <f t="shared" si="300"/>
        <v>0</v>
      </c>
      <c r="BD118" s="209">
        <f t="shared" si="300"/>
        <v>0</v>
      </c>
      <c r="BE118" s="209">
        <f t="shared" si="300"/>
        <v>0</v>
      </c>
      <c r="BF118" s="209">
        <f t="shared" si="300"/>
        <v>0</v>
      </c>
      <c r="BG118" s="209">
        <f t="shared" si="300"/>
        <v>0</v>
      </c>
      <c r="BH118" s="209">
        <f t="shared" si="300"/>
        <v>0</v>
      </c>
      <c r="BI118" s="209">
        <f t="shared" si="300"/>
        <v>0</v>
      </c>
      <c r="BJ118" s="209">
        <f t="shared" si="301"/>
        <v>0</v>
      </c>
      <c r="BK118" s="209">
        <f t="shared" si="301"/>
        <v>0</v>
      </c>
      <c r="BL118" s="209">
        <f t="shared" si="301"/>
        <v>0</v>
      </c>
      <c r="BM118" s="58">
        <f t="shared" si="302"/>
        <v>0</v>
      </c>
      <c r="BN118" s="209">
        <f t="shared" si="302"/>
        <v>0</v>
      </c>
      <c r="BO118" s="209">
        <f t="shared" si="302"/>
        <v>0</v>
      </c>
      <c r="BP118" s="209">
        <f t="shared" si="302"/>
        <v>0</v>
      </c>
      <c r="BQ118" s="209">
        <f t="shared" si="302"/>
        <v>0</v>
      </c>
      <c r="BR118" s="209">
        <f t="shared" si="302"/>
        <v>0</v>
      </c>
      <c r="BS118" s="209">
        <f t="shared" si="302"/>
        <v>0</v>
      </c>
      <c r="BT118" s="209"/>
      <c r="BU118" s="209"/>
      <c r="BV118" s="209">
        <f t="shared" si="302"/>
        <v>0</v>
      </c>
      <c r="BW118" s="65">
        <f t="shared" si="303"/>
        <v>0</v>
      </c>
      <c r="BX118" s="209">
        <f t="shared" si="303"/>
        <v>0</v>
      </c>
      <c r="BY118" s="209">
        <f t="shared" si="303"/>
        <v>0</v>
      </c>
      <c r="BZ118" s="209">
        <f t="shared" si="303"/>
        <v>0</v>
      </c>
      <c r="CA118" s="209">
        <f t="shared" si="303"/>
        <v>0</v>
      </c>
      <c r="CB118" s="209">
        <f t="shared" si="304"/>
        <v>0</v>
      </c>
      <c r="CC118" s="209">
        <f t="shared" si="304"/>
        <v>0</v>
      </c>
      <c r="CD118" s="209">
        <f t="shared" si="304"/>
        <v>0</v>
      </c>
      <c r="CE118" s="209">
        <f t="shared" si="304"/>
        <v>0</v>
      </c>
      <c r="CF118" s="209">
        <f t="shared" si="304"/>
        <v>0</v>
      </c>
      <c r="CG118" s="65">
        <f t="shared" si="318"/>
        <v>0</v>
      </c>
      <c r="CH118" s="210">
        <f t="shared" si="318"/>
        <v>0</v>
      </c>
      <c r="CI118" s="210">
        <f t="shared" si="318"/>
        <v>0</v>
      </c>
      <c r="CJ118" s="210">
        <f t="shared" si="318"/>
        <v>0</v>
      </c>
      <c r="CK118" s="210">
        <f t="shared" si="318"/>
        <v>0</v>
      </c>
      <c r="CL118" s="210">
        <f t="shared" si="305"/>
        <v>0</v>
      </c>
      <c r="CM118" s="210">
        <f t="shared" si="305"/>
        <v>0</v>
      </c>
      <c r="CN118" s="210">
        <f t="shared" si="305"/>
        <v>0</v>
      </c>
      <c r="CO118" s="210">
        <f t="shared" si="305"/>
        <v>0</v>
      </c>
      <c r="CP118" s="66">
        <f t="shared" si="305"/>
        <v>0</v>
      </c>
      <c r="CQ118" s="65">
        <f t="shared" si="322"/>
        <v>0</v>
      </c>
      <c r="CR118" s="210">
        <f t="shared" si="322"/>
        <v>0</v>
      </c>
      <c r="CS118" s="210">
        <f t="shared" si="322"/>
        <v>0</v>
      </c>
      <c r="CT118" s="210">
        <f t="shared" si="322"/>
        <v>0</v>
      </c>
      <c r="CU118" s="210">
        <f t="shared" si="322"/>
        <v>0</v>
      </c>
      <c r="CV118" s="210">
        <f t="shared" si="306"/>
        <v>0</v>
      </c>
      <c r="CW118" s="210">
        <f t="shared" si="306"/>
        <v>0</v>
      </c>
      <c r="CX118" s="65">
        <f t="shared" si="323"/>
        <v>0</v>
      </c>
      <c r="CY118" s="210">
        <f t="shared" si="323"/>
        <v>0</v>
      </c>
      <c r="CZ118" s="210">
        <f t="shared" si="323"/>
        <v>0</v>
      </c>
      <c r="DA118" s="210">
        <f t="shared" si="323"/>
        <v>0</v>
      </c>
      <c r="DB118" s="210">
        <f t="shared" si="323"/>
        <v>0</v>
      </c>
      <c r="DC118" s="210">
        <f t="shared" si="324"/>
        <v>0</v>
      </c>
      <c r="DD118" s="209">
        <f t="shared" si="324"/>
        <v>0</v>
      </c>
      <c r="DE118" s="65">
        <f>(0+4)/127.5</f>
        <v>3.1372549019607843E-2</v>
      </c>
      <c r="DF118" s="210">
        <f t="shared" si="313"/>
        <v>0</v>
      </c>
      <c r="DG118" s="210">
        <f>(0+8.5)/127.5</f>
        <v>6.6666666666666666E-2</v>
      </c>
      <c r="DH118" s="210">
        <f t="shared" si="313"/>
        <v>0</v>
      </c>
      <c r="DI118" s="210">
        <f>(0+5)/127.5</f>
        <v>3.9215686274509803E-2</v>
      </c>
      <c r="DJ118" s="210">
        <f t="shared" si="313"/>
        <v>0</v>
      </c>
      <c r="DK118" s="210">
        <f t="shared" si="313"/>
        <v>0</v>
      </c>
      <c r="DL118" s="65">
        <f t="shared" si="319"/>
        <v>0</v>
      </c>
      <c r="DM118" s="210">
        <f t="shared" si="319"/>
        <v>0</v>
      </c>
      <c r="DN118" s="210">
        <f t="shared" si="319"/>
        <v>0</v>
      </c>
      <c r="DO118" s="210">
        <f t="shared" si="319"/>
        <v>0</v>
      </c>
      <c r="DP118" s="210">
        <f t="shared" si="319"/>
        <v>0</v>
      </c>
      <c r="DQ118" s="210">
        <f t="shared" si="307"/>
        <v>0</v>
      </c>
      <c r="DR118" s="210">
        <f t="shared" si="307"/>
        <v>0</v>
      </c>
      <c r="DS118" s="210">
        <f t="shared" si="307"/>
        <v>0</v>
      </c>
    </row>
    <row r="119" spans="1:124" s="201" customFormat="1" ht="26.25" hidden="1" customHeight="1" outlineLevel="1" x14ac:dyDescent="0.4">
      <c r="A119" s="347">
        <v>57</v>
      </c>
      <c r="B119" s="347" t="s">
        <v>45</v>
      </c>
      <c r="C119" s="347" t="s">
        <v>346</v>
      </c>
      <c r="D119" s="349"/>
      <c r="E119" s="349"/>
      <c r="F119" s="349"/>
      <c r="G119" s="371"/>
      <c r="H119" s="449">
        <f>SUM(CQ119:CW119)</f>
        <v>0</v>
      </c>
      <c r="I119" s="449">
        <f>SUM(CQ120:CW120)</f>
        <v>0</v>
      </c>
      <c r="J119" s="447"/>
      <c r="K119" s="445"/>
      <c r="L119" s="445"/>
      <c r="M119" s="428"/>
      <c r="N119" s="21" t="s">
        <v>24</v>
      </c>
      <c r="O119" s="190">
        <f t="shared" si="294"/>
        <v>0</v>
      </c>
      <c r="P119" s="190">
        <f t="shared" si="294"/>
        <v>0</v>
      </c>
      <c r="Q119" s="190">
        <f t="shared" si="294"/>
        <v>0</v>
      </c>
      <c r="R119" s="190">
        <f t="shared" si="294"/>
        <v>0</v>
      </c>
      <c r="S119" s="190">
        <f t="shared" si="294"/>
        <v>0</v>
      </c>
      <c r="T119" s="190">
        <f t="shared" si="294"/>
        <v>0</v>
      </c>
      <c r="U119" s="190">
        <f t="shared" si="294"/>
        <v>0</v>
      </c>
      <c r="V119" s="190">
        <f t="shared" si="295"/>
        <v>0</v>
      </c>
      <c r="W119" s="190">
        <f t="shared" si="294"/>
        <v>0</v>
      </c>
      <c r="X119" s="86">
        <f t="shared" si="294"/>
        <v>0</v>
      </c>
      <c r="Y119" s="190">
        <f t="shared" si="296"/>
        <v>0</v>
      </c>
      <c r="Z119" s="190">
        <f t="shared" si="296"/>
        <v>0</v>
      </c>
      <c r="AA119" s="190">
        <f t="shared" si="296"/>
        <v>0</v>
      </c>
      <c r="AB119" s="190">
        <f t="shared" si="296"/>
        <v>0</v>
      </c>
      <c r="AC119" s="190">
        <f t="shared" si="296"/>
        <v>0</v>
      </c>
      <c r="AD119" s="190">
        <f t="shared" si="296"/>
        <v>0</v>
      </c>
      <c r="AE119" s="190">
        <f t="shared" si="297"/>
        <v>0</v>
      </c>
      <c r="AF119" s="190"/>
      <c r="AG119" s="190">
        <f t="shared" si="297"/>
        <v>0</v>
      </c>
      <c r="AH119" s="190">
        <f t="shared" si="297"/>
        <v>0</v>
      </c>
      <c r="AI119" s="77">
        <f t="shared" si="297"/>
        <v>0</v>
      </c>
      <c r="AJ119" s="190">
        <f t="shared" si="297"/>
        <v>0</v>
      </c>
      <c r="AK119" s="190">
        <f t="shared" si="297"/>
        <v>0</v>
      </c>
      <c r="AL119" s="190">
        <f t="shared" si="297"/>
        <v>0</v>
      </c>
      <c r="AM119" s="190">
        <f t="shared" si="297"/>
        <v>0</v>
      </c>
      <c r="AN119" s="190">
        <f t="shared" si="270"/>
        <v>0</v>
      </c>
      <c r="AO119" s="190">
        <f t="shared" si="270"/>
        <v>0</v>
      </c>
      <c r="AP119" s="190">
        <f t="shared" si="297"/>
        <v>0</v>
      </c>
      <c r="AQ119" s="190">
        <f t="shared" si="297"/>
        <v>0</v>
      </c>
      <c r="AR119" s="225">
        <f t="shared" si="297"/>
        <v>0</v>
      </c>
      <c r="AS119" s="23">
        <f t="shared" si="298"/>
        <v>0</v>
      </c>
      <c r="AT119" s="190">
        <f t="shared" si="298"/>
        <v>0</v>
      </c>
      <c r="AU119" s="190">
        <f t="shared" si="298"/>
        <v>0</v>
      </c>
      <c r="AV119" s="190">
        <f t="shared" si="298"/>
        <v>0</v>
      </c>
      <c r="AW119" s="190">
        <f t="shared" si="298"/>
        <v>0</v>
      </c>
      <c r="AX119" s="190">
        <f t="shared" si="299"/>
        <v>0</v>
      </c>
      <c r="AY119" s="190">
        <f t="shared" si="299"/>
        <v>0</v>
      </c>
      <c r="AZ119" s="190">
        <f t="shared" si="299"/>
        <v>0</v>
      </c>
      <c r="BA119" s="190">
        <f t="shared" si="299"/>
        <v>0</v>
      </c>
      <c r="BB119" s="225">
        <f t="shared" si="299"/>
        <v>0</v>
      </c>
      <c r="BC119" s="77">
        <f t="shared" si="300"/>
        <v>0</v>
      </c>
      <c r="BD119" s="190">
        <f t="shared" si="300"/>
        <v>0</v>
      </c>
      <c r="BE119" s="190">
        <f t="shared" si="300"/>
        <v>0</v>
      </c>
      <c r="BF119" s="190">
        <f t="shared" si="300"/>
        <v>0</v>
      </c>
      <c r="BG119" s="190">
        <f t="shared" si="300"/>
        <v>0</v>
      </c>
      <c r="BH119" s="190">
        <f t="shared" si="300"/>
        <v>0</v>
      </c>
      <c r="BI119" s="190">
        <f t="shared" si="300"/>
        <v>0</v>
      </c>
      <c r="BJ119" s="190">
        <f t="shared" si="301"/>
        <v>0</v>
      </c>
      <c r="BK119" s="190">
        <f t="shared" si="301"/>
        <v>0</v>
      </c>
      <c r="BL119" s="190">
        <f t="shared" si="301"/>
        <v>0</v>
      </c>
      <c r="BM119" s="77">
        <f t="shared" si="302"/>
        <v>0</v>
      </c>
      <c r="BN119" s="190">
        <f t="shared" si="302"/>
        <v>0</v>
      </c>
      <c r="BO119" s="190">
        <f t="shared" si="302"/>
        <v>0</v>
      </c>
      <c r="BP119" s="190">
        <f t="shared" si="302"/>
        <v>0</v>
      </c>
      <c r="BQ119" s="190">
        <f t="shared" si="302"/>
        <v>0</v>
      </c>
      <c r="BR119" s="190">
        <f t="shared" si="302"/>
        <v>0</v>
      </c>
      <c r="BS119" s="190">
        <f t="shared" si="302"/>
        <v>0</v>
      </c>
      <c r="BT119" s="190"/>
      <c r="BU119" s="190"/>
      <c r="BV119" s="190">
        <f t="shared" si="302"/>
        <v>0</v>
      </c>
      <c r="BW119" s="23">
        <f t="shared" si="303"/>
        <v>0</v>
      </c>
      <c r="BX119" s="190">
        <f t="shared" si="303"/>
        <v>0</v>
      </c>
      <c r="BY119" s="190">
        <f t="shared" si="303"/>
        <v>0</v>
      </c>
      <c r="BZ119" s="190">
        <f t="shared" si="303"/>
        <v>0</v>
      </c>
      <c r="CA119" s="190">
        <f t="shared" si="303"/>
        <v>0</v>
      </c>
      <c r="CB119" s="190">
        <f t="shared" si="304"/>
        <v>0</v>
      </c>
      <c r="CC119" s="190">
        <f t="shared" si="304"/>
        <v>0</v>
      </c>
      <c r="CD119" s="190">
        <f t="shared" si="304"/>
        <v>0</v>
      </c>
      <c r="CE119" s="190">
        <f t="shared" si="304"/>
        <v>0</v>
      </c>
      <c r="CF119" s="190">
        <f t="shared" si="304"/>
        <v>0</v>
      </c>
      <c r="CG119" s="23">
        <f t="shared" si="318"/>
        <v>0</v>
      </c>
      <c r="CH119" s="190">
        <f t="shared" si="318"/>
        <v>0</v>
      </c>
      <c r="CI119" s="190">
        <f t="shared" si="318"/>
        <v>0</v>
      </c>
      <c r="CJ119" s="190">
        <f t="shared" si="318"/>
        <v>0</v>
      </c>
      <c r="CK119" s="190">
        <f t="shared" si="318"/>
        <v>0</v>
      </c>
      <c r="CL119" s="190">
        <f t="shared" si="305"/>
        <v>0</v>
      </c>
      <c r="CM119" s="190">
        <f t="shared" si="305"/>
        <v>0</v>
      </c>
      <c r="CN119" s="190">
        <f t="shared" si="305"/>
        <v>0</v>
      </c>
      <c r="CO119" s="190">
        <f t="shared" si="305"/>
        <v>0</v>
      </c>
      <c r="CP119" s="21">
        <f t="shared" si="305"/>
        <v>0</v>
      </c>
      <c r="CQ119" s="23">
        <f t="shared" si="322"/>
        <v>0</v>
      </c>
      <c r="CR119" s="190">
        <f t="shared" si="322"/>
        <v>0</v>
      </c>
      <c r="CS119" s="190">
        <f t="shared" si="322"/>
        <v>0</v>
      </c>
      <c r="CT119" s="190">
        <f t="shared" si="322"/>
        <v>0</v>
      </c>
      <c r="CU119" s="190">
        <f t="shared" si="322"/>
        <v>0</v>
      </c>
      <c r="CV119" s="190">
        <f t="shared" si="306"/>
        <v>0</v>
      </c>
      <c r="CW119" s="190">
        <f t="shared" si="306"/>
        <v>0</v>
      </c>
      <c r="CX119" s="77">
        <f t="shared" si="323"/>
        <v>0</v>
      </c>
      <c r="CY119" s="190">
        <f t="shared" si="323"/>
        <v>0</v>
      </c>
      <c r="CZ119" s="190">
        <f t="shared" si="323"/>
        <v>0</v>
      </c>
      <c r="DA119" s="190">
        <f t="shared" si="323"/>
        <v>0</v>
      </c>
      <c r="DB119" s="190">
        <f t="shared" si="323"/>
        <v>0</v>
      </c>
      <c r="DC119" s="190">
        <f t="shared" si="324"/>
        <v>0</v>
      </c>
      <c r="DD119" s="190">
        <f t="shared" si="324"/>
        <v>0</v>
      </c>
      <c r="DE119" s="23">
        <f t="shared" ref="DE119:DI128" si="327">0/157.5</f>
        <v>0</v>
      </c>
      <c r="DF119" s="190">
        <f t="shared" si="327"/>
        <v>0</v>
      </c>
      <c r="DG119" s="190">
        <f t="shared" si="327"/>
        <v>0</v>
      </c>
      <c r="DH119" s="190">
        <f t="shared" si="327"/>
        <v>0</v>
      </c>
      <c r="DI119" s="190">
        <f t="shared" si="327"/>
        <v>0</v>
      </c>
      <c r="DJ119" s="190">
        <f t="shared" ref="DJ119:DK138" si="328">0/172.5</f>
        <v>0</v>
      </c>
      <c r="DK119" s="190">
        <f t="shared" si="328"/>
        <v>0</v>
      </c>
      <c r="DL119" s="23">
        <f t="shared" si="319"/>
        <v>0</v>
      </c>
      <c r="DM119" s="190">
        <f t="shared" si="319"/>
        <v>0</v>
      </c>
      <c r="DN119" s="190">
        <f t="shared" si="319"/>
        <v>0</v>
      </c>
      <c r="DO119" s="190">
        <f t="shared" si="319"/>
        <v>0</v>
      </c>
      <c r="DP119" s="190">
        <f t="shared" si="319"/>
        <v>0</v>
      </c>
      <c r="DQ119" s="190">
        <f t="shared" si="307"/>
        <v>0</v>
      </c>
      <c r="DR119" s="190">
        <f t="shared" si="307"/>
        <v>0</v>
      </c>
      <c r="DS119" s="190">
        <f t="shared" si="307"/>
        <v>0</v>
      </c>
    </row>
    <row r="120" spans="1:124" s="201" customFormat="1" ht="26.25" hidden="1" customHeight="1" outlineLevel="1" x14ac:dyDescent="0.4">
      <c r="A120" s="348"/>
      <c r="B120" s="348"/>
      <c r="C120" s="348"/>
      <c r="D120" s="350"/>
      <c r="E120" s="350"/>
      <c r="F120" s="350"/>
      <c r="G120" s="371"/>
      <c r="H120" s="450"/>
      <c r="I120" s="450"/>
      <c r="J120" s="448"/>
      <c r="K120" s="446"/>
      <c r="L120" s="446"/>
      <c r="M120" s="429"/>
      <c r="N120" s="209" t="s">
        <v>25</v>
      </c>
      <c r="O120" s="209">
        <f t="shared" si="294"/>
        <v>0</v>
      </c>
      <c r="P120" s="209">
        <f t="shared" si="294"/>
        <v>0</v>
      </c>
      <c r="Q120" s="209">
        <f t="shared" si="294"/>
        <v>0</v>
      </c>
      <c r="R120" s="209">
        <f t="shared" si="294"/>
        <v>0</v>
      </c>
      <c r="S120" s="209">
        <f t="shared" si="294"/>
        <v>0</v>
      </c>
      <c r="T120" s="209">
        <f t="shared" si="294"/>
        <v>0</v>
      </c>
      <c r="U120" s="209">
        <f t="shared" si="294"/>
        <v>0</v>
      </c>
      <c r="V120" s="209">
        <f t="shared" si="295"/>
        <v>0</v>
      </c>
      <c r="W120" s="209">
        <f t="shared" si="294"/>
        <v>0</v>
      </c>
      <c r="X120" s="53">
        <f t="shared" si="294"/>
        <v>0</v>
      </c>
      <c r="Y120" s="209">
        <f t="shared" si="296"/>
        <v>0</v>
      </c>
      <c r="Z120" s="209">
        <f t="shared" si="296"/>
        <v>0</v>
      </c>
      <c r="AA120" s="209">
        <f t="shared" si="296"/>
        <v>0</v>
      </c>
      <c r="AB120" s="209">
        <f t="shared" si="296"/>
        <v>0</v>
      </c>
      <c r="AC120" s="209">
        <f t="shared" si="296"/>
        <v>0</v>
      </c>
      <c r="AD120" s="209">
        <f t="shared" si="296"/>
        <v>0</v>
      </c>
      <c r="AE120" s="209">
        <f t="shared" si="297"/>
        <v>0</v>
      </c>
      <c r="AF120" s="209"/>
      <c r="AG120" s="209">
        <f t="shared" si="297"/>
        <v>0</v>
      </c>
      <c r="AH120" s="209">
        <f t="shared" si="297"/>
        <v>0</v>
      </c>
      <c r="AI120" s="58">
        <f t="shared" si="297"/>
        <v>0</v>
      </c>
      <c r="AJ120" s="209">
        <f t="shared" si="297"/>
        <v>0</v>
      </c>
      <c r="AK120" s="209">
        <f t="shared" si="297"/>
        <v>0</v>
      </c>
      <c r="AL120" s="209">
        <f t="shared" si="297"/>
        <v>0</v>
      </c>
      <c r="AM120" s="209">
        <f t="shared" si="297"/>
        <v>0</v>
      </c>
      <c r="AN120" s="209">
        <f t="shared" ref="AN120:AO129" si="329">0/165</f>
        <v>0</v>
      </c>
      <c r="AO120" s="209">
        <f t="shared" si="329"/>
        <v>0</v>
      </c>
      <c r="AP120" s="209">
        <f t="shared" si="297"/>
        <v>0</v>
      </c>
      <c r="AQ120" s="209">
        <f t="shared" si="297"/>
        <v>0</v>
      </c>
      <c r="AR120" s="53">
        <f t="shared" si="297"/>
        <v>0</v>
      </c>
      <c r="AS120" s="65">
        <f t="shared" si="298"/>
        <v>0</v>
      </c>
      <c r="AT120" s="210">
        <f t="shared" si="298"/>
        <v>0</v>
      </c>
      <c r="AU120" s="210">
        <f t="shared" si="298"/>
        <v>0</v>
      </c>
      <c r="AV120" s="210">
        <f t="shared" si="298"/>
        <v>0</v>
      </c>
      <c r="AW120" s="280">
        <f t="shared" si="298"/>
        <v>0</v>
      </c>
      <c r="AX120" s="210">
        <f t="shared" si="299"/>
        <v>0</v>
      </c>
      <c r="AY120" s="210">
        <f t="shared" si="299"/>
        <v>0</v>
      </c>
      <c r="AZ120" s="210">
        <f t="shared" si="299"/>
        <v>0</v>
      </c>
      <c r="BA120" s="210">
        <f t="shared" si="299"/>
        <v>0</v>
      </c>
      <c r="BB120" s="53">
        <f t="shared" si="299"/>
        <v>0</v>
      </c>
      <c r="BC120" s="58">
        <f t="shared" si="300"/>
        <v>0</v>
      </c>
      <c r="BD120" s="209">
        <f t="shared" si="300"/>
        <v>0</v>
      </c>
      <c r="BE120" s="209">
        <f t="shared" si="300"/>
        <v>0</v>
      </c>
      <c r="BF120" s="209">
        <f t="shared" si="300"/>
        <v>0</v>
      </c>
      <c r="BG120" s="209">
        <f t="shared" si="300"/>
        <v>0</v>
      </c>
      <c r="BH120" s="209">
        <f t="shared" si="300"/>
        <v>0</v>
      </c>
      <c r="BI120" s="209">
        <f t="shared" si="300"/>
        <v>0</v>
      </c>
      <c r="BJ120" s="209">
        <f t="shared" si="301"/>
        <v>0</v>
      </c>
      <c r="BK120" s="209">
        <f t="shared" si="301"/>
        <v>0</v>
      </c>
      <c r="BL120" s="209">
        <f t="shared" si="301"/>
        <v>0</v>
      </c>
      <c r="BM120" s="58">
        <f t="shared" si="302"/>
        <v>0</v>
      </c>
      <c r="BN120" s="209">
        <f t="shared" si="302"/>
        <v>0</v>
      </c>
      <c r="BO120" s="209">
        <f t="shared" si="302"/>
        <v>0</v>
      </c>
      <c r="BP120" s="209">
        <f t="shared" si="302"/>
        <v>0</v>
      </c>
      <c r="BQ120" s="209">
        <f t="shared" si="302"/>
        <v>0</v>
      </c>
      <c r="BR120" s="209">
        <f t="shared" si="302"/>
        <v>0</v>
      </c>
      <c r="BS120" s="209">
        <f t="shared" si="302"/>
        <v>0</v>
      </c>
      <c r="BT120" s="209"/>
      <c r="BU120" s="209"/>
      <c r="BV120" s="209">
        <f t="shared" si="302"/>
        <v>0</v>
      </c>
      <c r="BW120" s="65">
        <f t="shared" si="303"/>
        <v>0</v>
      </c>
      <c r="BX120" s="209">
        <f t="shared" si="303"/>
        <v>0</v>
      </c>
      <c r="BY120" s="209">
        <f t="shared" si="303"/>
        <v>0</v>
      </c>
      <c r="BZ120" s="209">
        <f t="shared" si="303"/>
        <v>0</v>
      </c>
      <c r="CA120" s="209">
        <f t="shared" si="303"/>
        <v>0</v>
      </c>
      <c r="CB120" s="209">
        <f t="shared" si="304"/>
        <v>0</v>
      </c>
      <c r="CC120" s="209">
        <f t="shared" si="304"/>
        <v>0</v>
      </c>
      <c r="CD120" s="209">
        <f t="shared" si="304"/>
        <v>0</v>
      </c>
      <c r="CE120" s="209">
        <f t="shared" si="304"/>
        <v>0</v>
      </c>
      <c r="CF120" s="209">
        <f t="shared" si="304"/>
        <v>0</v>
      </c>
      <c r="CG120" s="65">
        <f t="shared" si="318"/>
        <v>0</v>
      </c>
      <c r="CH120" s="210">
        <f t="shared" si="318"/>
        <v>0</v>
      </c>
      <c r="CI120" s="210">
        <f t="shared" si="318"/>
        <v>0</v>
      </c>
      <c r="CJ120" s="210">
        <f t="shared" si="318"/>
        <v>0</v>
      </c>
      <c r="CK120" s="210">
        <f t="shared" si="318"/>
        <v>0</v>
      </c>
      <c r="CL120" s="210">
        <f t="shared" si="305"/>
        <v>0</v>
      </c>
      <c r="CM120" s="210">
        <f t="shared" si="305"/>
        <v>0</v>
      </c>
      <c r="CN120" s="210">
        <f t="shared" si="305"/>
        <v>0</v>
      </c>
      <c r="CO120" s="210">
        <f t="shared" si="305"/>
        <v>0</v>
      </c>
      <c r="CP120" s="66">
        <f t="shared" si="305"/>
        <v>0</v>
      </c>
      <c r="CQ120" s="65">
        <f t="shared" si="322"/>
        <v>0</v>
      </c>
      <c r="CR120" s="210">
        <f t="shared" si="322"/>
        <v>0</v>
      </c>
      <c r="CS120" s="210">
        <f t="shared" si="322"/>
        <v>0</v>
      </c>
      <c r="CT120" s="210">
        <f t="shared" si="322"/>
        <v>0</v>
      </c>
      <c r="CU120" s="210">
        <f t="shared" si="322"/>
        <v>0</v>
      </c>
      <c r="CV120" s="210">
        <f t="shared" si="306"/>
        <v>0</v>
      </c>
      <c r="CW120" s="210">
        <f t="shared" si="306"/>
        <v>0</v>
      </c>
      <c r="CX120" s="65">
        <f t="shared" si="323"/>
        <v>0</v>
      </c>
      <c r="CY120" s="210">
        <f t="shared" si="323"/>
        <v>0</v>
      </c>
      <c r="CZ120" s="210">
        <f t="shared" si="323"/>
        <v>0</v>
      </c>
      <c r="DA120" s="210">
        <f t="shared" si="323"/>
        <v>0</v>
      </c>
      <c r="DB120" s="210">
        <f t="shared" si="323"/>
        <v>0</v>
      </c>
      <c r="DC120" s="210">
        <f t="shared" si="324"/>
        <v>0</v>
      </c>
      <c r="DD120" s="209">
        <f t="shared" si="324"/>
        <v>0</v>
      </c>
      <c r="DE120" s="65">
        <f t="shared" si="327"/>
        <v>0</v>
      </c>
      <c r="DF120" s="210">
        <f t="shared" si="327"/>
        <v>0</v>
      </c>
      <c r="DG120" s="210">
        <f t="shared" si="327"/>
        <v>0</v>
      </c>
      <c r="DH120" s="210">
        <f t="shared" si="327"/>
        <v>0</v>
      </c>
      <c r="DI120" s="210">
        <f t="shared" si="327"/>
        <v>0</v>
      </c>
      <c r="DJ120" s="210">
        <f t="shared" si="328"/>
        <v>0</v>
      </c>
      <c r="DK120" s="210">
        <f t="shared" si="328"/>
        <v>0</v>
      </c>
      <c r="DL120" s="65">
        <f t="shared" si="319"/>
        <v>0</v>
      </c>
      <c r="DM120" s="210">
        <f t="shared" si="319"/>
        <v>0</v>
      </c>
      <c r="DN120" s="210">
        <f t="shared" si="319"/>
        <v>0</v>
      </c>
      <c r="DO120" s="210">
        <f t="shared" si="319"/>
        <v>0</v>
      </c>
      <c r="DP120" s="210">
        <f t="shared" si="319"/>
        <v>0</v>
      </c>
      <c r="DQ120" s="210">
        <f t="shared" si="307"/>
        <v>0</v>
      </c>
      <c r="DR120" s="210">
        <f t="shared" si="307"/>
        <v>0</v>
      </c>
      <c r="DS120" s="210">
        <f t="shared" si="307"/>
        <v>0</v>
      </c>
    </row>
    <row r="121" spans="1:124" s="201" customFormat="1" ht="26.25" hidden="1" customHeight="1" outlineLevel="1" collapsed="1" x14ac:dyDescent="0.4">
      <c r="A121" s="347">
        <v>58</v>
      </c>
      <c r="B121" s="347" t="s">
        <v>45</v>
      </c>
      <c r="C121" s="347" t="s">
        <v>346</v>
      </c>
      <c r="D121" s="349"/>
      <c r="E121" s="349"/>
      <c r="F121" s="349"/>
      <c r="G121" s="371"/>
      <c r="H121" s="449">
        <f>SUM(CQ121:CW121)</f>
        <v>0</v>
      </c>
      <c r="I121" s="449">
        <f>SUM(CQ122:CW122)</f>
        <v>0</v>
      </c>
      <c r="J121" s="447"/>
      <c r="K121" s="445"/>
      <c r="L121" s="445"/>
      <c r="M121" s="428"/>
      <c r="N121" s="21" t="s">
        <v>24</v>
      </c>
      <c r="O121" s="190">
        <f t="shared" si="294"/>
        <v>0</v>
      </c>
      <c r="P121" s="190">
        <f t="shared" si="294"/>
        <v>0</v>
      </c>
      <c r="Q121" s="190">
        <f t="shared" si="294"/>
        <v>0</v>
      </c>
      <c r="R121" s="190">
        <f t="shared" si="294"/>
        <v>0</v>
      </c>
      <c r="S121" s="190">
        <f t="shared" si="294"/>
        <v>0</v>
      </c>
      <c r="T121" s="190">
        <f t="shared" si="294"/>
        <v>0</v>
      </c>
      <c r="U121" s="190">
        <f t="shared" si="294"/>
        <v>0</v>
      </c>
      <c r="V121" s="190">
        <f t="shared" si="295"/>
        <v>0</v>
      </c>
      <c r="W121" s="190">
        <f t="shared" si="294"/>
        <v>0</v>
      </c>
      <c r="X121" s="86">
        <f t="shared" si="294"/>
        <v>0</v>
      </c>
      <c r="Y121" s="190">
        <f t="shared" si="296"/>
        <v>0</v>
      </c>
      <c r="Z121" s="190">
        <f t="shared" si="296"/>
        <v>0</v>
      </c>
      <c r="AA121" s="190">
        <f t="shared" si="296"/>
        <v>0</v>
      </c>
      <c r="AB121" s="190">
        <f t="shared" si="296"/>
        <v>0</v>
      </c>
      <c r="AC121" s="190">
        <f t="shared" si="296"/>
        <v>0</v>
      </c>
      <c r="AD121" s="190">
        <f t="shared" si="296"/>
        <v>0</v>
      </c>
      <c r="AE121" s="190">
        <f t="shared" si="297"/>
        <v>0</v>
      </c>
      <c r="AF121" s="190"/>
      <c r="AG121" s="190">
        <f t="shared" si="297"/>
        <v>0</v>
      </c>
      <c r="AH121" s="190">
        <f t="shared" si="297"/>
        <v>0</v>
      </c>
      <c r="AI121" s="77">
        <f t="shared" si="297"/>
        <v>0</v>
      </c>
      <c r="AJ121" s="190">
        <f t="shared" si="297"/>
        <v>0</v>
      </c>
      <c r="AK121" s="190">
        <f t="shared" si="297"/>
        <v>0</v>
      </c>
      <c r="AL121" s="190">
        <f t="shared" si="297"/>
        <v>0</v>
      </c>
      <c r="AM121" s="190">
        <f t="shared" si="297"/>
        <v>0</v>
      </c>
      <c r="AN121" s="190">
        <f t="shared" si="329"/>
        <v>0</v>
      </c>
      <c r="AO121" s="190">
        <f t="shared" si="329"/>
        <v>0</v>
      </c>
      <c r="AP121" s="190">
        <f t="shared" si="297"/>
        <v>0</v>
      </c>
      <c r="AQ121" s="190">
        <f t="shared" si="297"/>
        <v>0</v>
      </c>
      <c r="AR121" s="225">
        <f t="shared" si="297"/>
        <v>0</v>
      </c>
      <c r="AS121" s="23">
        <f t="shared" si="298"/>
        <v>0</v>
      </c>
      <c r="AT121" s="190">
        <f t="shared" si="298"/>
        <v>0</v>
      </c>
      <c r="AU121" s="190">
        <f t="shared" si="298"/>
        <v>0</v>
      </c>
      <c r="AV121" s="190">
        <f t="shared" si="298"/>
        <v>0</v>
      </c>
      <c r="AW121" s="190">
        <f t="shared" si="298"/>
        <v>0</v>
      </c>
      <c r="AX121" s="190">
        <f t="shared" si="299"/>
        <v>0</v>
      </c>
      <c r="AY121" s="190">
        <f t="shared" si="299"/>
        <v>0</v>
      </c>
      <c r="AZ121" s="190">
        <f t="shared" si="299"/>
        <v>0</v>
      </c>
      <c r="BA121" s="190">
        <f t="shared" si="299"/>
        <v>0</v>
      </c>
      <c r="BB121" s="225">
        <f t="shared" si="299"/>
        <v>0</v>
      </c>
      <c r="BC121" s="77">
        <f t="shared" si="300"/>
        <v>0</v>
      </c>
      <c r="BD121" s="190">
        <f t="shared" si="300"/>
        <v>0</v>
      </c>
      <c r="BE121" s="190">
        <f t="shared" si="300"/>
        <v>0</v>
      </c>
      <c r="BF121" s="190">
        <f t="shared" si="300"/>
        <v>0</v>
      </c>
      <c r="BG121" s="190">
        <f t="shared" si="300"/>
        <v>0</v>
      </c>
      <c r="BH121" s="190">
        <f t="shared" si="300"/>
        <v>0</v>
      </c>
      <c r="BI121" s="190">
        <f t="shared" si="300"/>
        <v>0</v>
      </c>
      <c r="BJ121" s="190">
        <f t="shared" si="301"/>
        <v>0</v>
      </c>
      <c r="BK121" s="190">
        <f t="shared" si="301"/>
        <v>0</v>
      </c>
      <c r="BL121" s="190">
        <f t="shared" si="301"/>
        <v>0</v>
      </c>
      <c r="BM121" s="77">
        <f t="shared" si="302"/>
        <v>0</v>
      </c>
      <c r="BN121" s="190">
        <f t="shared" si="302"/>
        <v>0</v>
      </c>
      <c r="BO121" s="190">
        <f t="shared" si="302"/>
        <v>0</v>
      </c>
      <c r="BP121" s="190">
        <f t="shared" si="302"/>
        <v>0</v>
      </c>
      <c r="BQ121" s="190">
        <f t="shared" si="302"/>
        <v>0</v>
      </c>
      <c r="BR121" s="190">
        <f t="shared" si="302"/>
        <v>0</v>
      </c>
      <c r="BS121" s="190">
        <f t="shared" si="302"/>
        <v>0</v>
      </c>
      <c r="BT121" s="190"/>
      <c r="BU121" s="190"/>
      <c r="BV121" s="190">
        <f t="shared" si="302"/>
        <v>0</v>
      </c>
      <c r="BW121" s="23">
        <f t="shared" si="303"/>
        <v>0</v>
      </c>
      <c r="BX121" s="190">
        <f t="shared" si="303"/>
        <v>0</v>
      </c>
      <c r="BY121" s="190">
        <f t="shared" si="303"/>
        <v>0</v>
      </c>
      <c r="BZ121" s="190">
        <f t="shared" si="303"/>
        <v>0</v>
      </c>
      <c r="CA121" s="190">
        <f t="shared" si="303"/>
        <v>0</v>
      </c>
      <c r="CB121" s="190">
        <f t="shared" si="304"/>
        <v>0</v>
      </c>
      <c r="CC121" s="190">
        <f t="shared" si="304"/>
        <v>0</v>
      </c>
      <c r="CD121" s="190">
        <f t="shared" si="304"/>
        <v>0</v>
      </c>
      <c r="CE121" s="190">
        <f t="shared" si="304"/>
        <v>0</v>
      </c>
      <c r="CF121" s="190">
        <f t="shared" si="304"/>
        <v>0</v>
      </c>
      <c r="CG121" s="23">
        <f t="shared" si="318"/>
        <v>0</v>
      </c>
      <c r="CH121" s="190">
        <f t="shared" si="318"/>
        <v>0</v>
      </c>
      <c r="CI121" s="190">
        <f t="shared" si="318"/>
        <v>0</v>
      </c>
      <c r="CJ121" s="190">
        <f t="shared" si="318"/>
        <v>0</v>
      </c>
      <c r="CK121" s="190">
        <f t="shared" si="318"/>
        <v>0</v>
      </c>
      <c r="CL121" s="190">
        <f t="shared" si="305"/>
        <v>0</v>
      </c>
      <c r="CM121" s="190">
        <f t="shared" si="305"/>
        <v>0</v>
      </c>
      <c r="CN121" s="190">
        <f t="shared" si="305"/>
        <v>0</v>
      </c>
      <c r="CO121" s="190">
        <f t="shared" si="305"/>
        <v>0</v>
      </c>
      <c r="CP121" s="21">
        <f t="shared" si="305"/>
        <v>0</v>
      </c>
      <c r="CQ121" s="23">
        <f t="shared" si="322"/>
        <v>0</v>
      </c>
      <c r="CR121" s="190">
        <f t="shared" si="322"/>
        <v>0</v>
      </c>
      <c r="CS121" s="190">
        <f t="shared" si="322"/>
        <v>0</v>
      </c>
      <c r="CT121" s="190">
        <f t="shared" si="322"/>
        <v>0</v>
      </c>
      <c r="CU121" s="190">
        <f t="shared" si="322"/>
        <v>0</v>
      </c>
      <c r="CV121" s="190">
        <f t="shared" si="306"/>
        <v>0</v>
      </c>
      <c r="CW121" s="190">
        <f t="shared" si="306"/>
        <v>0</v>
      </c>
      <c r="CX121" s="77">
        <f t="shared" si="323"/>
        <v>0</v>
      </c>
      <c r="CY121" s="190">
        <f t="shared" si="323"/>
        <v>0</v>
      </c>
      <c r="CZ121" s="190">
        <f t="shared" si="323"/>
        <v>0</v>
      </c>
      <c r="DA121" s="190">
        <f t="shared" si="323"/>
        <v>0</v>
      </c>
      <c r="DB121" s="190">
        <f t="shared" si="323"/>
        <v>0</v>
      </c>
      <c r="DC121" s="190">
        <f t="shared" si="324"/>
        <v>0</v>
      </c>
      <c r="DD121" s="190">
        <f t="shared" si="324"/>
        <v>0</v>
      </c>
      <c r="DE121" s="23">
        <f t="shared" si="327"/>
        <v>0</v>
      </c>
      <c r="DF121" s="190">
        <f t="shared" si="327"/>
        <v>0</v>
      </c>
      <c r="DG121" s="190">
        <f t="shared" si="327"/>
        <v>0</v>
      </c>
      <c r="DH121" s="190">
        <f t="shared" si="327"/>
        <v>0</v>
      </c>
      <c r="DI121" s="190">
        <f t="shared" si="327"/>
        <v>0</v>
      </c>
      <c r="DJ121" s="190">
        <f t="shared" si="328"/>
        <v>0</v>
      </c>
      <c r="DK121" s="190">
        <f t="shared" si="328"/>
        <v>0</v>
      </c>
      <c r="DL121" s="23">
        <f t="shared" si="319"/>
        <v>0</v>
      </c>
      <c r="DM121" s="190">
        <f t="shared" si="319"/>
        <v>0</v>
      </c>
      <c r="DN121" s="190">
        <f t="shared" si="319"/>
        <v>0</v>
      </c>
      <c r="DO121" s="190">
        <f t="shared" si="319"/>
        <v>0</v>
      </c>
      <c r="DP121" s="190">
        <f t="shared" si="319"/>
        <v>0</v>
      </c>
      <c r="DQ121" s="190">
        <f t="shared" si="307"/>
        <v>0</v>
      </c>
      <c r="DR121" s="190">
        <f t="shared" si="307"/>
        <v>0</v>
      </c>
      <c r="DS121" s="190">
        <f t="shared" si="307"/>
        <v>0</v>
      </c>
      <c r="DT121" s="54"/>
    </row>
    <row r="122" spans="1:124" s="201" customFormat="1" ht="26.25" hidden="1" customHeight="1" outlineLevel="1" x14ac:dyDescent="0.4">
      <c r="A122" s="348"/>
      <c r="B122" s="348"/>
      <c r="C122" s="348"/>
      <c r="D122" s="350"/>
      <c r="E122" s="350"/>
      <c r="F122" s="350"/>
      <c r="G122" s="371"/>
      <c r="H122" s="450"/>
      <c r="I122" s="450"/>
      <c r="J122" s="448"/>
      <c r="K122" s="446"/>
      <c r="L122" s="446"/>
      <c r="M122" s="429"/>
      <c r="N122" s="209" t="s">
        <v>25</v>
      </c>
      <c r="O122" s="209">
        <f t="shared" si="294"/>
        <v>0</v>
      </c>
      <c r="P122" s="209">
        <f t="shared" si="294"/>
        <v>0</v>
      </c>
      <c r="Q122" s="209">
        <f t="shared" si="294"/>
        <v>0</v>
      </c>
      <c r="R122" s="209">
        <f t="shared" si="294"/>
        <v>0</v>
      </c>
      <c r="S122" s="209">
        <f t="shared" si="294"/>
        <v>0</v>
      </c>
      <c r="T122" s="209">
        <f t="shared" si="294"/>
        <v>0</v>
      </c>
      <c r="U122" s="209">
        <f t="shared" si="294"/>
        <v>0</v>
      </c>
      <c r="V122" s="209">
        <f t="shared" si="295"/>
        <v>0</v>
      </c>
      <c r="W122" s="209">
        <f t="shared" si="294"/>
        <v>0</v>
      </c>
      <c r="X122" s="53">
        <f t="shared" si="294"/>
        <v>0</v>
      </c>
      <c r="Y122" s="209">
        <f t="shared" si="296"/>
        <v>0</v>
      </c>
      <c r="Z122" s="209">
        <f t="shared" si="296"/>
        <v>0</v>
      </c>
      <c r="AA122" s="209">
        <f t="shared" si="296"/>
        <v>0</v>
      </c>
      <c r="AB122" s="209">
        <f t="shared" si="296"/>
        <v>0</v>
      </c>
      <c r="AC122" s="209">
        <f t="shared" si="296"/>
        <v>0</v>
      </c>
      <c r="AD122" s="209">
        <f t="shared" si="296"/>
        <v>0</v>
      </c>
      <c r="AE122" s="209">
        <f t="shared" si="297"/>
        <v>0</v>
      </c>
      <c r="AF122" s="209"/>
      <c r="AG122" s="209">
        <f t="shared" si="297"/>
        <v>0</v>
      </c>
      <c r="AH122" s="209">
        <f t="shared" si="297"/>
        <v>0</v>
      </c>
      <c r="AI122" s="58">
        <f t="shared" si="297"/>
        <v>0</v>
      </c>
      <c r="AJ122" s="209">
        <f t="shared" si="297"/>
        <v>0</v>
      </c>
      <c r="AK122" s="209">
        <f t="shared" si="297"/>
        <v>0</v>
      </c>
      <c r="AL122" s="209">
        <f t="shared" si="297"/>
        <v>0</v>
      </c>
      <c r="AM122" s="209">
        <f t="shared" si="297"/>
        <v>0</v>
      </c>
      <c r="AN122" s="209">
        <f t="shared" si="329"/>
        <v>0</v>
      </c>
      <c r="AO122" s="209">
        <f t="shared" si="329"/>
        <v>0</v>
      </c>
      <c r="AP122" s="209">
        <f t="shared" si="297"/>
        <v>0</v>
      </c>
      <c r="AQ122" s="209">
        <f t="shared" si="297"/>
        <v>0</v>
      </c>
      <c r="AR122" s="53">
        <f t="shared" si="297"/>
        <v>0</v>
      </c>
      <c r="AS122" s="65">
        <f t="shared" si="298"/>
        <v>0</v>
      </c>
      <c r="AT122" s="210">
        <f t="shared" si="298"/>
        <v>0</v>
      </c>
      <c r="AU122" s="210">
        <f t="shared" si="298"/>
        <v>0</v>
      </c>
      <c r="AV122" s="210">
        <f t="shared" si="298"/>
        <v>0</v>
      </c>
      <c r="AW122" s="280">
        <f t="shared" si="298"/>
        <v>0</v>
      </c>
      <c r="AX122" s="210">
        <f t="shared" si="299"/>
        <v>0</v>
      </c>
      <c r="AY122" s="210">
        <f t="shared" si="299"/>
        <v>0</v>
      </c>
      <c r="AZ122" s="210">
        <f t="shared" si="299"/>
        <v>0</v>
      </c>
      <c r="BA122" s="210">
        <f t="shared" si="299"/>
        <v>0</v>
      </c>
      <c r="BB122" s="53">
        <f t="shared" si="299"/>
        <v>0</v>
      </c>
      <c r="BC122" s="58">
        <f t="shared" si="300"/>
        <v>0</v>
      </c>
      <c r="BD122" s="209">
        <f t="shared" si="300"/>
        <v>0</v>
      </c>
      <c r="BE122" s="209">
        <f t="shared" si="300"/>
        <v>0</v>
      </c>
      <c r="BF122" s="209">
        <f t="shared" si="300"/>
        <v>0</v>
      </c>
      <c r="BG122" s="209">
        <f t="shared" si="300"/>
        <v>0</v>
      </c>
      <c r="BH122" s="209">
        <f t="shared" si="300"/>
        <v>0</v>
      </c>
      <c r="BI122" s="209">
        <f t="shared" si="300"/>
        <v>0</v>
      </c>
      <c r="BJ122" s="209">
        <f t="shared" si="301"/>
        <v>0</v>
      </c>
      <c r="BK122" s="209">
        <f t="shared" si="301"/>
        <v>0</v>
      </c>
      <c r="BL122" s="209">
        <f t="shared" si="301"/>
        <v>0</v>
      </c>
      <c r="BM122" s="58">
        <f t="shared" si="302"/>
        <v>0</v>
      </c>
      <c r="BN122" s="209">
        <f t="shared" si="302"/>
        <v>0</v>
      </c>
      <c r="BO122" s="209">
        <f t="shared" si="302"/>
        <v>0</v>
      </c>
      <c r="BP122" s="209">
        <f t="shared" si="302"/>
        <v>0</v>
      </c>
      <c r="BQ122" s="209">
        <f t="shared" si="302"/>
        <v>0</v>
      </c>
      <c r="BR122" s="209">
        <f t="shared" si="302"/>
        <v>0</v>
      </c>
      <c r="BS122" s="209">
        <f t="shared" si="302"/>
        <v>0</v>
      </c>
      <c r="BT122" s="209"/>
      <c r="BU122" s="209"/>
      <c r="BV122" s="209">
        <f t="shared" si="302"/>
        <v>0</v>
      </c>
      <c r="BW122" s="65">
        <f t="shared" si="303"/>
        <v>0</v>
      </c>
      <c r="BX122" s="209">
        <f t="shared" si="303"/>
        <v>0</v>
      </c>
      <c r="BY122" s="209">
        <f t="shared" si="303"/>
        <v>0</v>
      </c>
      <c r="BZ122" s="209">
        <f t="shared" si="303"/>
        <v>0</v>
      </c>
      <c r="CA122" s="209">
        <f t="shared" si="303"/>
        <v>0</v>
      </c>
      <c r="CB122" s="209">
        <f t="shared" si="304"/>
        <v>0</v>
      </c>
      <c r="CC122" s="209">
        <f t="shared" si="304"/>
        <v>0</v>
      </c>
      <c r="CD122" s="209">
        <f t="shared" si="304"/>
        <v>0</v>
      </c>
      <c r="CE122" s="209">
        <f t="shared" si="304"/>
        <v>0</v>
      </c>
      <c r="CF122" s="209">
        <f t="shared" si="304"/>
        <v>0</v>
      </c>
      <c r="CG122" s="65">
        <f t="shared" si="318"/>
        <v>0</v>
      </c>
      <c r="CH122" s="210">
        <f t="shared" si="318"/>
        <v>0</v>
      </c>
      <c r="CI122" s="210">
        <f t="shared" si="318"/>
        <v>0</v>
      </c>
      <c r="CJ122" s="210">
        <f t="shared" si="318"/>
        <v>0</v>
      </c>
      <c r="CK122" s="210">
        <f t="shared" si="318"/>
        <v>0</v>
      </c>
      <c r="CL122" s="210">
        <f t="shared" si="305"/>
        <v>0</v>
      </c>
      <c r="CM122" s="210">
        <f t="shared" si="305"/>
        <v>0</v>
      </c>
      <c r="CN122" s="210">
        <f t="shared" si="305"/>
        <v>0</v>
      </c>
      <c r="CO122" s="210">
        <f t="shared" si="305"/>
        <v>0</v>
      </c>
      <c r="CP122" s="66">
        <f t="shared" si="305"/>
        <v>0</v>
      </c>
      <c r="CQ122" s="65">
        <f t="shared" si="322"/>
        <v>0</v>
      </c>
      <c r="CR122" s="210">
        <f t="shared" si="322"/>
        <v>0</v>
      </c>
      <c r="CS122" s="210">
        <f t="shared" si="322"/>
        <v>0</v>
      </c>
      <c r="CT122" s="210">
        <f t="shared" si="322"/>
        <v>0</v>
      </c>
      <c r="CU122" s="210">
        <f t="shared" si="322"/>
        <v>0</v>
      </c>
      <c r="CV122" s="210">
        <f t="shared" si="306"/>
        <v>0</v>
      </c>
      <c r="CW122" s="210">
        <f t="shared" si="306"/>
        <v>0</v>
      </c>
      <c r="CX122" s="65">
        <f t="shared" si="323"/>
        <v>0</v>
      </c>
      <c r="CY122" s="210">
        <f t="shared" si="323"/>
        <v>0</v>
      </c>
      <c r="CZ122" s="210">
        <f t="shared" si="323"/>
        <v>0</v>
      </c>
      <c r="DA122" s="210">
        <f t="shared" si="323"/>
        <v>0</v>
      </c>
      <c r="DB122" s="210">
        <f t="shared" si="323"/>
        <v>0</v>
      </c>
      <c r="DC122" s="210">
        <f t="shared" si="324"/>
        <v>0</v>
      </c>
      <c r="DD122" s="209">
        <f t="shared" si="324"/>
        <v>0</v>
      </c>
      <c r="DE122" s="65">
        <f t="shared" si="327"/>
        <v>0</v>
      </c>
      <c r="DF122" s="210">
        <f t="shared" si="327"/>
        <v>0</v>
      </c>
      <c r="DG122" s="210">
        <f t="shared" si="327"/>
        <v>0</v>
      </c>
      <c r="DH122" s="210">
        <f t="shared" si="327"/>
        <v>0</v>
      </c>
      <c r="DI122" s="210">
        <f t="shared" si="327"/>
        <v>0</v>
      </c>
      <c r="DJ122" s="210">
        <f t="shared" si="328"/>
        <v>0</v>
      </c>
      <c r="DK122" s="210">
        <f t="shared" si="328"/>
        <v>0</v>
      </c>
      <c r="DL122" s="65">
        <f t="shared" si="319"/>
        <v>0</v>
      </c>
      <c r="DM122" s="210">
        <f t="shared" si="319"/>
        <v>0</v>
      </c>
      <c r="DN122" s="210">
        <f t="shared" si="319"/>
        <v>0</v>
      </c>
      <c r="DO122" s="210">
        <f t="shared" si="319"/>
        <v>0</v>
      </c>
      <c r="DP122" s="210">
        <f t="shared" si="319"/>
        <v>0</v>
      </c>
      <c r="DQ122" s="210">
        <f t="shared" si="307"/>
        <v>0</v>
      </c>
      <c r="DR122" s="210">
        <f t="shared" si="307"/>
        <v>0</v>
      </c>
      <c r="DS122" s="210">
        <f t="shared" si="307"/>
        <v>0</v>
      </c>
    </row>
    <row r="123" spans="1:124" s="201" customFormat="1" ht="26.25" hidden="1" customHeight="1" outlineLevel="1" x14ac:dyDescent="0.4">
      <c r="A123" s="347">
        <v>59</v>
      </c>
      <c r="B123" s="347" t="s">
        <v>45</v>
      </c>
      <c r="C123" s="347" t="s">
        <v>346</v>
      </c>
      <c r="D123" s="349"/>
      <c r="E123" s="349"/>
      <c r="F123" s="349"/>
      <c r="G123" s="371"/>
      <c r="H123" s="449">
        <f>SUM(CQ123:CW123)</f>
        <v>0</v>
      </c>
      <c r="I123" s="449">
        <f>SUM(CQ124:CW124)</f>
        <v>0</v>
      </c>
      <c r="J123" s="447"/>
      <c r="K123" s="445"/>
      <c r="L123" s="445"/>
      <c r="M123" s="428"/>
      <c r="N123" s="21" t="s">
        <v>24</v>
      </c>
      <c r="O123" s="190">
        <f t="shared" si="294"/>
        <v>0</v>
      </c>
      <c r="P123" s="190">
        <f t="shared" si="294"/>
        <v>0</v>
      </c>
      <c r="Q123" s="190">
        <f t="shared" si="294"/>
        <v>0</v>
      </c>
      <c r="R123" s="190">
        <f t="shared" si="294"/>
        <v>0</v>
      </c>
      <c r="S123" s="190">
        <f t="shared" si="294"/>
        <v>0</v>
      </c>
      <c r="T123" s="190">
        <f t="shared" si="294"/>
        <v>0</v>
      </c>
      <c r="U123" s="190">
        <f t="shared" si="294"/>
        <v>0</v>
      </c>
      <c r="V123" s="190">
        <f t="shared" si="295"/>
        <v>0</v>
      </c>
      <c r="W123" s="190">
        <f t="shared" si="294"/>
        <v>0</v>
      </c>
      <c r="X123" s="86">
        <f t="shared" si="294"/>
        <v>0</v>
      </c>
      <c r="Y123" s="190">
        <f t="shared" si="296"/>
        <v>0</v>
      </c>
      <c r="Z123" s="190">
        <f t="shared" si="296"/>
        <v>0</v>
      </c>
      <c r="AA123" s="190">
        <f t="shared" si="296"/>
        <v>0</v>
      </c>
      <c r="AB123" s="190">
        <f t="shared" si="296"/>
        <v>0</v>
      </c>
      <c r="AC123" s="190">
        <f t="shared" si="296"/>
        <v>0</v>
      </c>
      <c r="AD123" s="190">
        <f t="shared" si="296"/>
        <v>0</v>
      </c>
      <c r="AE123" s="190">
        <f t="shared" si="297"/>
        <v>0</v>
      </c>
      <c r="AF123" s="190"/>
      <c r="AG123" s="190">
        <f t="shared" si="297"/>
        <v>0</v>
      </c>
      <c r="AH123" s="190">
        <f t="shared" si="297"/>
        <v>0</v>
      </c>
      <c r="AI123" s="77">
        <f t="shared" si="297"/>
        <v>0</v>
      </c>
      <c r="AJ123" s="190">
        <f t="shared" si="297"/>
        <v>0</v>
      </c>
      <c r="AK123" s="190">
        <f t="shared" si="297"/>
        <v>0</v>
      </c>
      <c r="AL123" s="190">
        <f t="shared" si="297"/>
        <v>0</v>
      </c>
      <c r="AM123" s="190">
        <f t="shared" si="297"/>
        <v>0</v>
      </c>
      <c r="AN123" s="190">
        <f t="shared" si="329"/>
        <v>0</v>
      </c>
      <c r="AO123" s="190">
        <f t="shared" si="329"/>
        <v>0</v>
      </c>
      <c r="AP123" s="190">
        <f t="shared" si="297"/>
        <v>0</v>
      </c>
      <c r="AQ123" s="190">
        <f t="shared" si="297"/>
        <v>0</v>
      </c>
      <c r="AR123" s="225">
        <f t="shared" si="297"/>
        <v>0</v>
      </c>
      <c r="AS123" s="23">
        <f t="shared" ref="AS123:AW147" si="330">0/150</f>
        <v>0</v>
      </c>
      <c r="AT123" s="190">
        <f t="shared" si="330"/>
        <v>0</v>
      </c>
      <c r="AU123" s="190">
        <f t="shared" si="330"/>
        <v>0</v>
      </c>
      <c r="AV123" s="190">
        <f t="shared" si="330"/>
        <v>0</v>
      </c>
      <c r="AW123" s="190">
        <f t="shared" si="330"/>
        <v>0</v>
      </c>
      <c r="AX123" s="190">
        <f t="shared" si="299"/>
        <v>0</v>
      </c>
      <c r="AY123" s="190">
        <f t="shared" si="299"/>
        <v>0</v>
      </c>
      <c r="AZ123" s="190">
        <f t="shared" si="299"/>
        <v>0</v>
      </c>
      <c r="BA123" s="190">
        <f t="shared" si="299"/>
        <v>0</v>
      </c>
      <c r="BB123" s="225">
        <f t="shared" si="299"/>
        <v>0</v>
      </c>
      <c r="BC123" s="77">
        <f t="shared" si="300"/>
        <v>0</v>
      </c>
      <c r="BD123" s="190">
        <f t="shared" si="300"/>
        <v>0</v>
      </c>
      <c r="BE123" s="190">
        <f t="shared" si="300"/>
        <v>0</v>
      </c>
      <c r="BF123" s="190">
        <f t="shared" si="300"/>
        <v>0</v>
      </c>
      <c r="BG123" s="190">
        <f t="shared" si="300"/>
        <v>0</v>
      </c>
      <c r="BH123" s="190">
        <f t="shared" si="300"/>
        <v>0</v>
      </c>
      <c r="BI123" s="190">
        <f t="shared" si="300"/>
        <v>0</v>
      </c>
      <c r="BJ123" s="190">
        <f t="shared" si="301"/>
        <v>0</v>
      </c>
      <c r="BK123" s="190">
        <f t="shared" si="301"/>
        <v>0</v>
      </c>
      <c r="BL123" s="190">
        <f t="shared" si="301"/>
        <v>0</v>
      </c>
      <c r="BM123" s="77">
        <f t="shared" si="302"/>
        <v>0</v>
      </c>
      <c r="BN123" s="190">
        <f t="shared" si="302"/>
        <v>0</v>
      </c>
      <c r="BO123" s="190">
        <f t="shared" si="302"/>
        <v>0</v>
      </c>
      <c r="BP123" s="190">
        <f t="shared" si="302"/>
        <v>0</v>
      </c>
      <c r="BQ123" s="190">
        <f t="shared" si="302"/>
        <v>0</v>
      </c>
      <c r="BR123" s="190">
        <f t="shared" si="302"/>
        <v>0</v>
      </c>
      <c r="BS123" s="190">
        <f t="shared" si="302"/>
        <v>0</v>
      </c>
      <c r="BT123" s="190"/>
      <c r="BU123" s="190"/>
      <c r="BV123" s="190">
        <f t="shared" si="302"/>
        <v>0</v>
      </c>
      <c r="BW123" s="23">
        <f t="shared" si="303"/>
        <v>0</v>
      </c>
      <c r="BX123" s="190">
        <f t="shared" si="303"/>
        <v>0</v>
      </c>
      <c r="BY123" s="190">
        <f t="shared" si="303"/>
        <v>0</v>
      </c>
      <c r="BZ123" s="190">
        <f t="shared" si="303"/>
        <v>0</v>
      </c>
      <c r="CA123" s="190">
        <f t="shared" si="303"/>
        <v>0</v>
      </c>
      <c r="CB123" s="190">
        <f t="shared" si="304"/>
        <v>0</v>
      </c>
      <c r="CC123" s="190">
        <f t="shared" si="304"/>
        <v>0</v>
      </c>
      <c r="CD123" s="190">
        <f t="shared" si="304"/>
        <v>0</v>
      </c>
      <c r="CE123" s="190">
        <f t="shared" si="304"/>
        <v>0</v>
      </c>
      <c r="CF123" s="190">
        <f t="shared" si="304"/>
        <v>0</v>
      </c>
      <c r="CG123" s="23">
        <f t="shared" si="318"/>
        <v>0</v>
      </c>
      <c r="CH123" s="190">
        <f t="shared" si="318"/>
        <v>0</v>
      </c>
      <c r="CI123" s="190">
        <f t="shared" si="318"/>
        <v>0</v>
      </c>
      <c r="CJ123" s="190">
        <f t="shared" si="318"/>
        <v>0</v>
      </c>
      <c r="CK123" s="190">
        <f t="shared" si="318"/>
        <v>0</v>
      </c>
      <c r="CL123" s="190">
        <f t="shared" si="305"/>
        <v>0</v>
      </c>
      <c r="CM123" s="190">
        <f t="shared" si="305"/>
        <v>0</v>
      </c>
      <c r="CN123" s="190">
        <f t="shared" si="305"/>
        <v>0</v>
      </c>
      <c r="CO123" s="190">
        <f t="shared" si="305"/>
        <v>0</v>
      </c>
      <c r="CP123" s="21">
        <f t="shared" si="305"/>
        <v>0</v>
      </c>
      <c r="CQ123" s="23">
        <f t="shared" si="322"/>
        <v>0</v>
      </c>
      <c r="CR123" s="190">
        <f t="shared" si="322"/>
        <v>0</v>
      </c>
      <c r="CS123" s="190">
        <f t="shared" si="322"/>
        <v>0</v>
      </c>
      <c r="CT123" s="190">
        <f t="shared" si="322"/>
        <v>0</v>
      </c>
      <c r="CU123" s="190">
        <f t="shared" si="322"/>
        <v>0</v>
      </c>
      <c r="CV123" s="190">
        <f t="shared" si="306"/>
        <v>0</v>
      </c>
      <c r="CW123" s="190">
        <f t="shared" si="306"/>
        <v>0</v>
      </c>
      <c r="CX123" s="77">
        <f t="shared" si="323"/>
        <v>0</v>
      </c>
      <c r="CY123" s="190">
        <f t="shared" si="323"/>
        <v>0</v>
      </c>
      <c r="CZ123" s="190">
        <f t="shared" si="323"/>
        <v>0</v>
      </c>
      <c r="DA123" s="190">
        <f t="shared" si="323"/>
        <v>0</v>
      </c>
      <c r="DB123" s="190">
        <f t="shared" si="323"/>
        <v>0</v>
      </c>
      <c r="DC123" s="190">
        <f t="shared" si="324"/>
        <v>0</v>
      </c>
      <c r="DD123" s="190">
        <f t="shared" si="324"/>
        <v>0</v>
      </c>
      <c r="DE123" s="23">
        <f t="shared" si="327"/>
        <v>0</v>
      </c>
      <c r="DF123" s="190">
        <f t="shared" si="327"/>
        <v>0</v>
      </c>
      <c r="DG123" s="190">
        <f t="shared" si="327"/>
        <v>0</v>
      </c>
      <c r="DH123" s="190">
        <f t="shared" si="327"/>
        <v>0</v>
      </c>
      <c r="DI123" s="190">
        <f t="shared" si="327"/>
        <v>0</v>
      </c>
      <c r="DJ123" s="190">
        <f t="shared" si="328"/>
        <v>0</v>
      </c>
      <c r="DK123" s="190">
        <f t="shared" si="328"/>
        <v>0</v>
      </c>
      <c r="DL123" s="23">
        <f t="shared" si="319"/>
        <v>0</v>
      </c>
      <c r="DM123" s="190">
        <f t="shared" si="319"/>
        <v>0</v>
      </c>
      <c r="DN123" s="190">
        <f t="shared" si="319"/>
        <v>0</v>
      </c>
      <c r="DO123" s="190">
        <f t="shared" si="319"/>
        <v>0</v>
      </c>
      <c r="DP123" s="190">
        <f t="shared" si="319"/>
        <v>0</v>
      </c>
      <c r="DQ123" s="190">
        <f t="shared" si="307"/>
        <v>0</v>
      </c>
      <c r="DR123" s="190">
        <f t="shared" si="307"/>
        <v>0</v>
      </c>
      <c r="DS123" s="190">
        <f t="shared" si="307"/>
        <v>0</v>
      </c>
      <c r="DT123" s="54"/>
    </row>
    <row r="124" spans="1:124" s="201" customFormat="1" ht="26.25" hidden="1" customHeight="1" outlineLevel="1" x14ac:dyDescent="0.4">
      <c r="A124" s="348"/>
      <c r="B124" s="348"/>
      <c r="C124" s="348"/>
      <c r="D124" s="350"/>
      <c r="E124" s="350"/>
      <c r="F124" s="350"/>
      <c r="G124" s="371"/>
      <c r="H124" s="450"/>
      <c r="I124" s="450"/>
      <c r="J124" s="448"/>
      <c r="K124" s="446"/>
      <c r="L124" s="446"/>
      <c r="M124" s="429"/>
      <c r="N124" s="209" t="s">
        <v>25</v>
      </c>
      <c r="O124" s="209">
        <f t="shared" si="294"/>
        <v>0</v>
      </c>
      <c r="P124" s="209">
        <f t="shared" si="294"/>
        <v>0</v>
      </c>
      <c r="Q124" s="209">
        <f t="shared" si="294"/>
        <v>0</v>
      </c>
      <c r="R124" s="209">
        <f t="shared" si="294"/>
        <v>0</v>
      </c>
      <c r="S124" s="209">
        <f t="shared" si="294"/>
        <v>0</v>
      </c>
      <c r="T124" s="209">
        <f t="shared" si="294"/>
        <v>0</v>
      </c>
      <c r="U124" s="209">
        <f t="shared" si="294"/>
        <v>0</v>
      </c>
      <c r="V124" s="209">
        <f t="shared" si="295"/>
        <v>0</v>
      </c>
      <c r="W124" s="209">
        <f t="shared" si="294"/>
        <v>0</v>
      </c>
      <c r="X124" s="53">
        <f t="shared" si="294"/>
        <v>0</v>
      </c>
      <c r="Y124" s="209">
        <f t="shared" si="296"/>
        <v>0</v>
      </c>
      <c r="Z124" s="209">
        <f t="shared" si="296"/>
        <v>0</v>
      </c>
      <c r="AA124" s="209">
        <f t="shared" si="296"/>
        <v>0</v>
      </c>
      <c r="AB124" s="209">
        <f t="shared" si="296"/>
        <v>0</v>
      </c>
      <c r="AC124" s="209">
        <f t="shared" si="296"/>
        <v>0</v>
      </c>
      <c r="AD124" s="209">
        <f t="shared" si="296"/>
        <v>0</v>
      </c>
      <c r="AE124" s="209">
        <f t="shared" si="297"/>
        <v>0</v>
      </c>
      <c r="AF124" s="209"/>
      <c r="AG124" s="209">
        <f t="shared" si="297"/>
        <v>0</v>
      </c>
      <c r="AH124" s="209">
        <f t="shared" si="297"/>
        <v>0</v>
      </c>
      <c r="AI124" s="58">
        <f t="shared" si="297"/>
        <v>0</v>
      </c>
      <c r="AJ124" s="209">
        <f t="shared" si="297"/>
        <v>0</v>
      </c>
      <c r="AK124" s="209">
        <f t="shared" si="297"/>
        <v>0</v>
      </c>
      <c r="AL124" s="209">
        <f t="shared" si="297"/>
        <v>0</v>
      </c>
      <c r="AM124" s="209">
        <f t="shared" si="297"/>
        <v>0</v>
      </c>
      <c r="AN124" s="209">
        <f t="shared" si="329"/>
        <v>0</v>
      </c>
      <c r="AO124" s="209">
        <f t="shared" si="329"/>
        <v>0</v>
      </c>
      <c r="AP124" s="209">
        <f t="shared" si="297"/>
        <v>0</v>
      </c>
      <c r="AQ124" s="209">
        <f t="shared" si="297"/>
        <v>0</v>
      </c>
      <c r="AR124" s="53">
        <f t="shared" si="297"/>
        <v>0</v>
      </c>
      <c r="AS124" s="65">
        <f t="shared" si="330"/>
        <v>0</v>
      </c>
      <c r="AT124" s="210">
        <f t="shared" si="330"/>
        <v>0</v>
      </c>
      <c r="AU124" s="210">
        <f t="shared" si="330"/>
        <v>0</v>
      </c>
      <c r="AV124" s="210">
        <f t="shared" si="330"/>
        <v>0</v>
      </c>
      <c r="AW124" s="280">
        <f t="shared" si="330"/>
        <v>0</v>
      </c>
      <c r="AX124" s="210">
        <f t="shared" si="299"/>
        <v>0</v>
      </c>
      <c r="AY124" s="210">
        <f t="shared" si="299"/>
        <v>0</v>
      </c>
      <c r="AZ124" s="210">
        <f t="shared" si="299"/>
        <v>0</v>
      </c>
      <c r="BA124" s="210">
        <f t="shared" si="299"/>
        <v>0</v>
      </c>
      <c r="BB124" s="53">
        <f t="shared" si="299"/>
        <v>0</v>
      </c>
      <c r="BC124" s="58">
        <f t="shared" si="300"/>
        <v>0</v>
      </c>
      <c r="BD124" s="209">
        <f t="shared" si="300"/>
        <v>0</v>
      </c>
      <c r="BE124" s="209">
        <f t="shared" si="300"/>
        <v>0</v>
      </c>
      <c r="BF124" s="209">
        <f t="shared" si="300"/>
        <v>0</v>
      </c>
      <c r="BG124" s="209">
        <f t="shared" si="300"/>
        <v>0</v>
      </c>
      <c r="BH124" s="209">
        <f t="shared" si="300"/>
        <v>0</v>
      </c>
      <c r="BI124" s="209">
        <f t="shared" si="300"/>
        <v>0</v>
      </c>
      <c r="BJ124" s="209">
        <f t="shared" si="301"/>
        <v>0</v>
      </c>
      <c r="BK124" s="209">
        <f t="shared" si="301"/>
        <v>0</v>
      </c>
      <c r="BL124" s="209">
        <f t="shared" si="301"/>
        <v>0</v>
      </c>
      <c r="BM124" s="58">
        <f t="shared" si="302"/>
        <v>0</v>
      </c>
      <c r="BN124" s="209">
        <f t="shared" si="302"/>
        <v>0</v>
      </c>
      <c r="BO124" s="209">
        <f t="shared" si="302"/>
        <v>0</v>
      </c>
      <c r="BP124" s="209">
        <f t="shared" si="302"/>
        <v>0</v>
      </c>
      <c r="BQ124" s="209">
        <f t="shared" si="302"/>
        <v>0</v>
      </c>
      <c r="BR124" s="209">
        <f t="shared" si="302"/>
        <v>0</v>
      </c>
      <c r="BS124" s="209">
        <f t="shared" si="302"/>
        <v>0</v>
      </c>
      <c r="BT124" s="209"/>
      <c r="BU124" s="209"/>
      <c r="BV124" s="209">
        <f t="shared" si="302"/>
        <v>0</v>
      </c>
      <c r="BW124" s="65">
        <f t="shared" si="303"/>
        <v>0</v>
      </c>
      <c r="BX124" s="209">
        <f t="shared" si="303"/>
        <v>0</v>
      </c>
      <c r="BY124" s="209">
        <f t="shared" si="303"/>
        <v>0</v>
      </c>
      <c r="BZ124" s="209">
        <f t="shared" si="303"/>
        <v>0</v>
      </c>
      <c r="CA124" s="209">
        <f t="shared" si="303"/>
        <v>0</v>
      </c>
      <c r="CB124" s="209">
        <f t="shared" si="304"/>
        <v>0</v>
      </c>
      <c r="CC124" s="209">
        <f t="shared" si="304"/>
        <v>0</v>
      </c>
      <c r="CD124" s="209">
        <f t="shared" si="304"/>
        <v>0</v>
      </c>
      <c r="CE124" s="209">
        <f t="shared" si="304"/>
        <v>0</v>
      </c>
      <c r="CF124" s="209">
        <f t="shared" si="304"/>
        <v>0</v>
      </c>
      <c r="CG124" s="65">
        <f t="shared" si="318"/>
        <v>0</v>
      </c>
      <c r="CH124" s="210">
        <f t="shared" si="318"/>
        <v>0</v>
      </c>
      <c r="CI124" s="210">
        <f t="shared" si="318"/>
        <v>0</v>
      </c>
      <c r="CJ124" s="210">
        <f t="shared" si="318"/>
        <v>0</v>
      </c>
      <c r="CK124" s="210">
        <f t="shared" si="318"/>
        <v>0</v>
      </c>
      <c r="CL124" s="210">
        <f t="shared" si="305"/>
        <v>0</v>
      </c>
      <c r="CM124" s="210">
        <f t="shared" si="305"/>
        <v>0</v>
      </c>
      <c r="CN124" s="210">
        <f t="shared" si="305"/>
        <v>0</v>
      </c>
      <c r="CO124" s="210">
        <f t="shared" si="305"/>
        <v>0</v>
      </c>
      <c r="CP124" s="66">
        <f t="shared" si="305"/>
        <v>0</v>
      </c>
      <c r="CQ124" s="65">
        <f t="shared" si="322"/>
        <v>0</v>
      </c>
      <c r="CR124" s="210">
        <f t="shared" si="322"/>
        <v>0</v>
      </c>
      <c r="CS124" s="210">
        <f t="shared" si="322"/>
        <v>0</v>
      </c>
      <c r="CT124" s="210">
        <f t="shared" si="322"/>
        <v>0</v>
      </c>
      <c r="CU124" s="210">
        <f t="shared" si="322"/>
        <v>0</v>
      </c>
      <c r="CV124" s="210">
        <f t="shared" si="306"/>
        <v>0</v>
      </c>
      <c r="CW124" s="210">
        <f t="shared" si="306"/>
        <v>0</v>
      </c>
      <c r="CX124" s="65">
        <f t="shared" si="323"/>
        <v>0</v>
      </c>
      <c r="CY124" s="210">
        <f t="shared" si="323"/>
        <v>0</v>
      </c>
      <c r="CZ124" s="210">
        <f t="shared" si="323"/>
        <v>0</v>
      </c>
      <c r="DA124" s="210">
        <f t="shared" si="323"/>
        <v>0</v>
      </c>
      <c r="DB124" s="210">
        <f t="shared" si="323"/>
        <v>0</v>
      </c>
      <c r="DC124" s="210">
        <f t="shared" si="324"/>
        <v>0</v>
      </c>
      <c r="DD124" s="209">
        <f t="shared" si="324"/>
        <v>0</v>
      </c>
      <c r="DE124" s="65">
        <f t="shared" si="327"/>
        <v>0</v>
      </c>
      <c r="DF124" s="210">
        <f t="shared" si="327"/>
        <v>0</v>
      </c>
      <c r="DG124" s="210">
        <f t="shared" si="327"/>
        <v>0</v>
      </c>
      <c r="DH124" s="210">
        <f t="shared" si="327"/>
        <v>0</v>
      </c>
      <c r="DI124" s="210">
        <f t="shared" si="327"/>
        <v>0</v>
      </c>
      <c r="DJ124" s="210">
        <f t="shared" si="328"/>
        <v>0</v>
      </c>
      <c r="DK124" s="210">
        <f t="shared" si="328"/>
        <v>0</v>
      </c>
      <c r="DL124" s="65">
        <f t="shared" si="319"/>
        <v>0</v>
      </c>
      <c r="DM124" s="210">
        <f t="shared" si="319"/>
        <v>0</v>
      </c>
      <c r="DN124" s="210">
        <f t="shared" si="319"/>
        <v>0</v>
      </c>
      <c r="DO124" s="210">
        <f t="shared" si="319"/>
        <v>0</v>
      </c>
      <c r="DP124" s="210">
        <f t="shared" si="319"/>
        <v>0</v>
      </c>
      <c r="DQ124" s="210">
        <f t="shared" si="307"/>
        <v>0</v>
      </c>
      <c r="DR124" s="210">
        <f t="shared" si="307"/>
        <v>0</v>
      </c>
      <c r="DS124" s="210">
        <f t="shared" si="307"/>
        <v>0</v>
      </c>
    </row>
    <row r="125" spans="1:124" s="201" customFormat="1" ht="26.25" hidden="1" customHeight="1" outlineLevel="1" x14ac:dyDescent="0.4">
      <c r="A125" s="347">
        <v>60</v>
      </c>
      <c r="B125" s="347" t="s">
        <v>45</v>
      </c>
      <c r="C125" s="347" t="s">
        <v>346</v>
      </c>
      <c r="D125" s="349"/>
      <c r="E125" s="349"/>
      <c r="F125" s="349"/>
      <c r="G125" s="371"/>
      <c r="H125" s="449">
        <f>SUM(CQ125:CW125)</f>
        <v>0</v>
      </c>
      <c r="I125" s="449">
        <f>SUM(CQ126:CW126)</f>
        <v>0</v>
      </c>
      <c r="J125" s="447"/>
      <c r="K125" s="445"/>
      <c r="L125" s="445"/>
      <c r="M125" s="428"/>
      <c r="N125" s="21" t="s">
        <v>24</v>
      </c>
      <c r="O125" s="190">
        <f t="shared" si="294"/>
        <v>0</v>
      </c>
      <c r="P125" s="190">
        <f t="shared" si="294"/>
        <v>0</v>
      </c>
      <c r="Q125" s="190">
        <f t="shared" si="294"/>
        <v>0</v>
      </c>
      <c r="R125" s="190">
        <f t="shared" si="294"/>
        <v>0</v>
      </c>
      <c r="S125" s="190">
        <f t="shared" si="294"/>
        <v>0</v>
      </c>
      <c r="T125" s="190">
        <f t="shared" si="294"/>
        <v>0</v>
      </c>
      <c r="U125" s="190">
        <f t="shared" si="294"/>
        <v>0</v>
      </c>
      <c r="V125" s="190">
        <f t="shared" si="295"/>
        <v>0</v>
      </c>
      <c r="W125" s="190">
        <f t="shared" si="294"/>
        <v>0</v>
      </c>
      <c r="X125" s="86">
        <f t="shared" si="294"/>
        <v>0</v>
      </c>
      <c r="Y125" s="190">
        <f t="shared" si="296"/>
        <v>0</v>
      </c>
      <c r="Z125" s="190">
        <f t="shared" si="296"/>
        <v>0</v>
      </c>
      <c r="AA125" s="190">
        <f t="shared" si="296"/>
        <v>0</v>
      </c>
      <c r="AB125" s="190">
        <f t="shared" si="296"/>
        <v>0</v>
      </c>
      <c r="AC125" s="190">
        <f t="shared" si="296"/>
        <v>0</v>
      </c>
      <c r="AD125" s="190">
        <f t="shared" si="296"/>
        <v>0</v>
      </c>
      <c r="AE125" s="190">
        <f t="shared" si="297"/>
        <v>0</v>
      </c>
      <c r="AF125" s="190"/>
      <c r="AG125" s="190">
        <f t="shared" si="297"/>
        <v>0</v>
      </c>
      <c r="AH125" s="190">
        <f t="shared" si="297"/>
        <v>0</v>
      </c>
      <c r="AI125" s="77">
        <f t="shared" si="297"/>
        <v>0</v>
      </c>
      <c r="AJ125" s="190">
        <f t="shared" si="297"/>
        <v>0</v>
      </c>
      <c r="AK125" s="190">
        <f t="shared" si="297"/>
        <v>0</v>
      </c>
      <c r="AL125" s="190">
        <f t="shared" si="297"/>
        <v>0</v>
      </c>
      <c r="AM125" s="190">
        <f t="shared" si="297"/>
        <v>0</v>
      </c>
      <c r="AN125" s="190">
        <f t="shared" si="329"/>
        <v>0</v>
      </c>
      <c r="AO125" s="190">
        <f t="shared" si="329"/>
        <v>0</v>
      </c>
      <c r="AP125" s="190">
        <f t="shared" si="297"/>
        <v>0</v>
      </c>
      <c r="AQ125" s="190">
        <f t="shared" si="297"/>
        <v>0</v>
      </c>
      <c r="AR125" s="225">
        <f t="shared" si="297"/>
        <v>0</v>
      </c>
      <c r="AS125" s="23">
        <f t="shared" si="330"/>
        <v>0</v>
      </c>
      <c r="AT125" s="190">
        <f t="shared" si="330"/>
        <v>0</v>
      </c>
      <c r="AU125" s="190">
        <f t="shared" si="330"/>
        <v>0</v>
      </c>
      <c r="AV125" s="190">
        <f t="shared" si="330"/>
        <v>0</v>
      </c>
      <c r="AW125" s="190">
        <f t="shared" si="330"/>
        <v>0</v>
      </c>
      <c r="AX125" s="190">
        <f t="shared" si="299"/>
        <v>0</v>
      </c>
      <c r="AY125" s="190">
        <f t="shared" si="299"/>
        <v>0</v>
      </c>
      <c r="AZ125" s="190">
        <f t="shared" si="299"/>
        <v>0</v>
      </c>
      <c r="BA125" s="190">
        <f t="shared" si="299"/>
        <v>0</v>
      </c>
      <c r="BB125" s="225">
        <f t="shared" si="299"/>
        <v>0</v>
      </c>
      <c r="BC125" s="77">
        <f t="shared" si="300"/>
        <v>0</v>
      </c>
      <c r="BD125" s="190">
        <f t="shared" si="300"/>
        <v>0</v>
      </c>
      <c r="BE125" s="190">
        <f t="shared" si="300"/>
        <v>0</v>
      </c>
      <c r="BF125" s="190">
        <f t="shared" si="300"/>
        <v>0</v>
      </c>
      <c r="BG125" s="190">
        <f t="shared" si="300"/>
        <v>0</v>
      </c>
      <c r="BH125" s="190">
        <f t="shared" si="300"/>
        <v>0</v>
      </c>
      <c r="BI125" s="190">
        <f t="shared" si="300"/>
        <v>0</v>
      </c>
      <c r="BJ125" s="190">
        <f t="shared" si="301"/>
        <v>0</v>
      </c>
      <c r="BK125" s="190">
        <f t="shared" si="301"/>
        <v>0</v>
      </c>
      <c r="BL125" s="190">
        <f t="shared" si="301"/>
        <v>0</v>
      </c>
      <c r="BM125" s="77">
        <f t="shared" si="302"/>
        <v>0</v>
      </c>
      <c r="BN125" s="190">
        <f t="shared" si="302"/>
        <v>0</v>
      </c>
      <c r="BO125" s="190">
        <f t="shared" si="302"/>
        <v>0</v>
      </c>
      <c r="BP125" s="190">
        <f t="shared" si="302"/>
        <v>0</v>
      </c>
      <c r="BQ125" s="190">
        <f t="shared" si="302"/>
        <v>0</v>
      </c>
      <c r="BR125" s="190">
        <f t="shared" si="302"/>
        <v>0</v>
      </c>
      <c r="BS125" s="190">
        <f t="shared" si="302"/>
        <v>0</v>
      </c>
      <c r="BT125" s="190"/>
      <c r="BU125" s="190"/>
      <c r="BV125" s="190">
        <f t="shared" si="302"/>
        <v>0</v>
      </c>
      <c r="BW125" s="23">
        <f t="shared" si="303"/>
        <v>0</v>
      </c>
      <c r="BX125" s="190">
        <f t="shared" si="303"/>
        <v>0</v>
      </c>
      <c r="BY125" s="190">
        <f t="shared" si="303"/>
        <v>0</v>
      </c>
      <c r="BZ125" s="190">
        <f t="shared" si="303"/>
        <v>0</v>
      </c>
      <c r="CA125" s="190">
        <f t="shared" si="303"/>
        <v>0</v>
      </c>
      <c r="CB125" s="190">
        <f t="shared" si="304"/>
        <v>0</v>
      </c>
      <c r="CC125" s="190">
        <f t="shared" si="304"/>
        <v>0</v>
      </c>
      <c r="CD125" s="190">
        <f t="shared" si="304"/>
        <v>0</v>
      </c>
      <c r="CE125" s="190">
        <f t="shared" si="304"/>
        <v>0</v>
      </c>
      <c r="CF125" s="190">
        <f t="shared" si="304"/>
        <v>0</v>
      </c>
      <c r="CG125" s="23">
        <f t="shared" si="318"/>
        <v>0</v>
      </c>
      <c r="CH125" s="190">
        <f t="shared" si="318"/>
        <v>0</v>
      </c>
      <c r="CI125" s="190">
        <f t="shared" si="318"/>
        <v>0</v>
      </c>
      <c r="CJ125" s="190">
        <f t="shared" si="318"/>
        <v>0</v>
      </c>
      <c r="CK125" s="190">
        <f t="shared" si="318"/>
        <v>0</v>
      </c>
      <c r="CL125" s="190">
        <f t="shared" si="305"/>
        <v>0</v>
      </c>
      <c r="CM125" s="190">
        <f t="shared" si="305"/>
        <v>0</v>
      </c>
      <c r="CN125" s="190">
        <f t="shared" si="305"/>
        <v>0</v>
      </c>
      <c r="CO125" s="190">
        <f t="shared" si="305"/>
        <v>0</v>
      </c>
      <c r="CP125" s="21">
        <f t="shared" si="305"/>
        <v>0</v>
      </c>
      <c r="CQ125" s="23">
        <f t="shared" si="322"/>
        <v>0</v>
      </c>
      <c r="CR125" s="190">
        <f t="shared" si="322"/>
        <v>0</v>
      </c>
      <c r="CS125" s="190">
        <f t="shared" si="322"/>
        <v>0</v>
      </c>
      <c r="CT125" s="190">
        <f t="shared" si="322"/>
        <v>0</v>
      </c>
      <c r="CU125" s="190">
        <f t="shared" si="322"/>
        <v>0</v>
      </c>
      <c r="CV125" s="190">
        <f t="shared" si="306"/>
        <v>0</v>
      </c>
      <c r="CW125" s="190">
        <f t="shared" si="306"/>
        <v>0</v>
      </c>
      <c r="CX125" s="77">
        <f t="shared" si="323"/>
        <v>0</v>
      </c>
      <c r="CY125" s="190">
        <f t="shared" si="323"/>
        <v>0</v>
      </c>
      <c r="CZ125" s="190">
        <f t="shared" si="323"/>
        <v>0</v>
      </c>
      <c r="DA125" s="190">
        <f t="shared" si="323"/>
        <v>0</v>
      </c>
      <c r="DB125" s="190">
        <f t="shared" si="323"/>
        <v>0</v>
      </c>
      <c r="DC125" s="190">
        <f t="shared" si="324"/>
        <v>0</v>
      </c>
      <c r="DD125" s="190">
        <f t="shared" si="324"/>
        <v>0</v>
      </c>
      <c r="DE125" s="23">
        <f t="shared" si="327"/>
        <v>0</v>
      </c>
      <c r="DF125" s="190">
        <f t="shared" si="327"/>
        <v>0</v>
      </c>
      <c r="DG125" s="190">
        <f t="shared" si="327"/>
        <v>0</v>
      </c>
      <c r="DH125" s="190">
        <f t="shared" si="327"/>
        <v>0</v>
      </c>
      <c r="DI125" s="190">
        <f t="shared" si="327"/>
        <v>0</v>
      </c>
      <c r="DJ125" s="190">
        <f t="shared" si="328"/>
        <v>0</v>
      </c>
      <c r="DK125" s="190">
        <f t="shared" si="328"/>
        <v>0</v>
      </c>
      <c r="DL125" s="23">
        <f t="shared" si="319"/>
        <v>0</v>
      </c>
      <c r="DM125" s="190">
        <f t="shared" si="319"/>
        <v>0</v>
      </c>
      <c r="DN125" s="190">
        <f t="shared" si="319"/>
        <v>0</v>
      </c>
      <c r="DO125" s="190">
        <f t="shared" si="319"/>
        <v>0</v>
      </c>
      <c r="DP125" s="190">
        <f t="shared" si="319"/>
        <v>0</v>
      </c>
      <c r="DQ125" s="190">
        <f t="shared" si="307"/>
        <v>0</v>
      </c>
      <c r="DR125" s="190">
        <f t="shared" si="307"/>
        <v>0</v>
      </c>
      <c r="DS125" s="190">
        <f t="shared" si="307"/>
        <v>0</v>
      </c>
      <c r="DT125" s="54"/>
    </row>
    <row r="126" spans="1:124" s="201" customFormat="1" ht="26.25" hidden="1" customHeight="1" outlineLevel="1" x14ac:dyDescent="0.4">
      <c r="A126" s="348"/>
      <c r="B126" s="348"/>
      <c r="C126" s="348"/>
      <c r="D126" s="350"/>
      <c r="E126" s="350"/>
      <c r="F126" s="350"/>
      <c r="G126" s="371"/>
      <c r="H126" s="450"/>
      <c r="I126" s="450"/>
      <c r="J126" s="448"/>
      <c r="K126" s="446"/>
      <c r="L126" s="446"/>
      <c r="M126" s="429"/>
      <c r="N126" s="209" t="s">
        <v>25</v>
      </c>
      <c r="O126" s="209">
        <f t="shared" si="294"/>
        <v>0</v>
      </c>
      <c r="P126" s="209">
        <f t="shared" si="294"/>
        <v>0</v>
      </c>
      <c r="Q126" s="209">
        <f t="shared" si="294"/>
        <v>0</v>
      </c>
      <c r="R126" s="209">
        <f t="shared" si="294"/>
        <v>0</v>
      </c>
      <c r="S126" s="209">
        <f t="shared" si="294"/>
        <v>0</v>
      </c>
      <c r="T126" s="209">
        <f t="shared" si="294"/>
        <v>0</v>
      </c>
      <c r="U126" s="209">
        <f t="shared" si="294"/>
        <v>0</v>
      </c>
      <c r="V126" s="209">
        <f t="shared" si="295"/>
        <v>0</v>
      </c>
      <c r="W126" s="209">
        <f t="shared" si="294"/>
        <v>0</v>
      </c>
      <c r="X126" s="53">
        <f t="shared" si="294"/>
        <v>0</v>
      </c>
      <c r="Y126" s="209">
        <f t="shared" si="296"/>
        <v>0</v>
      </c>
      <c r="Z126" s="209">
        <f t="shared" si="296"/>
        <v>0</v>
      </c>
      <c r="AA126" s="209">
        <f t="shared" si="296"/>
        <v>0</v>
      </c>
      <c r="AB126" s="209">
        <f t="shared" si="296"/>
        <v>0</v>
      </c>
      <c r="AC126" s="209">
        <f t="shared" si="296"/>
        <v>0</v>
      </c>
      <c r="AD126" s="209">
        <f t="shared" si="296"/>
        <v>0</v>
      </c>
      <c r="AE126" s="209">
        <f t="shared" si="297"/>
        <v>0</v>
      </c>
      <c r="AF126" s="209"/>
      <c r="AG126" s="209">
        <f t="shared" si="297"/>
        <v>0</v>
      </c>
      <c r="AH126" s="209">
        <f t="shared" si="297"/>
        <v>0</v>
      </c>
      <c r="AI126" s="58">
        <f t="shared" si="297"/>
        <v>0</v>
      </c>
      <c r="AJ126" s="209">
        <f t="shared" si="297"/>
        <v>0</v>
      </c>
      <c r="AK126" s="209">
        <f t="shared" si="297"/>
        <v>0</v>
      </c>
      <c r="AL126" s="209">
        <f t="shared" si="297"/>
        <v>0</v>
      </c>
      <c r="AM126" s="209">
        <f t="shared" si="297"/>
        <v>0</v>
      </c>
      <c r="AN126" s="209">
        <f t="shared" si="329"/>
        <v>0</v>
      </c>
      <c r="AO126" s="209">
        <f t="shared" si="329"/>
        <v>0</v>
      </c>
      <c r="AP126" s="209">
        <f t="shared" si="297"/>
        <v>0</v>
      </c>
      <c r="AQ126" s="209">
        <f t="shared" si="297"/>
        <v>0</v>
      </c>
      <c r="AR126" s="53">
        <f t="shared" si="297"/>
        <v>0</v>
      </c>
      <c r="AS126" s="65">
        <f t="shared" si="330"/>
        <v>0</v>
      </c>
      <c r="AT126" s="210">
        <f t="shared" si="330"/>
        <v>0</v>
      </c>
      <c r="AU126" s="210">
        <f t="shared" si="330"/>
        <v>0</v>
      </c>
      <c r="AV126" s="210">
        <f t="shared" si="330"/>
        <v>0</v>
      </c>
      <c r="AW126" s="280">
        <f t="shared" si="330"/>
        <v>0</v>
      </c>
      <c r="AX126" s="210">
        <f t="shared" si="299"/>
        <v>0</v>
      </c>
      <c r="AY126" s="210">
        <f t="shared" si="299"/>
        <v>0</v>
      </c>
      <c r="AZ126" s="210">
        <f t="shared" si="299"/>
        <v>0</v>
      </c>
      <c r="BA126" s="210">
        <f t="shared" si="299"/>
        <v>0</v>
      </c>
      <c r="BB126" s="53">
        <f t="shared" si="299"/>
        <v>0</v>
      </c>
      <c r="BC126" s="58">
        <f t="shared" si="300"/>
        <v>0</v>
      </c>
      <c r="BD126" s="209">
        <f t="shared" si="300"/>
        <v>0</v>
      </c>
      <c r="BE126" s="209">
        <f t="shared" si="300"/>
        <v>0</v>
      </c>
      <c r="BF126" s="209">
        <f t="shared" si="300"/>
        <v>0</v>
      </c>
      <c r="BG126" s="209">
        <f t="shared" si="300"/>
        <v>0</v>
      </c>
      <c r="BH126" s="209">
        <f t="shared" si="300"/>
        <v>0</v>
      </c>
      <c r="BI126" s="209">
        <f t="shared" si="300"/>
        <v>0</v>
      </c>
      <c r="BJ126" s="209">
        <f t="shared" si="301"/>
        <v>0</v>
      </c>
      <c r="BK126" s="209">
        <f t="shared" si="301"/>
        <v>0</v>
      </c>
      <c r="BL126" s="209">
        <f t="shared" si="301"/>
        <v>0</v>
      </c>
      <c r="BM126" s="58">
        <f t="shared" si="302"/>
        <v>0</v>
      </c>
      <c r="BN126" s="209">
        <f t="shared" si="302"/>
        <v>0</v>
      </c>
      <c r="BO126" s="209">
        <f t="shared" si="302"/>
        <v>0</v>
      </c>
      <c r="BP126" s="209">
        <f t="shared" si="302"/>
        <v>0</v>
      </c>
      <c r="BQ126" s="209">
        <f t="shared" si="302"/>
        <v>0</v>
      </c>
      <c r="BR126" s="209">
        <f t="shared" si="302"/>
        <v>0</v>
      </c>
      <c r="BS126" s="209">
        <f t="shared" si="302"/>
        <v>0</v>
      </c>
      <c r="BT126" s="209"/>
      <c r="BU126" s="209"/>
      <c r="BV126" s="209">
        <f t="shared" si="302"/>
        <v>0</v>
      </c>
      <c r="BW126" s="65">
        <f t="shared" si="303"/>
        <v>0</v>
      </c>
      <c r="BX126" s="209">
        <f t="shared" si="303"/>
        <v>0</v>
      </c>
      <c r="BY126" s="209">
        <f t="shared" si="303"/>
        <v>0</v>
      </c>
      <c r="BZ126" s="209">
        <f t="shared" si="303"/>
        <v>0</v>
      </c>
      <c r="CA126" s="209">
        <f t="shared" si="303"/>
        <v>0</v>
      </c>
      <c r="CB126" s="209">
        <f t="shared" si="304"/>
        <v>0</v>
      </c>
      <c r="CC126" s="209">
        <f t="shared" si="304"/>
        <v>0</v>
      </c>
      <c r="CD126" s="209">
        <f t="shared" si="304"/>
        <v>0</v>
      </c>
      <c r="CE126" s="209">
        <f t="shared" si="304"/>
        <v>0</v>
      </c>
      <c r="CF126" s="209">
        <f t="shared" si="304"/>
        <v>0</v>
      </c>
      <c r="CG126" s="65">
        <f t="shared" si="318"/>
        <v>0</v>
      </c>
      <c r="CH126" s="210">
        <f t="shared" si="318"/>
        <v>0</v>
      </c>
      <c r="CI126" s="210">
        <f t="shared" si="318"/>
        <v>0</v>
      </c>
      <c r="CJ126" s="210">
        <f t="shared" si="318"/>
        <v>0</v>
      </c>
      <c r="CK126" s="210">
        <f t="shared" si="318"/>
        <v>0</v>
      </c>
      <c r="CL126" s="210">
        <f t="shared" si="305"/>
        <v>0</v>
      </c>
      <c r="CM126" s="210">
        <f t="shared" si="305"/>
        <v>0</v>
      </c>
      <c r="CN126" s="210">
        <f t="shared" si="305"/>
        <v>0</v>
      </c>
      <c r="CO126" s="210">
        <f t="shared" si="305"/>
        <v>0</v>
      </c>
      <c r="CP126" s="66">
        <f t="shared" si="305"/>
        <v>0</v>
      </c>
      <c r="CQ126" s="65">
        <f t="shared" si="322"/>
        <v>0</v>
      </c>
      <c r="CR126" s="210">
        <f t="shared" si="322"/>
        <v>0</v>
      </c>
      <c r="CS126" s="210">
        <f t="shared" si="322"/>
        <v>0</v>
      </c>
      <c r="CT126" s="210">
        <f t="shared" si="322"/>
        <v>0</v>
      </c>
      <c r="CU126" s="210">
        <f t="shared" si="322"/>
        <v>0</v>
      </c>
      <c r="CV126" s="210">
        <f t="shared" si="306"/>
        <v>0</v>
      </c>
      <c r="CW126" s="210">
        <f t="shared" si="306"/>
        <v>0</v>
      </c>
      <c r="CX126" s="65">
        <f t="shared" si="323"/>
        <v>0</v>
      </c>
      <c r="CY126" s="210">
        <f t="shared" si="323"/>
        <v>0</v>
      </c>
      <c r="CZ126" s="210">
        <f t="shared" si="323"/>
        <v>0</v>
      </c>
      <c r="DA126" s="210">
        <f t="shared" si="323"/>
        <v>0</v>
      </c>
      <c r="DB126" s="210">
        <f t="shared" si="323"/>
        <v>0</v>
      </c>
      <c r="DC126" s="210">
        <f t="shared" si="324"/>
        <v>0</v>
      </c>
      <c r="DD126" s="209">
        <f t="shared" si="324"/>
        <v>0</v>
      </c>
      <c r="DE126" s="65">
        <f t="shared" si="327"/>
        <v>0</v>
      </c>
      <c r="DF126" s="210">
        <f t="shared" si="327"/>
        <v>0</v>
      </c>
      <c r="DG126" s="210">
        <f t="shared" si="327"/>
        <v>0</v>
      </c>
      <c r="DH126" s="210">
        <f t="shared" si="327"/>
        <v>0</v>
      </c>
      <c r="DI126" s="210">
        <f t="shared" si="327"/>
        <v>0</v>
      </c>
      <c r="DJ126" s="210">
        <f t="shared" si="328"/>
        <v>0</v>
      </c>
      <c r="DK126" s="210">
        <f t="shared" si="328"/>
        <v>0</v>
      </c>
      <c r="DL126" s="65">
        <f t="shared" si="319"/>
        <v>0</v>
      </c>
      <c r="DM126" s="210">
        <f t="shared" si="319"/>
        <v>0</v>
      </c>
      <c r="DN126" s="210">
        <f t="shared" si="319"/>
        <v>0</v>
      </c>
      <c r="DO126" s="210">
        <f t="shared" si="319"/>
        <v>0</v>
      </c>
      <c r="DP126" s="210">
        <f t="shared" si="319"/>
        <v>0</v>
      </c>
      <c r="DQ126" s="210">
        <f t="shared" si="307"/>
        <v>0</v>
      </c>
      <c r="DR126" s="210">
        <f t="shared" si="307"/>
        <v>0</v>
      </c>
      <c r="DS126" s="210">
        <f t="shared" si="307"/>
        <v>0</v>
      </c>
    </row>
    <row r="127" spans="1:124" s="201" customFormat="1" ht="26.25" hidden="1" customHeight="1" outlineLevel="1" collapsed="1" x14ac:dyDescent="0.4">
      <c r="A127" s="347">
        <v>61</v>
      </c>
      <c r="B127" s="347" t="s">
        <v>45</v>
      </c>
      <c r="C127" s="347" t="s">
        <v>346</v>
      </c>
      <c r="D127" s="349"/>
      <c r="E127" s="349"/>
      <c r="F127" s="349"/>
      <c r="G127" s="371"/>
      <c r="H127" s="449">
        <f>SUM(CQ127:CW127)</f>
        <v>0</v>
      </c>
      <c r="I127" s="449">
        <f>SUM(CQ128:CW128)</f>
        <v>0</v>
      </c>
      <c r="J127" s="447"/>
      <c r="K127" s="445"/>
      <c r="L127" s="445"/>
      <c r="M127" s="428"/>
      <c r="N127" s="21" t="s">
        <v>24</v>
      </c>
      <c r="O127" s="190">
        <f t="shared" si="294"/>
        <v>0</v>
      </c>
      <c r="P127" s="190">
        <f t="shared" si="294"/>
        <v>0</v>
      </c>
      <c r="Q127" s="190">
        <f t="shared" si="294"/>
        <v>0</v>
      </c>
      <c r="R127" s="190">
        <f t="shared" si="294"/>
        <v>0</v>
      </c>
      <c r="S127" s="190">
        <f t="shared" si="294"/>
        <v>0</v>
      </c>
      <c r="T127" s="190">
        <f t="shared" si="294"/>
        <v>0</v>
      </c>
      <c r="U127" s="190">
        <f t="shared" si="294"/>
        <v>0</v>
      </c>
      <c r="V127" s="190">
        <f t="shared" si="295"/>
        <v>0</v>
      </c>
      <c r="W127" s="190">
        <f t="shared" si="294"/>
        <v>0</v>
      </c>
      <c r="X127" s="86">
        <f t="shared" si="294"/>
        <v>0</v>
      </c>
      <c r="Y127" s="190">
        <f t="shared" si="296"/>
        <v>0</v>
      </c>
      <c r="Z127" s="190">
        <f t="shared" si="296"/>
        <v>0</v>
      </c>
      <c r="AA127" s="190">
        <f t="shared" si="296"/>
        <v>0</v>
      </c>
      <c r="AB127" s="190">
        <f t="shared" si="296"/>
        <v>0</v>
      </c>
      <c r="AC127" s="190">
        <f t="shared" si="296"/>
        <v>0</v>
      </c>
      <c r="AD127" s="190">
        <f t="shared" si="296"/>
        <v>0</v>
      </c>
      <c r="AE127" s="190">
        <f t="shared" si="297"/>
        <v>0</v>
      </c>
      <c r="AF127" s="190"/>
      <c r="AG127" s="190">
        <f t="shared" si="297"/>
        <v>0</v>
      </c>
      <c r="AH127" s="190">
        <f t="shared" si="297"/>
        <v>0</v>
      </c>
      <c r="AI127" s="77">
        <f t="shared" si="297"/>
        <v>0</v>
      </c>
      <c r="AJ127" s="190">
        <f t="shared" si="297"/>
        <v>0</v>
      </c>
      <c r="AK127" s="190">
        <f t="shared" si="297"/>
        <v>0</v>
      </c>
      <c r="AL127" s="190">
        <f t="shared" si="297"/>
        <v>0</v>
      </c>
      <c r="AM127" s="190">
        <f t="shared" si="297"/>
        <v>0</v>
      </c>
      <c r="AN127" s="190">
        <f t="shared" si="329"/>
        <v>0</v>
      </c>
      <c r="AO127" s="190">
        <f t="shared" si="329"/>
        <v>0</v>
      </c>
      <c r="AP127" s="190">
        <f t="shared" si="297"/>
        <v>0</v>
      </c>
      <c r="AQ127" s="190">
        <f t="shared" si="297"/>
        <v>0</v>
      </c>
      <c r="AR127" s="225">
        <f t="shared" si="297"/>
        <v>0</v>
      </c>
      <c r="AS127" s="23">
        <f t="shared" si="330"/>
        <v>0</v>
      </c>
      <c r="AT127" s="190">
        <f t="shared" si="330"/>
        <v>0</v>
      </c>
      <c r="AU127" s="190">
        <f t="shared" si="330"/>
        <v>0</v>
      </c>
      <c r="AV127" s="190">
        <f t="shared" si="330"/>
        <v>0</v>
      </c>
      <c r="AW127" s="190">
        <f t="shared" si="330"/>
        <v>0</v>
      </c>
      <c r="AX127" s="190">
        <f t="shared" si="299"/>
        <v>0</v>
      </c>
      <c r="AY127" s="190">
        <f t="shared" si="299"/>
        <v>0</v>
      </c>
      <c r="AZ127" s="190">
        <f t="shared" si="299"/>
        <v>0</v>
      </c>
      <c r="BA127" s="190">
        <f t="shared" si="299"/>
        <v>0</v>
      </c>
      <c r="BB127" s="225">
        <f t="shared" si="299"/>
        <v>0</v>
      </c>
      <c r="BC127" s="77">
        <f t="shared" si="300"/>
        <v>0</v>
      </c>
      <c r="BD127" s="190">
        <f t="shared" si="300"/>
        <v>0</v>
      </c>
      <c r="BE127" s="190">
        <f t="shared" si="300"/>
        <v>0</v>
      </c>
      <c r="BF127" s="190">
        <f t="shared" si="300"/>
        <v>0</v>
      </c>
      <c r="BG127" s="190">
        <f t="shared" si="300"/>
        <v>0</v>
      </c>
      <c r="BH127" s="190">
        <f t="shared" si="300"/>
        <v>0</v>
      </c>
      <c r="BI127" s="190">
        <f t="shared" si="300"/>
        <v>0</v>
      </c>
      <c r="BJ127" s="190">
        <f t="shared" si="301"/>
        <v>0</v>
      </c>
      <c r="BK127" s="190">
        <f t="shared" si="301"/>
        <v>0</v>
      </c>
      <c r="BL127" s="190">
        <f t="shared" si="301"/>
        <v>0</v>
      </c>
      <c r="BM127" s="77">
        <f t="shared" si="302"/>
        <v>0</v>
      </c>
      <c r="BN127" s="190">
        <f t="shared" si="302"/>
        <v>0</v>
      </c>
      <c r="BO127" s="190">
        <f t="shared" si="302"/>
        <v>0</v>
      </c>
      <c r="BP127" s="190">
        <f t="shared" si="302"/>
        <v>0</v>
      </c>
      <c r="BQ127" s="190">
        <f t="shared" si="302"/>
        <v>0</v>
      </c>
      <c r="BR127" s="190">
        <f t="shared" si="302"/>
        <v>0</v>
      </c>
      <c r="BS127" s="190">
        <f t="shared" si="302"/>
        <v>0</v>
      </c>
      <c r="BT127" s="190"/>
      <c r="BU127" s="190"/>
      <c r="BV127" s="190">
        <f t="shared" si="302"/>
        <v>0</v>
      </c>
      <c r="BW127" s="23">
        <f t="shared" si="303"/>
        <v>0</v>
      </c>
      <c r="BX127" s="190">
        <f t="shared" si="303"/>
        <v>0</v>
      </c>
      <c r="BY127" s="190">
        <f t="shared" si="303"/>
        <v>0</v>
      </c>
      <c r="BZ127" s="190">
        <f t="shared" si="303"/>
        <v>0</v>
      </c>
      <c r="CA127" s="190">
        <f t="shared" si="303"/>
        <v>0</v>
      </c>
      <c r="CB127" s="190">
        <f t="shared" si="304"/>
        <v>0</v>
      </c>
      <c r="CC127" s="190">
        <f t="shared" si="304"/>
        <v>0</v>
      </c>
      <c r="CD127" s="190">
        <f t="shared" si="304"/>
        <v>0</v>
      </c>
      <c r="CE127" s="190">
        <f t="shared" si="304"/>
        <v>0</v>
      </c>
      <c r="CF127" s="190">
        <f t="shared" si="304"/>
        <v>0</v>
      </c>
      <c r="CG127" s="23">
        <f t="shared" si="318"/>
        <v>0</v>
      </c>
      <c r="CH127" s="190">
        <f t="shared" si="318"/>
        <v>0</v>
      </c>
      <c r="CI127" s="190">
        <f t="shared" si="318"/>
        <v>0</v>
      </c>
      <c r="CJ127" s="190">
        <f t="shared" si="318"/>
        <v>0</v>
      </c>
      <c r="CK127" s="190">
        <f t="shared" si="318"/>
        <v>0</v>
      </c>
      <c r="CL127" s="190">
        <f t="shared" si="305"/>
        <v>0</v>
      </c>
      <c r="CM127" s="190">
        <f t="shared" si="305"/>
        <v>0</v>
      </c>
      <c r="CN127" s="190">
        <f t="shared" si="305"/>
        <v>0</v>
      </c>
      <c r="CO127" s="190">
        <f t="shared" si="305"/>
        <v>0</v>
      </c>
      <c r="CP127" s="21">
        <f t="shared" si="305"/>
        <v>0</v>
      </c>
      <c r="CQ127" s="23">
        <f t="shared" si="322"/>
        <v>0</v>
      </c>
      <c r="CR127" s="190">
        <f t="shared" si="322"/>
        <v>0</v>
      </c>
      <c r="CS127" s="190">
        <f t="shared" si="322"/>
        <v>0</v>
      </c>
      <c r="CT127" s="190">
        <f t="shared" si="322"/>
        <v>0</v>
      </c>
      <c r="CU127" s="190">
        <f t="shared" si="322"/>
        <v>0</v>
      </c>
      <c r="CV127" s="190">
        <f t="shared" si="306"/>
        <v>0</v>
      </c>
      <c r="CW127" s="190">
        <f t="shared" si="306"/>
        <v>0</v>
      </c>
      <c r="CX127" s="77">
        <f t="shared" si="323"/>
        <v>0</v>
      </c>
      <c r="CY127" s="190">
        <f t="shared" si="323"/>
        <v>0</v>
      </c>
      <c r="CZ127" s="190">
        <f t="shared" si="323"/>
        <v>0</v>
      </c>
      <c r="DA127" s="190">
        <f t="shared" si="323"/>
        <v>0</v>
      </c>
      <c r="DB127" s="190">
        <f t="shared" si="323"/>
        <v>0</v>
      </c>
      <c r="DC127" s="190">
        <f t="shared" si="324"/>
        <v>0</v>
      </c>
      <c r="DD127" s="190">
        <f t="shared" si="324"/>
        <v>0</v>
      </c>
      <c r="DE127" s="23">
        <f t="shared" si="327"/>
        <v>0</v>
      </c>
      <c r="DF127" s="190">
        <f t="shared" si="327"/>
        <v>0</v>
      </c>
      <c r="DG127" s="190">
        <f t="shared" si="327"/>
        <v>0</v>
      </c>
      <c r="DH127" s="190">
        <f t="shared" si="327"/>
        <v>0</v>
      </c>
      <c r="DI127" s="190">
        <f t="shared" si="327"/>
        <v>0</v>
      </c>
      <c r="DJ127" s="190">
        <f t="shared" si="328"/>
        <v>0</v>
      </c>
      <c r="DK127" s="190">
        <f t="shared" si="328"/>
        <v>0</v>
      </c>
      <c r="DL127" s="23">
        <f t="shared" si="319"/>
        <v>0</v>
      </c>
      <c r="DM127" s="190">
        <f t="shared" si="319"/>
        <v>0</v>
      </c>
      <c r="DN127" s="190">
        <f t="shared" si="319"/>
        <v>0</v>
      </c>
      <c r="DO127" s="190">
        <f t="shared" si="319"/>
        <v>0</v>
      </c>
      <c r="DP127" s="190">
        <f t="shared" si="319"/>
        <v>0</v>
      </c>
      <c r="DQ127" s="190">
        <f t="shared" si="307"/>
        <v>0</v>
      </c>
      <c r="DR127" s="190">
        <f t="shared" si="307"/>
        <v>0</v>
      </c>
      <c r="DS127" s="190">
        <f t="shared" si="307"/>
        <v>0</v>
      </c>
      <c r="DT127" s="54"/>
    </row>
    <row r="128" spans="1:124" s="201" customFormat="1" ht="26.25" hidden="1" customHeight="1" outlineLevel="1" x14ac:dyDescent="0.4">
      <c r="A128" s="348"/>
      <c r="B128" s="348"/>
      <c r="C128" s="348"/>
      <c r="D128" s="350"/>
      <c r="E128" s="350"/>
      <c r="F128" s="350"/>
      <c r="G128" s="371"/>
      <c r="H128" s="450"/>
      <c r="I128" s="450"/>
      <c r="J128" s="448"/>
      <c r="K128" s="446"/>
      <c r="L128" s="446"/>
      <c r="M128" s="429"/>
      <c r="N128" s="209" t="s">
        <v>25</v>
      </c>
      <c r="O128" s="209">
        <f t="shared" si="294"/>
        <v>0</v>
      </c>
      <c r="P128" s="209">
        <f t="shared" si="294"/>
        <v>0</v>
      </c>
      <c r="Q128" s="209">
        <f t="shared" si="294"/>
        <v>0</v>
      </c>
      <c r="R128" s="209">
        <f t="shared" si="294"/>
        <v>0</v>
      </c>
      <c r="S128" s="209">
        <f t="shared" si="294"/>
        <v>0</v>
      </c>
      <c r="T128" s="209">
        <f t="shared" si="294"/>
        <v>0</v>
      </c>
      <c r="U128" s="209">
        <f t="shared" si="294"/>
        <v>0</v>
      </c>
      <c r="V128" s="209">
        <f t="shared" si="295"/>
        <v>0</v>
      </c>
      <c r="W128" s="209">
        <f t="shared" si="294"/>
        <v>0</v>
      </c>
      <c r="X128" s="53">
        <f t="shared" si="294"/>
        <v>0</v>
      </c>
      <c r="Y128" s="209">
        <f t="shared" si="296"/>
        <v>0</v>
      </c>
      <c r="Z128" s="209">
        <f t="shared" si="296"/>
        <v>0</v>
      </c>
      <c r="AA128" s="209">
        <f t="shared" si="296"/>
        <v>0</v>
      </c>
      <c r="AB128" s="209">
        <f t="shared" si="296"/>
        <v>0</v>
      </c>
      <c r="AC128" s="209">
        <f t="shared" si="296"/>
        <v>0</v>
      </c>
      <c r="AD128" s="209">
        <f t="shared" si="296"/>
        <v>0</v>
      </c>
      <c r="AE128" s="209">
        <f t="shared" si="297"/>
        <v>0</v>
      </c>
      <c r="AF128" s="209"/>
      <c r="AG128" s="209">
        <f t="shared" si="297"/>
        <v>0</v>
      </c>
      <c r="AH128" s="209">
        <f t="shared" si="297"/>
        <v>0</v>
      </c>
      <c r="AI128" s="58">
        <f t="shared" si="297"/>
        <v>0</v>
      </c>
      <c r="AJ128" s="209">
        <f t="shared" si="297"/>
        <v>0</v>
      </c>
      <c r="AK128" s="209">
        <f t="shared" si="297"/>
        <v>0</v>
      </c>
      <c r="AL128" s="209">
        <f t="shared" si="297"/>
        <v>0</v>
      </c>
      <c r="AM128" s="209">
        <f t="shared" si="297"/>
        <v>0</v>
      </c>
      <c r="AN128" s="209">
        <f t="shared" si="329"/>
        <v>0</v>
      </c>
      <c r="AO128" s="209">
        <f t="shared" si="329"/>
        <v>0</v>
      </c>
      <c r="AP128" s="209">
        <f t="shared" si="297"/>
        <v>0</v>
      </c>
      <c r="AQ128" s="209">
        <f t="shared" si="297"/>
        <v>0</v>
      </c>
      <c r="AR128" s="53">
        <f t="shared" si="297"/>
        <v>0</v>
      </c>
      <c r="AS128" s="65">
        <f t="shared" si="330"/>
        <v>0</v>
      </c>
      <c r="AT128" s="210">
        <f t="shared" si="330"/>
        <v>0</v>
      </c>
      <c r="AU128" s="210">
        <f t="shared" si="330"/>
        <v>0</v>
      </c>
      <c r="AV128" s="210">
        <f t="shared" si="330"/>
        <v>0</v>
      </c>
      <c r="AW128" s="280">
        <f t="shared" si="330"/>
        <v>0</v>
      </c>
      <c r="AX128" s="210">
        <f t="shared" si="299"/>
        <v>0</v>
      </c>
      <c r="AY128" s="210">
        <f t="shared" si="299"/>
        <v>0</v>
      </c>
      <c r="AZ128" s="210">
        <f t="shared" si="299"/>
        <v>0</v>
      </c>
      <c r="BA128" s="210">
        <f t="shared" si="299"/>
        <v>0</v>
      </c>
      <c r="BB128" s="53">
        <f t="shared" si="299"/>
        <v>0</v>
      </c>
      <c r="BC128" s="58">
        <f t="shared" si="300"/>
        <v>0</v>
      </c>
      <c r="BD128" s="209">
        <f t="shared" si="300"/>
        <v>0</v>
      </c>
      <c r="BE128" s="209">
        <f t="shared" si="300"/>
        <v>0</v>
      </c>
      <c r="BF128" s="209">
        <f t="shared" si="300"/>
        <v>0</v>
      </c>
      <c r="BG128" s="209">
        <f t="shared" si="300"/>
        <v>0</v>
      </c>
      <c r="BH128" s="209">
        <f t="shared" si="300"/>
        <v>0</v>
      </c>
      <c r="BI128" s="209">
        <f t="shared" si="300"/>
        <v>0</v>
      </c>
      <c r="BJ128" s="209">
        <f t="shared" si="301"/>
        <v>0</v>
      </c>
      <c r="BK128" s="209">
        <f t="shared" si="301"/>
        <v>0</v>
      </c>
      <c r="BL128" s="209">
        <f t="shared" si="301"/>
        <v>0</v>
      </c>
      <c r="BM128" s="58">
        <f t="shared" si="302"/>
        <v>0</v>
      </c>
      <c r="BN128" s="209">
        <f t="shared" si="302"/>
        <v>0</v>
      </c>
      <c r="BO128" s="209">
        <f t="shared" si="302"/>
        <v>0</v>
      </c>
      <c r="BP128" s="209">
        <f t="shared" si="302"/>
        <v>0</v>
      </c>
      <c r="BQ128" s="209">
        <f t="shared" si="302"/>
        <v>0</v>
      </c>
      <c r="BR128" s="209">
        <f t="shared" si="302"/>
        <v>0</v>
      </c>
      <c r="BS128" s="209">
        <f t="shared" si="302"/>
        <v>0</v>
      </c>
      <c r="BT128" s="209"/>
      <c r="BU128" s="209"/>
      <c r="BV128" s="209">
        <f t="shared" si="302"/>
        <v>0</v>
      </c>
      <c r="BW128" s="65">
        <f t="shared" si="303"/>
        <v>0</v>
      </c>
      <c r="BX128" s="209">
        <f t="shared" si="303"/>
        <v>0</v>
      </c>
      <c r="BY128" s="209">
        <f t="shared" si="303"/>
        <v>0</v>
      </c>
      <c r="BZ128" s="209">
        <f t="shared" si="303"/>
        <v>0</v>
      </c>
      <c r="CA128" s="209">
        <f t="shared" si="303"/>
        <v>0</v>
      </c>
      <c r="CB128" s="209">
        <f t="shared" si="304"/>
        <v>0</v>
      </c>
      <c r="CC128" s="209">
        <f t="shared" si="304"/>
        <v>0</v>
      </c>
      <c r="CD128" s="209">
        <f t="shared" si="304"/>
        <v>0</v>
      </c>
      <c r="CE128" s="209">
        <f t="shared" si="304"/>
        <v>0</v>
      </c>
      <c r="CF128" s="209">
        <f t="shared" si="304"/>
        <v>0</v>
      </c>
      <c r="CG128" s="65">
        <f t="shared" si="318"/>
        <v>0</v>
      </c>
      <c r="CH128" s="210">
        <f t="shared" si="318"/>
        <v>0</v>
      </c>
      <c r="CI128" s="210">
        <f t="shared" si="318"/>
        <v>0</v>
      </c>
      <c r="CJ128" s="210">
        <f t="shared" si="318"/>
        <v>0</v>
      </c>
      <c r="CK128" s="210">
        <f t="shared" si="318"/>
        <v>0</v>
      </c>
      <c r="CL128" s="210">
        <f t="shared" si="305"/>
        <v>0</v>
      </c>
      <c r="CM128" s="210">
        <f t="shared" si="305"/>
        <v>0</v>
      </c>
      <c r="CN128" s="210">
        <f t="shared" si="305"/>
        <v>0</v>
      </c>
      <c r="CO128" s="210">
        <f t="shared" si="305"/>
        <v>0</v>
      </c>
      <c r="CP128" s="66">
        <f t="shared" si="305"/>
        <v>0</v>
      </c>
      <c r="CQ128" s="65">
        <f t="shared" si="322"/>
        <v>0</v>
      </c>
      <c r="CR128" s="210">
        <f t="shared" si="322"/>
        <v>0</v>
      </c>
      <c r="CS128" s="210">
        <f t="shared" si="322"/>
        <v>0</v>
      </c>
      <c r="CT128" s="210">
        <f t="shared" si="322"/>
        <v>0</v>
      </c>
      <c r="CU128" s="210">
        <f t="shared" si="322"/>
        <v>0</v>
      </c>
      <c r="CV128" s="210">
        <f t="shared" si="306"/>
        <v>0</v>
      </c>
      <c r="CW128" s="210">
        <f t="shared" si="306"/>
        <v>0</v>
      </c>
      <c r="CX128" s="65">
        <f t="shared" si="323"/>
        <v>0</v>
      </c>
      <c r="CY128" s="210">
        <f t="shared" si="323"/>
        <v>0</v>
      </c>
      <c r="CZ128" s="210">
        <f t="shared" si="323"/>
        <v>0</v>
      </c>
      <c r="DA128" s="210">
        <f t="shared" si="323"/>
        <v>0</v>
      </c>
      <c r="DB128" s="210">
        <f t="shared" si="323"/>
        <v>0</v>
      </c>
      <c r="DC128" s="210">
        <f t="shared" si="324"/>
        <v>0</v>
      </c>
      <c r="DD128" s="209">
        <f t="shared" si="324"/>
        <v>0</v>
      </c>
      <c r="DE128" s="65">
        <f t="shared" si="327"/>
        <v>0</v>
      </c>
      <c r="DF128" s="210">
        <f t="shared" si="327"/>
        <v>0</v>
      </c>
      <c r="DG128" s="210">
        <f t="shared" si="327"/>
        <v>0</v>
      </c>
      <c r="DH128" s="210">
        <f t="shared" si="327"/>
        <v>0</v>
      </c>
      <c r="DI128" s="210">
        <f t="shared" si="327"/>
        <v>0</v>
      </c>
      <c r="DJ128" s="210">
        <f t="shared" si="328"/>
        <v>0</v>
      </c>
      <c r="DK128" s="210">
        <f t="shared" si="328"/>
        <v>0</v>
      </c>
      <c r="DL128" s="65">
        <f t="shared" si="319"/>
        <v>0</v>
      </c>
      <c r="DM128" s="210">
        <f t="shared" si="319"/>
        <v>0</v>
      </c>
      <c r="DN128" s="210">
        <f t="shared" si="319"/>
        <v>0</v>
      </c>
      <c r="DO128" s="210">
        <f t="shared" si="319"/>
        <v>0</v>
      </c>
      <c r="DP128" s="210">
        <f t="shared" si="319"/>
        <v>0</v>
      </c>
      <c r="DQ128" s="210">
        <f t="shared" si="307"/>
        <v>0</v>
      </c>
      <c r="DR128" s="210">
        <f t="shared" si="307"/>
        <v>0</v>
      </c>
      <c r="DS128" s="210">
        <f t="shared" si="307"/>
        <v>0</v>
      </c>
    </row>
    <row r="129" spans="1:124" s="201" customFormat="1" ht="26.25" hidden="1" customHeight="1" outlineLevel="1" collapsed="1" x14ac:dyDescent="0.4">
      <c r="A129" s="347">
        <v>62</v>
      </c>
      <c r="B129" s="347" t="s">
        <v>45</v>
      </c>
      <c r="C129" s="347" t="s">
        <v>346</v>
      </c>
      <c r="D129" s="349"/>
      <c r="E129" s="349"/>
      <c r="F129" s="349"/>
      <c r="G129" s="371"/>
      <c r="H129" s="449">
        <f>SUM(CQ129:CW129)</f>
        <v>0</v>
      </c>
      <c r="I129" s="449">
        <f>SUM(CQ130:CW130)</f>
        <v>0</v>
      </c>
      <c r="J129" s="447"/>
      <c r="K129" s="445"/>
      <c r="L129" s="445"/>
      <c r="M129" s="428"/>
      <c r="N129" s="21" t="s">
        <v>24</v>
      </c>
      <c r="O129" s="190">
        <f t="shared" si="294"/>
        <v>0</v>
      </c>
      <c r="P129" s="190">
        <f t="shared" si="294"/>
        <v>0</v>
      </c>
      <c r="Q129" s="190">
        <f t="shared" si="294"/>
        <v>0</v>
      </c>
      <c r="R129" s="190">
        <f t="shared" si="294"/>
        <v>0</v>
      </c>
      <c r="S129" s="190">
        <f t="shared" si="294"/>
        <v>0</v>
      </c>
      <c r="T129" s="190">
        <f t="shared" si="294"/>
        <v>0</v>
      </c>
      <c r="U129" s="190">
        <f t="shared" si="294"/>
        <v>0</v>
      </c>
      <c r="V129" s="190">
        <f t="shared" si="295"/>
        <v>0</v>
      </c>
      <c r="W129" s="190">
        <f t="shared" si="294"/>
        <v>0</v>
      </c>
      <c r="X129" s="86">
        <f t="shared" si="294"/>
        <v>0</v>
      </c>
      <c r="Y129" s="190">
        <f t="shared" si="296"/>
        <v>0</v>
      </c>
      <c r="Z129" s="190">
        <f t="shared" si="296"/>
        <v>0</v>
      </c>
      <c r="AA129" s="190">
        <f t="shared" si="296"/>
        <v>0</v>
      </c>
      <c r="AB129" s="190">
        <f t="shared" si="296"/>
        <v>0</v>
      </c>
      <c r="AC129" s="190">
        <f t="shared" si="296"/>
        <v>0</v>
      </c>
      <c r="AD129" s="190">
        <f t="shared" si="296"/>
        <v>0</v>
      </c>
      <c r="AE129" s="190">
        <f t="shared" si="297"/>
        <v>0</v>
      </c>
      <c r="AF129" s="190"/>
      <c r="AG129" s="190">
        <f t="shared" si="297"/>
        <v>0</v>
      </c>
      <c r="AH129" s="190">
        <f t="shared" si="297"/>
        <v>0</v>
      </c>
      <c r="AI129" s="77">
        <f t="shared" si="297"/>
        <v>0</v>
      </c>
      <c r="AJ129" s="190">
        <f t="shared" si="297"/>
        <v>0</v>
      </c>
      <c r="AK129" s="190">
        <f t="shared" si="297"/>
        <v>0</v>
      </c>
      <c r="AL129" s="190">
        <f t="shared" si="297"/>
        <v>0</v>
      </c>
      <c r="AM129" s="190">
        <f t="shared" si="297"/>
        <v>0</v>
      </c>
      <c r="AN129" s="190">
        <f t="shared" si="329"/>
        <v>0</v>
      </c>
      <c r="AO129" s="190">
        <f t="shared" si="329"/>
        <v>0</v>
      </c>
      <c r="AP129" s="190">
        <f t="shared" si="297"/>
        <v>0</v>
      </c>
      <c r="AQ129" s="190">
        <f t="shared" si="297"/>
        <v>0</v>
      </c>
      <c r="AR129" s="225">
        <f t="shared" si="297"/>
        <v>0</v>
      </c>
      <c r="AS129" s="23">
        <f t="shared" si="330"/>
        <v>0</v>
      </c>
      <c r="AT129" s="190">
        <f t="shared" si="330"/>
        <v>0</v>
      </c>
      <c r="AU129" s="190">
        <f t="shared" si="330"/>
        <v>0</v>
      </c>
      <c r="AV129" s="190">
        <f t="shared" si="330"/>
        <v>0</v>
      </c>
      <c r="AW129" s="190">
        <f t="shared" si="330"/>
        <v>0</v>
      </c>
      <c r="AX129" s="190">
        <f t="shared" si="299"/>
        <v>0</v>
      </c>
      <c r="AY129" s="190">
        <f t="shared" si="299"/>
        <v>0</v>
      </c>
      <c r="AZ129" s="190">
        <f t="shared" si="299"/>
        <v>0</v>
      </c>
      <c r="BA129" s="190">
        <f t="shared" si="299"/>
        <v>0</v>
      </c>
      <c r="BB129" s="225">
        <f t="shared" si="299"/>
        <v>0</v>
      </c>
      <c r="BC129" s="77">
        <f t="shared" si="300"/>
        <v>0</v>
      </c>
      <c r="BD129" s="190">
        <f t="shared" si="300"/>
        <v>0</v>
      </c>
      <c r="BE129" s="190">
        <f t="shared" si="300"/>
        <v>0</v>
      </c>
      <c r="BF129" s="190">
        <f t="shared" si="300"/>
        <v>0</v>
      </c>
      <c r="BG129" s="190">
        <f t="shared" si="300"/>
        <v>0</v>
      </c>
      <c r="BH129" s="190">
        <f t="shared" si="300"/>
        <v>0</v>
      </c>
      <c r="BI129" s="190">
        <f t="shared" si="300"/>
        <v>0</v>
      </c>
      <c r="BJ129" s="190">
        <f t="shared" si="301"/>
        <v>0</v>
      </c>
      <c r="BK129" s="190">
        <f t="shared" si="301"/>
        <v>0</v>
      </c>
      <c r="BL129" s="190">
        <f t="shared" si="301"/>
        <v>0</v>
      </c>
      <c r="BM129" s="77">
        <f t="shared" si="302"/>
        <v>0</v>
      </c>
      <c r="BN129" s="190">
        <f t="shared" si="302"/>
        <v>0</v>
      </c>
      <c r="BO129" s="190">
        <f t="shared" si="302"/>
        <v>0</v>
      </c>
      <c r="BP129" s="190">
        <f t="shared" si="302"/>
        <v>0</v>
      </c>
      <c r="BQ129" s="190">
        <f t="shared" si="302"/>
        <v>0</v>
      </c>
      <c r="BR129" s="190">
        <f t="shared" si="302"/>
        <v>0</v>
      </c>
      <c r="BS129" s="190">
        <f t="shared" si="302"/>
        <v>0</v>
      </c>
      <c r="BT129" s="190"/>
      <c r="BU129" s="190"/>
      <c r="BV129" s="190">
        <f t="shared" si="302"/>
        <v>0</v>
      </c>
      <c r="BW129" s="23">
        <f t="shared" si="303"/>
        <v>0</v>
      </c>
      <c r="BX129" s="190">
        <f t="shared" si="303"/>
        <v>0</v>
      </c>
      <c r="BY129" s="190">
        <f t="shared" si="303"/>
        <v>0</v>
      </c>
      <c r="BZ129" s="190">
        <f t="shared" si="303"/>
        <v>0</v>
      </c>
      <c r="CA129" s="190">
        <f t="shared" si="303"/>
        <v>0</v>
      </c>
      <c r="CB129" s="190">
        <f t="shared" si="304"/>
        <v>0</v>
      </c>
      <c r="CC129" s="190">
        <f t="shared" si="304"/>
        <v>0</v>
      </c>
      <c r="CD129" s="190">
        <f t="shared" si="304"/>
        <v>0</v>
      </c>
      <c r="CE129" s="190">
        <f t="shared" si="304"/>
        <v>0</v>
      </c>
      <c r="CF129" s="190">
        <f t="shared" si="304"/>
        <v>0</v>
      </c>
      <c r="CG129" s="23">
        <f t="shared" ref="CG129:CK144" si="331">0/142.5</f>
        <v>0</v>
      </c>
      <c r="CH129" s="190">
        <f t="shared" si="331"/>
        <v>0</v>
      </c>
      <c r="CI129" s="190">
        <f t="shared" si="331"/>
        <v>0</v>
      </c>
      <c r="CJ129" s="190">
        <f t="shared" si="331"/>
        <v>0</v>
      </c>
      <c r="CK129" s="190">
        <f t="shared" si="331"/>
        <v>0</v>
      </c>
      <c r="CL129" s="190">
        <f t="shared" si="305"/>
        <v>0</v>
      </c>
      <c r="CM129" s="190">
        <f t="shared" si="305"/>
        <v>0</v>
      </c>
      <c r="CN129" s="190">
        <f t="shared" si="305"/>
        <v>0</v>
      </c>
      <c r="CO129" s="190">
        <f t="shared" si="305"/>
        <v>0</v>
      </c>
      <c r="CP129" s="21">
        <f t="shared" si="305"/>
        <v>0</v>
      </c>
      <c r="CQ129" s="23">
        <f t="shared" si="322"/>
        <v>0</v>
      </c>
      <c r="CR129" s="190">
        <f t="shared" si="322"/>
        <v>0</v>
      </c>
      <c r="CS129" s="190">
        <f t="shared" si="322"/>
        <v>0</v>
      </c>
      <c r="CT129" s="190">
        <f t="shared" si="322"/>
        <v>0</v>
      </c>
      <c r="CU129" s="190">
        <f t="shared" si="322"/>
        <v>0</v>
      </c>
      <c r="CV129" s="190">
        <f t="shared" si="306"/>
        <v>0</v>
      </c>
      <c r="CW129" s="190">
        <f t="shared" si="306"/>
        <v>0</v>
      </c>
      <c r="CX129" s="77">
        <f t="shared" si="323"/>
        <v>0</v>
      </c>
      <c r="CY129" s="190">
        <f t="shared" si="323"/>
        <v>0</v>
      </c>
      <c r="CZ129" s="190">
        <f t="shared" si="323"/>
        <v>0</v>
      </c>
      <c r="DA129" s="190">
        <f t="shared" si="323"/>
        <v>0</v>
      </c>
      <c r="DB129" s="190">
        <f t="shared" si="323"/>
        <v>0</v>
      </c>
      <c r="DC129" s="190">
        <f t="shared" si="324"/>
        <v>0</v>
      </c>
      <c r="DD129" s="190">
        <f t="shared" si="324"/>
        <v>0</v>
      </c>
      <c r="DE129" s="23">
        <f t="shared" ref="DE129:DI144" si="332">0/157.5</f>
        <v>0</v>
      </c>
      <c r="DF129" s="190">
        <f t="shared" si="332"/>
        <v>0</v>
      </c>
      <c r="DG129" s="190">
        <f t="shared" si="332"/>
        <v>0</v>
      </c>
      <c r="DH129" s="190">
        <f t="shared" si="332"/>
        <v>0</v>
      </c>
      <c r="DI129" s="190">
        <f t="shared" si="332"/>
        <v>0</v>
      </c>
      <c r="DJ129" s="190">
        <f t="shared" si="328"/>
        <v>0</v>
      </c>
      <c r="DK129" s="190">
        <f t="shared" si="328"/>
        <v>0</v>
      </c>
      <c r="DL129" s="23">
        <f t="shared" ref="DL129:DP144" si="333">0/142.5</f>
        <v>0</v>
      </c>
      <c r="DM129" s="190">
        <f t="shared" si="333"/>
        <v>0</v>
      </c>
      <c r="DN129" s="190">
        <f t="shared" si="333"/>
        <v>0</v>
      </c>
      <c r="DO129" s="190">
        <f t="shared" si="333"/>
        <v>0</v>
      </c>
      <c r="DP129" s="190">
        <f t="shared" si="333"/>
        <v>0</v>
      </c>
      <c r="DQ129" s="190">
        <f t="shared" si="307"/>
        <v>0</v>
      </c>
      <c r="DR129" s="190">
        <f t="shared" si="307"/>
        <v>0</v>
      </c>
      <c r="DS129" s="190">
        <f t="shared" si="307"/>
        <v>0</v>
      </c>
      <c r="DT129" s="54"/>
    </row>
    <row r="130" spans="1:124" s="201" customFormat="1" ht="26.25" hidden="1" customHeight="1" outlineLevel="1" x14ac:dyDescent="0.4">
      <c r="A130" s="348"/>
      <c r="B130" s="348"/>
      <c r="C130" s="348"/>
      <c r="D130" s="350"/>
      <c r="E130" s="350"/>
      <c r="F130" s="350"/>
      <c r="G130" s="371"/>
      <c r="H130" s="450"/>
      <c r="I130" s="450"/>
      <c r="J130" s="448"/>
      <c r="K130" s="446"/>
      <c r="L130" s="446"/>
      <c r="M130" s="429"/>
      <c r="N130" s="209" t="s">
        <v>25</v>
      </c>
      <c r="O130" s="209">
        <f t="shared" si="294"/>
        <v>0</v>
      </c>
      <c r="P130" s="209">
        <f t="shared" si="294"/>
        <v>0</v>
      </c>
      <c r="Q130" s="209">
        <f t="shared" si="294"/>
        <v>0</v>
      </c>
      <c r="R130" s="209">
        <f t="shared" si="294"/>
        <v>0</v>
      </c>
      <c r="S130" s="209">
        <f t="shared" si="294"/>
        <v>0</v>
      </c>
      <c r="T130" s="209">
        <f t="shared" si="294"/>
        <v>0</v>
      </c>
      <c r="U130" s="209">
        <f t="shared" si="294"/>
        <v>0</v>
      </c>
      <c r="V130" s="209">
        <f t="shared" si="295"/>
        <v>0</v>
      </c>
      <c r="W130" s="209">
        <f t="shared" si="294"/>
        <v>0</v>
      </c>
      <c r="X130" s="53">
        <f t="shared" si="294"/>
        <v>0</v>
      </c>
      <c r="Y130" s="209">
        <f t="shared" si="296"/>
        <v>0</v>
      </c>
      <c r="Z130" s="209">
        <f t="shared" si="296"/>
        <v>0</v>
      </c>
      <c r="AA130" s="209">
        <f t="shared" si="296"/>
        <v>0</v>
      </c>
      <c r="AB130" s="209">
        <f t="shared" si="296"/>
        <v>0</v>
      </c>
      <c r="AC130" s="209">
        <f t="shared" si="296"/>
        <v>0</v>
      </c>
      <c r="AD130" s="209">
        <f t="shared" si="296"/>
        <v>0</v>
      </c>
      <c r="AE130" s="209">
        <f t="shared" si="297"/>
        <v>0</v>
      </c>
      <c r="AF130" s="209"/>
      <c r="AG130" s="209">
        <f t="shared" si="297"/>
        <v>0</v>
      </c>
      <c r="AH130" s="209">
        <f t="shared" ref="AE130:AR146" si="334">0/165</f>
        <v>0</v>
      </c>
      <c r="AI130" s="58">
        <f t="shared" si="334"/>
        <v>0</v>
      </c>
      <c r="AJ130" s="209">
        <f t="shared" si="334"/>
        <v>0</v>
      </c>
      <c r="AK130" s="209">
        <f t="shared" si="334"/>
        <v>0</v>
      </c>
      <c r="AL130" s="209">
        <f t="shared" si="334"/>
        <v>0</v>
      </c>
      <c r="AM130" s="209">
        <f t="shared" si="334"/>
        <v>0</v>
      </c>
      <c r="AN130" s="209">
        <f t="shared" si="334"/>
        <v>0</v>
      </c>
      <c r="AO130" s="209">
        <f t="shared" si="334"/>
        <v>0</v>
      </c>
      <c r="AP130" s="209">
        <f t="shared" si="334"/>
        <v>0</v>
      </c>
      <c r="AQ130" s="209">
        <f t="shared" si="334"/>
        <v>0</v>
      </c>
      <c r="AR130" s="53">
        <f t="shared" si="334"/>
        <v>0</v>
      </c>
      <c r="AS130" s="65">
        <f t="shared" si="330"/>
        <v>0</v>
      </c>
      <c r="AT130" s="210">
        <f t="shared" si="330"/>
        <v>0</v>
      </c>
      <c r="AU130" s="210">
        <f t="shared" si="330"/>
        <v>0</v>
      </c>
      <c r="AV130" s="210">
        <f t="shared" si="330"/>
        <v>0</v>
      </c>
      <c r="AW130" s="280">
        <f t="shared" si="330"/>
        <v>0</v>
      </c>
      <c r="AX130" s="210">
        <f t="shared" si="299"/>
        <v>0</v>
      </c>
      <c r="AY130" s="210">
        <f t="shared" si="299"/>
        <v>0</v>
      </c>
      <c r="AZ130" s="210">
        <f t="shared" si="299"/>
        <v>0</v>
      </c>
      <c r="BA130" s="210">
        <f t="shared" si="299"/>
        <v>0</v>
      </c>
      <c r="BB130" s="53">
        <f t="shared" si="299"/>
        <v>0</v>
      </c>
      <c r="BC130" s="58">
        <f t="shared" si="300"/>
        <v>0</v>
      </c>
      <c r="BD130" s="209">
        <f t="shared" si="300"/>
        <v>0</v>
      </c>
      <c r="BE130" s="209">
        <f t="shared" si="300"/>
        <v>0</v>
      </c>
      <c r="BF130" s="209">
        <f t="shared" si="300"/>
        <v>0</v>
      </c>
      <c r="BG130" s="209">
        <f t="shared" si="300"/>
        <v>0</v>
      </c>
      <c r="BH130" s="209">
        <f t="shared" si="300"/>
        <v>0</v>
      </c>
      <c r="BI130" s="209">
        <f t="shared" si="300"/>
        <v>0</v>
      </c>
      <c r="BJ130" s="209">
        <f t="shared" si="301"/>
        <v>0</v>
      </c>
      <c r="BK130" s="209">
        <f t="shared" si="301"/>
        <v>0</v>
      </c>
      <c r="BL130" s="209">
        <f t="shared" si="301"/>
        <v>0</v>
      </c>
      <c r="BM130" s="58">
        <f t="shared" si="302"/>
        <v>0</v>
      </c>
      <c r="BN130" s="209">
        <f t="shared" si="302"/>
        <v>0</v>
      </c>
      <c r="BO130" s="209">
        <f t="shared" si="302"/>
        <v>0</v>
      </c>
      <c r="BP130" s="209">
        <f t="shared" si="302"/>
        <v>0</v>
      </c>
      <c r="BQ130" s="209">
        <f t="shared" si="302"/>
        <v>0</v>
      </c>
      <c r="BR130" s="209">
        <f t="shared" si="302"/>
        <v>0</v>
      </c>
      <c r="BS130" s="209">
        <f t="shared" si="302"/>
        <v>0</v>
      </c>
      <c r="BT130" s="209"/>
      <c r="BU130" s="209"/>
      <c r="BV130" s="209">
        <f t="shared" si="302"/>
        <v>0</v>
      </c>
      <c r="BW130" s="65">
        <f t="shared" si="303"/>
        <v>0</v>
      </c>
      <c r="BX130" s="209">
        <f t="shared" si="303"/>
        <v>0</v>
      </c>
      <c r="BY130" s="209">
        <f t="shared" si="303"/>
        <v>0</v>
      </c>
      <c r="BZ130" s="209">
        <f t="shared" si="303"/>
        <v>0</v>
      </c>
      <c r="CA130" s="209">
        <f t="shared" si="303"/>
        <v>0</v>
      </c>
      <c r="CB130" s="209">
        <f t="shared" si="304"/>
        <v>0</v>
      </c>
      <c r="CC130" s="209">
        <f t="shared" si="304"/>
        <v>0</v>
      </c>
      <c r="CD130" s="209">
        <f t="shared" si="304"/>
        <v>0</v>
      </c>
      <c r="CE130" s="209">
        <f t="shared" si="304"/>
        <v>0</v>
      </c>
      <c r="CF130" s="209">
        <f t="shared" si="304"/>
        <v>0</v>
      </c>
      <c r="CG130" s="65">
        <f t="shared" si="331"/>
        <v>0</v>
      </c>
      <c r="CH130" s="210">
        <f t="shared" si="331"/>
        <v>0</v>
      </c>
      <c r="CI130" s="210">
        <f t="shared" si="331"/>
        <v>0</v>
      </c>
      <c r="CJ130" s="210">
        <f t="shared" si="331"/>
        <v>0</v>
      </c>
      <c r="CK130" s="210">
        <f t="shared" si="331"/>
        <v>0</v>
      </c>
      <c r="CL130" s="210">
        <f t="shared" si="305"/>
        <v>0</v>
      </c>
      <c r="CM130" s="210">
        <f t="shared" si="305"/>
        <v>0</v>
      </c>
      <c r="CN130" s="210">
        <f t="shared" si="305"/>
        <v>0</v>
      </c>
      <c r="CO130" s="210">
        <f t="shared" si="305"/>
        <v>0</v>
      </c>
      <c r="CP130" s="66">
        <f t="shared" si="305"/>
        <v>0</v>
      </c>
      <c r="CQ130" s="65">
        <f t="shared" si="322"/>
        <v>0</v>
      </c>
      <c r="CR130" s="210">
        <f t="shared" si="322"/>
        <v>0</v>
      </c>
      <c r="CS130" s="210">
        <f t="shared" si="322"/>
        <v>0</v>
      </c>
      <c r="CT130" s="210">
        <f t="shared" si="322"/>
        <v>0</v>
      </c>
      <c r="CU130" s="210">
        <f t="shared" si="322"/>
        <v>0</v>
      </c>
      <c r="CV130" s="210">
        <f t="shared" si="306"/>
        <v>0</v>
      </c>
      <c r="CW130" s="210">
        <f t="shared" si="306"/>
        <v>0</v>
      </c>
      <c r="CX130" s="65">
        <f t="shared" si="323"/>
        <v>0</v>
      </c>
      <c r="CY130" s="210">
        <f t="shared" si="323"/>
        <v>0</v>
      </c>
      <c r="CZ130" s="210">
        <f t="shared" si="323"/>
        <v>0</v>
      </c>
      <c r="DA130" s="210">
        <f t="shared" si="323"/>
        <v>0</v>
      </c>
      <c r="DB130" s="210">
        <f t="shared" si="323"/>
        <v>0</v>
      </c>
      <c r="DC130" s="210">
        <f t="shared" si="324"/>
        <v>0</v>
      </c>
      <c r="DD130" s="209">
        <f t="shared" si="324"/>
        <v>0</v>
      </c>
      <c r="DE130" s="65">
        <f t="shared" si="332"/>
        <v>0</v>
      </c>
      <c r="DF130" s="210">
        <f t="shared" si="332"/>
        <v>0</v>
      </c>
      <c r="DG130" s="210">
        <f t="shared" si="332"/>
        <v>0</v>
      </c>
      <c r="DH130" s="210">
        <f t="shared" si="332"/>
        <v>0</v>
      </c>
      <c r="DI130" s="210">
        <f t="shared" si="332"/>
        <v>0</v>
      </c>
      <c r="DJ130" s="210">
        <f t="shared" si="328"/>
        <v>0</v>
      </c>
      <c r="DK130" s="210">
        <f t="shared" si="328"/>
        <v>0</v>
      </c>
      <c r="DL130" s="65">
        <f t="shared" si="333"/>
        <v>0</v>
      </c>
      <c r="DM130" s="210">
        <f t="shared" si="333"/>
        <v>0</v>
      </c>
      <c r="DN130" s="210">
        <f t="shared" si="333"/>
        <v>0</v>
      </c>
      <c r="DO130" s="210">
        <f t="shared" si="333"/>
        <v>0</v>
      </c>
      <c r="DP130" s="210">
        <f t="shared" si="333"/>
        <v>0</v>
      </c>
      <c r="DQ130" s="210">
        <f t="shared" si="307"/>
        <v>0</v>
      </c>
      <c r="DR130" s="210">
        <f t="shared" si="307"/>
        <v>0</v>
      </c>
      <c r="DS130" s="210">
        <f t="shared" si="307"/>
        <v>0</v>
      </c>
    </row>
    <row r="131" spans="1:124" s="201" customFormat="1" ht="26.25" hidden="1" customHeight="1" outlineLevel="1" collapsed="1" x14ac:dyDescent="0.4">
      <c r="A131" s="347">
        <v>63</v>
      </c>
      <c r="B131" s="347" t="s">
        <v>45</v>
      </c>
      <c r="C131" s="347" t="s">
        <v>346</v>
      </c>
      <c r="D131" s="349"/>
      <c r="E131" s="349"/>
      <c r="F131" s="349"/>
      <c r="G131" s="371"/>
      <c r="H131" s="449">
        <f>SUM(CQ131:CW131)</f>
        <v>0</v>
      </c>
      <c r="I131" s="449">
        <f>SUM(CQ132:CW132)</f>
        <v>0</v>
      </c>
      <c r="J131" s="447"/>
      <c r="K131" s="445"/>
      <c r="L131" s="445"/>
      <c r="M131" s="428"/>
      <c r="N131" s="21" t="s">
        <v>24</v>
      </c>
      <c r="O131" s="190">
        <f t="shared" si="294"/>
        <v>0</v>
      </c>
      <c r="P131" s="190">
        <f t="shared" si="294"/>
        <v>0</v>
      </c>
      <c r="Q131" s="190">
        <f t="shared" si="294"/>
        <v>0</v>
      </c>
      <c r="R131" s="190">
        <f t="shared" si="294"/>
        <v>0</v>
      </c>
      <c r="S131" s="190">
        <f t="shared" si="294"/>
        <v>0</v>
      </c>
      <c r="T131" s="190">
        <f t="shared" si="294"/>
        <v>0</v>
      </c>
      <c r="U131" s="190">
        <f t="shared" si="294"/>
        <v>0</v>
      </c>
      <c r="V131" s="190">
        <f t="shared" si="295"/>
        <v>0</v>
      </c>
      <c r="W131" s="190">
        <f t="shared" si="294"/>
        <v>0</v>
      </c>
      <c r="X131" s="86">
        <f t="shared" si="294"/>
        <v>0</v>
      </c>
      <c r="Y131" s="190">
        <f t="shared" si="296"/>
        <v>0</v>
      </c>
      <c r="Z131" s="190">
        <f t="shared" si="296"/>
        <v>0</v>
      </c>
      <c r="AA131" s="190">
        <f t="shared" si="296"/>
        <v>0</v>
      </c>
      <c r="AB131" s="190">
        <f t="shared" si="296"/>
        <v>0</v>
      </c>
      <c r="AC131" s="190">
        <f t="shared" si="296"/>
        <v>0</v>
      </c>
      <c r="AD131" s="190">
        <f t="shared" si="296"/>
        <v>0</v>
      </c>
      <c r="AE131" s="190">
        <f t="shared" si="334"/>
        <v>0</v>
      </c>
      <c r="AF131" s="190"/>
      <c r="AG131" s="190">
        <f t="shared" si="334"/>
        <v>0</v>
      </c>
      <c r="AH131" s="190">
        <f t="shared" si="334"/>
        <v>0</v>
      </c>
      <c r="AI131" s="77">
        <f t="shared" si="334"/>
        <v>0</v>
      </c>
      <c r="AJ131" s="190">
        <f t="shared" si="334"/>
        <v>0</v>
      </c>
      <c r="AK131" s="190">
        <f t="shared" si="334"/>
        <v>0</v>
      </c>
      <c r="AL131" s="190">
        <f t="shared" si="334"/>
        <v>0</v>
      </c>
      <c r="AM131" s="190">
        <f t="shared" si="334"/>
        <v>0</v>
      </c>
      <c r="AN131" s="190">
        <f t="shared" si="334"/>
        <v>0</v>
      </c>
      <c r="AO131" s="190">
        <f t="shared" si="334"/>
        <v>0</v>
      </c>
      <c r="AP131" s="190">
        <f t="shared" si="334"/>
        <v>0</v>
      </c>
      <c r="AQ131" s="190">
        <f t="shared" si="334"/>
        <v>0</v>
      </c>
      <c r="AR131" s="225">
        <f t="shared" si="334"/>
        <v>0</v>
      </c>
      <c r="AS131" s="23">
        <f t="shared" si="330"/>
        <v>0</v>
      </c>
      <c r="AT131" s="190">
        <f t="shared" si="330"/>
        <v>0</v>
      </c>
      <c r="AU131" s="190">
        <f t="shared" si="330"/>
        <v>0</v>
      </c>
      <c r="AV131" s="190">
        <f t="shared" si="330"/>
        <v>0</v>
      </c>
      <c r="AW131" s="190">
        <f t="shared" si="330"/>
        <v>0</v>
      </c>
      <c r="AX131" s="190">
        <f t="shared" si="299"/>
        <v>0</v>
      </c>
      <c r="AY131" s="190">
        <f t="shared" si="299"/>
        <v>0</v>
      </c>
      <c r="AZ131" s="190">
        <f t="shared" si="299"/>
        <v>0</v>
      </c>
      <c r="BA131" s="190">
        <f t="shared" si="299"/>
        <v>0</v>
      </c>
      <c r="BB131" s="225">
        <f t="shared" si="299"/>
        <v>0</v>
      </c>
      <c r="BC131" s="77">
        <f t="shared" si="300"/>
        <v>0</v>
      </c>
      <c r="BD131" s="190">
        <f t="shared" si="300"/>
        <v>0</v>
      </c>
      <c r="BE131" s="190">
        <f t="shared" si="300"/>
        <v>0</v>
      </c>
      <c r="BF131" s="190">
        <f t="shared" si="300"/>
        <v>0</v>
      </c>
      <c r="BG131" s="190">
        <f t="shared" si="300"/>
        <v>0</v>
      </c>
      <c r="BH131" s="190">
        <f t="shared" si="300"/>
        <v>0</v>
      </c>
      <c r="BI131" s="190">
        <f t="shared" si="300"/>
        <v>0</v>
      </c>
      <c r="BJ131" s="190">
        <f t="shared" si="301"/>
        <v>0</v>
      </c>
      <c r="BK131" s="190">
        <f t="shared" si="301"/>
        <v>0</v>
      </c>
      <c r="BL131" s="190">
        <f t="shared" si="301"/>
        <v>0</v>
      </c>
      <c r="BM131" s="77">
        <f t="shared" si="302"/>
        <v>0</v>
      </c>
      <c r="BN131" s="190">
        <f t="shared" si="302"/>
        <v>0</v>
      </c>
      <c r="BO131" s="190">
        <f t="shared" si="302"/>
        <v>0</v>
      </c>
      <c r="BP131" s="190">
        <f t="shared" si="302"/>
        <v>0</v>
      </c>
      <c r="BQ131" s="190">
        <f t="shared" si="302"/>
        <v>0</v>
      </c>
      <c r="BR131" s="190">
        <f t="shared" si="302"/>
        <v>0</v>
      </c>
      <c r="BS131" s="190">
        <f t="shared" si="302"/>
        <v>0</v>
      </c>
      <c r="BT131" s="190"/>
      <c r="BU131" s="190"/>
      <c r="BV131" s="190">
        <f t="shared" si="302"/>
        <v>0</v>
      </c>
      <c r="BW131" s="23">
        <f t="shared" si="303"/>
        <v>0</v>
      </c>
      <c r="BX131" s="190">
        <f t="shared" si="303"/>
        <v>0</v>
      </c>
      <c r="BY131" s="190">
        <f t="shared" si="303"/>
        <v>0</v>
      </c>
      <c r="BZ131" s="190">
        <f t="shared" si="303"/>
        <v>0</v>
      </c>
      <c r="CA131" s="190">
        <f t="shared" si="303"/>
        <v>0</v>
      </c>
      <c r="CB131" s="190">
        <f t="shared" si="304"/>
        <v>0</v>
      </c>
      <c r="CC131" s="190">
        <f t="shared" si="304"/>
        <v>0</v>
      </c>
      <c r="CD131" s="190">
        <f t="shared" si="304"/>
        <v>0</v>
      </c>
      <c r="CE131" s="190">
        <f t="shared" si="304"/>
        <v>0</v>
      </c>
      <c r="CF131" s="190">
        <f t="shared" si="304"/>
        <v>0</v>
      </c>
      <c r="CG131" s="23">
        <f t="shared" si="331"/>
        <v>0</v>
      </c>
      <c r="CH131" s="190">
        <f t="shared" si="331"/>
        <v>0</v>
      </c>
      <c r="CI131" s="190">
        <f t="shared" si="331"/>
        <v>0</v>
      </c>
      <c r="CJ131" s="190">
        <f t="shared" si="331"/>
        <v>0</v>
      </c>
      <c r="CK131" s="190">
        <f t="shared" si="331"/>
        <v>0</v>
      </c>
      <c r="CL131" s="190">
        <f t="shared" si="305"/>
        <v>0</v>
      </c>
      <c r="CM131" s="190">
        <f t="shared" si="305"/>
        <v>0</v>
      </c>
      <c r="CN131" s="190">
        <f t="shared" si="305"/>
        <v>0</v>
      </c>
      <c r="CO131" s="190">
        <f t="shared" si="305"/>
        <v>0</v>
      </c>
      <c r="CP131" s="21">
        <f t="shared" si="305"/>
        <v>0</v>
      </c>
      <c r="CQ131" s="23">
        <f t="shared" ref="CQ131:CU146" si="335">0/157.5</f>
        <v>0</v>
      </c>
      <c r="CR131" s="190">
        <f t="shared" si="335"/>
        <v>0</v>
      </c>
      <c r="CS131" s="190">
        <f t="shared" si="335"/>
        <v>0</v>
      </c>
      <c r="CT131" s="190">
        <f t="shared" si="335"/>
        <v>0</v>
      </c>
      <c r="CU131" s="190">
        <f t="shared" si="335"/>
        <v>0</v>
      </c>
      <c r="CV131" s="190">
        <f t="shared" si="306"/>
        <v>0</v>
      </c>
      <c r="CW131" s="190">
        <f t="shared" si="306"/>
        <v>0</v>
      </c>
      <c r="CX131" s="77">
        <f t="shared" si="323"/>
        <v>0</v>
      </c>
      <c r="CY131" s="190">
        <f t="shared" si="323"/>
        <v>0</v>
      </c>
      <c r="CZ131" s="190">
        <f t="shared" si="323"/>
        <v>0</v>
      </c>
      <c r="DA131" s="190">
        <f t="shared" si="323"/>
        <v>0</v>
      </c>
      <c r="DB131" s="190">
        <f t="shared" si="323"/>
        <v>0</v>
      </c>
      <c r="DC131" s="190">
        <f t="shared" si="324"/>
        <v>0</v>
      </c>
      <c r="DD131" s="190">
        <f t="shared" si="324"/>
        <v>0</v>
      </c>
      <c r="DE131" s="23">
        <f t="shared" si="332"/>
        <v>0</v>
      </c>
      <c r="DF131" s="190">
        <f t="shared" si="332"/>
        <v>0</v>
      </c>
      <c r="DG131" s="190">
        <f t="shared" si="332"/>
        <v>0</v>
      </c>
      <c r="DH131" s="190">
        <f t="shared" si="332"/>
        <v>0</v>
      </c>
      <c r="DI131" s="190">
        <f t="shared" si="332"/>
        <v>0</v>
      </c>
      <c r="DJ131" s="190">
        <f t="shared" si="328"/>
        <v>0</v>
      </c>
      <c r="DK131" s="190">
        <f t="shared" si="328"/>
        <v>0</v>
      </c>
      <c r="DL131" s="23">
        <f t="shared" si="333"/>
        <v>0</v>
      </c>
      <c r="DM131" s="190">
        <f t="shared" si="333"/>
        <v>0</v>
      </c>
      <c r="DN131" s="190">
        <f t="shared" si="333"/>
        <v>0</v>
      </c>
      <c r="DO131" s="190">
        <f t="shared" si="333"/>
        <v>0</v>
      </c>
      <c r="DP131" s="190">
        <f t="shared" si="333"/>
        <v>0</v>
      </c>
      <c r="DQ131" s="190">
        <f t="shared" si="307"/>
        <v>0</v>
      </c>
      <c r="DR131" s="190">
        <f t="shared" si="307"/>
        <v>0</v>
      </c>
      <c r="DS131" s="190">
        <f t="shared" si="307"/>
        <v>0</v>
      </c>
      <c r="DT131" s="54"/>
    </row>
    <row r="132" spans="1:124" s="201" customFormat="1" ht="26.25" hidden="1" customHeight="1" outlineLevel="1" x14ac:dyDescent="0.4">
      <c r="A132" s="348"/>
      <c r="B132" s="348"/>
      <c r="C132" s="348"/>
      <c r="D132" s="350"/>
      <c r="E132" s="350"/>
      <c r="F132" s="350"/>
      <c r="G132" s="371"/>
      <c r="H132" s="450"/>
      <c r="I132" s="450"/>
      <c r="J132" s="448"/>
      <c r="K132" s="446"/>
      <c r="L132" s="446"/>
      <c r="M132" s="429"/>
      <c r="N132" s="209" t="s">
        <v>25</v>
      </c>
      <c r="O132" s="209">
        <f t="shared" si="294"/>
        <v>0</v>
      </c>
      <c r="P132" s="209">
        <f t="shared" si="294"/>
        <v>0</v>
      </c>
      <c r="Q132" s="209">
        <f t="shared" si="294"/>
        <v>0</v>
      </c>
      <c r="R132" s="209">
        <f t="shared" si="294"/>
        <v>0</v>
      </c>
      <c r="S132" s="209">
        <f t="shared" si="294"/>
        <v>0</v>
      </c>
      <c r="T132" s="209">
        <f t="shared" si="294"/>
        <v>0</v>
      </c>
      <c r="U132" s="209">
        <f t="shared" si="294"/>
        <v>0</v>
      </c>
      <c r="V132" s="209">
        <f t="shared" si="295"/>
        <v>0</v>
      </c>
      <c r="W132" s="209">
        <f t="shared" si="294"/>
        <v>0</v>
      </c>
      <c r="X132" s="53">
        <f t="shared" si="294"/>
        <v>0</v>
      </c>
      <c r="Y132" s="209">
        <f t="shared" si="296"/>
        <v>0</v>
      </c>
      <c r="Z132" s="209">
        <f t="shared" si="296"/>
        <v>0</v>
      </c>
      <c r="AA132" s="209">
        <f t="shared" si="296"/>
        <v>0</v>
      </c>
      <c r="AB132" s="209">
        <f t="shared" si="296"/>
        <v>0</v>
      </c>
      <c r="AC132" s="209">
        <f t="shared" si="296"/>
        <v>0</v>
      </c>
      <c r="AD132" s="209">
        <f t="shared" si="296"/>
        <v>0</v>
      </c>
      <c r="AE132" s="209">
        <f t="shared" si="334"/>
        <v>0</v>
      </c>
      <c r="AF132" s="209"/>
      <c r="AG132" s="209">
        <f t="shared" si="334"/>
        <v>0</v>
      </c>
      <c r="AH132" s="209">
        <f t="shared" si="334"/>
        <v>0</v>
      </c>
      <c r="AI132" s="58">
        <f t="shared" si="334"/>
        <v>0</v>
      </c>
      <c r="AJ132" s="209">
        <f t="shared" si="334"/>
        <v>0</v>
      </c>
      <c r="AK132" s="209">
        <f t="shared" si="334"/>
        <v>0</v>
      </c>
      <c r="AL132" s="209">
        <f t="shared" si="334"/>
        <v>0</v>
      </c>
      <c r="AM132" s="209">
        <f t="shared" si="334"/>
        <v>0</v>
      </c>
      <c r="AN132" s="209">
        <f t="shared" si="334"/>
        <v>0</v>
      </c>
      <c r="AO132" s="209">
        <f t="shared" si="334"/>
        <v>0</v>
      </c>
      <c r="AP132" s="209">
        <f t="shared" si="334"/>
        <v>0</v>
      </c>
      <c r="AQ132" s="209">
        <f t="shared" si="334"/>
        <v>0</v>
      </c>
      <c r="AR132" s="53">
        <f t="shared" si="334"/>
        <v>0</v>
      </c>
      <c r="AS132" s="65">
        <f t="shared" si="330"/>
        <v>0</v>
      </c>
      <c r="AT132" s="210">
        <f t="shared" si="330"/>
        <v>0</v>
      </c>
      <c r="AU132" s="210">
        <f t="shared" si="330"/>
        <v>0</v>
      </c>
      <c r="AV132" s="210">
        <f t="shared" si="330"/>
        <v>0</v>
      </c>
      <c r="AW132" s="280">
        <f t="shared" si="330"/>
        <v>0</v>
      </c>
      <c r="AX132" s="210">
        <f t="shared" si="299"/>
        <v>0</v>
      </c>
      <c r="AY132" s="210">
        <f t="shared" si="299"/>
        <v>0</v>
      </c>
      <c r="AZ132" s="210">
        <f t="shared" si="299"/>
        <v>0</v>
      </c>
      <c r="BA132" s="210">
        <f t="shared" si="299"/>
        <v>0</v>
      </c>
      <c r="BB132" s="53">
        <f t="shared" si="299"/>
        <v>0</v>
      </c>
      <c r="BC132" s="58">
        <f t="shared" si="300"/>
        <v>0</v>
      </c>
      <c r="BD132" s="209">
        <f t="shared" si="300"/>
        <v>0</v>
      </c>
      <c r="BE132" s="209">
        <f t="shared" si="300"/>
        <v>0</v>
      </c>
      <c r="BF132" s="209">
        <f t="shared" si="300"/>
        <v>0</v>
      </c>
      <c r="BG132" s="209">
        <f t="shared" si="300"/>
        <v>0</v>
      </c>
      <c r="BH132" s="209">
        <f t="shared" si="300"/>
        <v>0</v>
      </c>
      <c r="BI132" s="209">
        <f t="shared" si="300"/>
        <v>0</v>
      </c>
      <c r="BJ132" s="209">
        <f t="shared" si="301"/>
        <v>0</v>
      </c>
      <c r="BK132" s="209">
        <f t="shared" si="301"/>
        <v>0</v>
      </c>
      <c r="BL132" s="209">
        <f t="shared" si="301"/>
        <v>0</v>
      </c>
      <c r="BM132" s="58">
        <f t="shared" si="302"/>
        <v>0</v>
      </c>
      <c r="BN132" s="209">
        <f t="shared" si="302"/>
        <v>0</v>
      </c>
      <c r="BO132" s="209">
        <f t="shared" si="302"/>
        <v>0</v>
      </c>
      <c r="BP132" s="209">
        <f t="shared" si="302"/>
        <v>0</v>
      </c>
      <c r="BQ132" s="209">
        <f t="shared" si="302"/>
        <v>0</v>
      </c>
      <c r="BR132" s="209">
        <f t="shared" si="302"/>
        <v>0</v>
      </c>
      <c r="BS132" s="209">
        <f t="shared" si="302"/>
        <v>0</v>
      </c>
      <c r="BT132" s="209"/>
      <c r="BU132" s="209"/>
      <c r="BV132" s="209">
        <f t="shared" si="302"/>
        <v>0</v>
      </c>
      <c r="BW132" s="65">
        <f t="shared" si="303"/>
        <v>0</v>
      </c>
      <c r="BX132" s="209">
        <f t="shared" si="303"/>
        <v>0</v>
      </c>
      <c r="BY132" s="209">
        <f t="shared" si="303"/>
        <v>0</v>
      </c>
      <c r="BZ132" s="209">
        <f t="shared" si="303"/>
        <v>0</v>
      </c>
      <c r="CA132" s="209">
        <f t="shared" si="303"/>
        <v>0</v>
      </c>
      <c r="CB132" s="209">
        <f t="shared" si="304"/>
        <v>0</v>
      </c>
      <c r="CC132" s="209">
        <f t="shared" si="304"/>
        <v>0</v>
      </c>
      <c r="CD132" s="209">
        <f t="shared" si="304"/>
        <v>0</v>
      </c>
      <c r="CE132" s="209">
        <f t="shared" si="304"/>
        <v>0</v>
      </c>
      <c r="CF132" s="209">
        <f t="shared" si="304"/>
        <v>0</v>
      </c>
      <c r="CG132" s="65">
        <f t="shared" si="331"/>
        <v>0</v>
      </c>
      <c r="CH132" s="210">
        <f t="shared" si="331"/>
        <v>0</v>
      </c>
      <c r="CI132" s="210">
        <f t="shared" si="331"/>
        <v>0</v>
      </c>
      <c r="CJ132" s="210">
        <f t="shared" si="331"/>
        <v>0</v>
      </c>
      <c r="CK132" s="210">
        <f t="shared" si="331"/>
        <v>0</v>
      </c>
      <c r="CL132" s="210">
        <f t="shared" si="305"/>
        <v>0</v>
      </c>
      <c r="CM132" s="210">
        <f t="shared" si="305"/>
        <v>0</v>
      </c>
      <c r="CN132" s="210">
        <f t="shared" si="305"/>
        <v>0</v>
      </c>
      <c r="CO132" s="210">
        <f t="shared" si="305"/>
        <v>0</v>
      </c>
      <c r="CP132" s="66">
        <f t="shared" si="305"/>
        <v>0</v>
      </c>
      <c r="CQ132" s="65">
        <f t="shared" si="335"/>
        <v>0</v>
      </c>
      <c r="CR132" s="210">
        <f t="shared" si="335"/>
        <v>0</v>
      </c>
      <c r="CS132" s="210">
        <f t="shared" si="335"/>
        <v>0</v>
      </c>
      <c r="CT132" s="210">
        <f t="shared" si="335"/>
        <v>0</v>
      </c>
      <c r="CU132" s="210">
        <f t="shared" si="335"/>
        <v>0</v>
      </c>
      <c r="CV132" s="210">
        <f t="shared" si="306"/>
        <v>0</v>
      </c>
      <c r="CW132" s="210">
        <f t="shared" si="306"/>
        <v>0</v>
      </c>
      <c r="CX132" s="65">
        <f t="shared" si="323"/>
        <v>0</v>
      </c>
      <c r="CY132" s="210">
        <f t="shared" si="323"/>
        <v>0</v>
      </c>
      <c r="CZ132" s="210">
        <f t="shared" si="323"/>
        <v>0</v>
      </c>
      <c r="DA132" s="210">
        <f t="shared" si="323"/>
        <v>0</v>
      </c>
      <c r="DB132" s="210">
        <f t="shared" si="323"/>
        <v>0</v>
      </c>
      <c r="DC132" s="210">
        <f t="shared" si="324"/>
        <v>0</v>
      </c>
      <c r="DD132" s="209">
        <f t="shared" si="324"/>
        <v>0</v>
      </c>
      <c r="DE132" s="65">
        <f t="shared" si="332"/>
        <v>0</v>
      </c>
      <c r="DF132" s="210">
        <f t="shared" si="332"/>
        <v>0</v>
      </c>
      <c r="DG132" s="210">
        <f t="shared" si="332"/>
        <v>0</v>
      </c>
      <c r="DH132" s="210">
        <f t="shared" si="332"/>
        <v>0</v>
      </c>
      <c r="DI132" s="210">
        <f t="shared" si="332"/>
        <v>0</v>
      </c>
      <c r="DJ132" s="210">
        <f t="shared" si="328"/>
        <v>0</v>
      </c>
      <c r="DK132" s="210">
        <f t="shared" si="328"/>
        <v>0</v>
      </c>
      <c r="DL132" s="65">
        <f t="shared" si="333"/>
        <v>0</v>
      </c>
      <c r="DM132" s="210">
        <f t="shared" si="333"/>
        <v>0</v>
      </c>
      <c r="DN132" s="210">
        <f t="shared" si="333"/>
        <v>0</v>
      </c>
      <c r="DO132" s="210">
        <f t="shared" si="333"/>
        <v>0</v>
      </c>
      <c r="DP132" s="210">
        <f t="shared" si="333"/>
        <v>0</v>
      </c>
      <c r="DQ132" s="210">
        <f t="shared" si="307"/>
        <v>0</v>
      </c>
      <c r="DR132" s="210">
        <f t="shared" si="307"/>
        <v>0</v>
      </c>
      <c r="DS132" s="210">
        <f t="shared" si="307"/>
        <v>0</v>
      </c>
    </row>
    <row r="133" spans="1:124" s="201" customFormat="1" ht="26.25" hidden="1" customHeight="1" outlineLevel="1" x14ac:dyDescent="0.4">
      <c r="A133" s="347">
        <v>64</v>
      </c>
      <c r="B133" s="347" t="s">
        <v>45</v>
      </c>
      <c r="C133" s="347" t="s">
        <v>346</v>
      </c>
      <c r="D133" s="349"/>
      <c r="E133" s="349"/>
      <c r="F133" s="349"/>
      <c r="G133" s="371"/>
      <c r="H133" s="449">
        <f>SUM(CQ133:CW133)</f>
        <v>0</v>
      </c>
      <c r="I133" s="449">
        <f>SUM(CQ134:CW134)</f>
        <v>0</v>
      </c>
      <c r="J133" s="447"/>
      <c r="K133" s="445"/>
      <c r="L133" s="445"/>
      <c r="M133" s="428"/>
      <c r="N133" s="21" t="s">
        <v>24</v>
      </c>
      <c r="O133" s="190">
        <f t="shared" si="294"/>
        <v>0</v>
      </c>
      <c r="P133" s="190">
        <f t="shared" si="294"/>
        <v>0</v>
      </c>
      <c r="Q133" s="190">
        <f t="shared" si="294"/>
        <v>0</v>
      </c>
      <c r="R133" s="190">
        <f t="shared" si="294"/>
        <v>0</v>
      </c>
      <c r="S133" s="190">
        <f t="shared" si="294"/>
        <v>0</v>
      </c>
      <c r="T133" s="190">
        <f t="shared" si="294"/>
        <v>0</v>
      </c>
      <c r="U133" s="190">
        <f t="shared" si="294"/>
        <v>0</v>
      </c>
      <c r="V133" s="190">
        <f t="shared" si="295"/>
        <v>0</v>
      </c>
      <c r="W133" s="190">
        <f t="shared" si="294"/>
        <v>0</v>
      </c>
      <c r="X133" s="86">
        <f t="shared" si="294"/>
        <v>0</v>
      </c>
      <c r="Y133" s="190">
        <f t="shared" si="296"/>
        <v>0</v>
      </c>
      <c r="Z133" s="190">
        <f t="shared" si="296"/>
        <v>0</v>
      </c>
      <c r="AA133" s="190">
        <f t="shared" si="296"/>
        <v>0</v>
      </c>
      <c r="AB133" s="190">
        <f t="shared" si="296"/>
        <v>0</v>
      </c>
      <c r="AC133" s="190">
        <f t="shared" si="296"/>
        <v>0</v>
      </c>
      <c r="AD133" s="190">
        <f t="shared" si="296"/>
        <v>0</v>
      </c>
      <c r="AE133" s="190">
        <f t="shared" si="334"/>
        <v>0</v>
      </c>
      <c r="AF133" s="190"/>
      <c r="AG133" s="190">
        <f t="shared" si="334"/>
        <v>0</v>
      </c>
      <c r="AH133" s="190">
        <f t="shared" si="334"/>
        <v>0</v>
      </c>
      <c r="AI133" s="77">
        <f t="shared" si="334"/>
        <v>0</v>
      </c>
      <c r="AJ133" s="190">
        <f t="shared" si="334"/>
        <v>0</v>
      </c>
      <c r="AK133" s="190">
        <f t="shared" si="334"/>
        <v>0</v>
      </c>
      <c r="AL133" s="190">
        <f t="shared" si="334"/>
        <v>0</v>
      </c>
      <c r="AM133" s="190">
        <f t="shared" si="334"/>
        <v>0</v>
      </c>
      <c r="AN133" s="190">
        <f t="shared" si="334"/>
        <v>0</v>
      </c>
      <c r="AO133" s="190">
        <f t="shared" si="334"/>
        <v>0</v>
      </c>
      <c r="AP133" s="190">
        <f t="shared" si="334"/>
        <v>0</v>
      </c>
      <c r="AQ133" s="190">
        <f t="shared" si="334"/>
        <v>0</v>
      </c>
      <c r="AR133" s="225">
        <f t="shared" si="334"/>
        <v>0</v>
      </c>
      <c r="AS133" s="23">
        <f t="shared" si="330"/>
        <v>0</v>
      </c>
      <c r="AT133" s="190">
        <f t="shared" si="330"/>
        <v>0</v>
      </c>
      <c r="AU133" s="190">
        <f t="shared" si="330"/>
        <v>0</v>
      </c>
      <c r="AV133" s="190">
        <f t="shared" si="330"/>
        <v>0</v>
      </c>
      <c r="AW133" s="190">
        <f t="shared" si="330"/>
        <v>0</v>
      </c>
      <c r="AX133" s="190">
        <f t="shared" si="299"/>
        <v>0</v>
      </c>
      <c r="AY133" s="190">
        <f t="shared" si="299"/>
        <v>0</v>
      </c>
      <c r="AZ133" s="190">
        <f t="shared" si="299"/>
        <v>0</v>
      </c>
      <c r="BA133" s="190">
        <f t="shared" si="299"/>
        <v>0</v>
      </c>
      <c r="BB133" s="225">
        <f t="shared" si="299"/>
        <v>0</v>
      </c>
      <c r="BC133" s="77">
        <f t="shared" si="300"/>
        <v>0</v>
      </c>
      <c r="BD133" s="190">
        <f t="shared" si="300"/>
        <v>0</v>
      </c>
      <c r="BE133" s="190">
        <f t="shared" si="300"/>
        <v>0</v>
      </c>
      <c r="BF133" s="190">
        <f t="shared" si="300"/>
        <v>0</v>
      </c>
      <c r="BG133" s="190">
        <f t="shared" si="300"/>
        <v>0</v>
      </c>
      <c r="BH133" s="190">
        <f t="shared" si="300"/>
        <v>0</v>
      </c>
      <c r="BI133" s="190">
        <f t="shared" si="300"/>
        <v>0</v>
      </c>
      <c r="BJ133" s="190">
        <f t="shared" si="301"/>
        <v>0</v>
      </c>
      <c r="BK133" s="190">
        <f t="shared" si="301"/>
        <v>0</v>
      </c>
      <c r="BL133" s="190">
        <f t="shared" si="301"/>
        <v>0</v>
      </c>
      <c r="BM133" s="77">
        <f t="shared" si="302"/>
        <v>0</v>
      </c>
      <c r="BN133" s="190">
        <f t="shared" si="302"/>
        <v>0</v>
      </c>
      <c r="BO133" s="190">
        <f t="shared" si="302"/>
        <v>0</v>
      </c>
      <c r="BP133" s="190">
        <f t="shared" si="302"/>
        <v>0</v>
      </c>
      <c r="BQ133" s="190">
        <f t="shared" si="302"/>
        <v>0</v>
      </c>
      <c r="BR133" s="190">
        <f t="shared" si="302"/>
        <v>0</v>
      </c>
      <c r="BS133" s="190">
        <f t="shared" si="302"/>
        <v>0</v>
      </c>
      <c r="BT133" s="190"/>
      <c r="BU133" s="190"/>
      <c r="BV133" s="190">
        <f t="shared" si="302"/>
        <v>0</v>
      </c>
      <c r="BW133" s="23">
        <f t="shared" si="303"/>
        <v>0</v>
      </c>
      <c r="BX133" s="190">
        <f t="shared" si="303"/>
        <v>0</v>
      </c>
      <c r="BY133" s="190">
        <f t="shared" si="303"/>
        <v>0</v>
      </c>
      <c r="BZ133" s="190">
        <f t="shared" si="303"/>
        <v>0</v>
      </c>
      <c r="CA133" s="190">
        <f t="shared" si="303"/>
        <v>0</v>
      </c>
      <c r="CB133" s="190">
        <f t="shared" si="304"/>
        <v>0</v>
      </c>
      <c r="CC133" s="190">
        <f t="shared" si="304"/>
        <v>0</v>
      </c>
      <c r="CD133" s="190">
        <f t="shared" si="304"/>
        <v>0</v>
      </c>
      <c r="CE133" s="190">
        <f t="shared" si="304"/>
        <v>0</v>
      </c>
      <c r="CF133" s="190">
        <f t="shared" si="304"/>
        <v>0</v>
      </c>
      <c r="CG133" s="23">
        <f t="shared" si="331"/>
        <v>0</v>
      </c>
      <c r="CH133" s="190">
        <f t="shared" si="331"/>
        <v>0</v>
      </c>
      <c r="CI133" s="190">
        <f t="shared" si="331"/>
        <v>0</v>
      </c>
      <c r="CJ133" s="190">
        <f t="shared" si="331"/>
        <v>0</v>
      </c>
      <c r="CK133" s="190">
        <f t="shared" si="331"/>
        <v>0</v>
      </c>
      <c r="CL133" s="190">
        <f t="shared" si="305"/>
        <v>0</v>
      </c>
      <c r="CM133" s="190">
        <f t="shared" si="305"/>
        <v>0</v>
      </c>
      <c r="CN133" s="190">
        <f t="shared" si="305"/>
        <v>0</v>
      </c>
      <c r="CO133" s="190">
        <f t="shared" si="305"/>
        <v>0</v>
      </c>
      <c r="CP133" s="21">
        <f t="shared" si="305"/>
        <v>0</v>
      </c>
      <c r="CQ133" s="23">
        <f t="shared" si="335"/>
        <v>0</v>
      </c>
      <c r="CR133" s="190">
        <f t="shared" si="335"/>
        <v>0</v>
      </c>
      <c r="CS133" s="190">
        <f t="shared" si="335"/>
        <v>0</v>
      </c>
      <c r="CT133" s="190">
        <f t="shared" si="335"/>
        <v>0</v>
      </c>
      <c r="CU133" s="190">
        <f t="shared" si="335"/>
        <v>0</v>
      </c>
      <c r="CV133" s="190">
        <f t="shared" si="306"/>
        <v>0</v>
      </c>
      <c r="CW133" s="190">
        <f t="shared" si="306"/>
        <v>0</v>
      </c>
      <c r="CX133" s="77">
        <f t="shared" si="323"/>
        <v>0</v>
      </c>
      <c r="CY133" s="190">
        <f t="shared" si="323"/>
        <v>0</v>
      </c>
      <c r="CZ133" s="190">
        <f t="shared" si="323"/>
        <v>0</v>
      </c>
      <c r="DA133" s="190">
        <f t="shared" si="323"/>
        <v>0</v>
      </c>
      <c r="DB133" s="190">
        <f t="shared" si="323"/>
        <v>0</v>
      </c>
      <c r="DC133" s="190">
        <f t="shared" si="324"/>
        <v>0</v>
      </c>
      <c r="DD133" s="190">
        <f t="shared" si="324"/>
        <v>0</v>
      </c>
      <c r="DE133" s="23">
        <f t="shared" si="332"/>
        <v>0</v>
      </c>
      <c r="DF133" s="190">
        <f t="shared" si="332"/>
        <v>0</v>
      </c>
      <c r="DG133" s="190">
        <f t="shared" si="332"/>
        <v>0</v>
      </c>
      <c r="DH133" s="190">
        <f t="shared" si="332"/>
        <v>0</v>
      </c>
      <c r="DI133" s="190">
        <f t="shared" si="332"/>
        <v>0</v>
      </c>
      <c r="DJ133" s="190">
        <f t="shared" si="328"/>
        <v>0</v>
      </c>
      <c r="DK133" s="190">
        <f t="shared" si="328"/>
        <v>0</v>
      </c>
      <c r="DL133" s="23">
        <f t="shared" si="333"/>
        <v>0</v>
      </c>
      <c r="DM133" s="190">
        <f t="shared" si="333"/>
        <v>0</v>
      </c>
      <c r="DN133" s="190">
        <f t="shared" si="333"/>
        <v>0</v>
      </c>
      <c r="DO133" s="190">
        <f t="shared" si="333"/>
        <v>0</v>
      </c>
      <c r="DP133" s="190">
        <f t="shared" si="333"/>
        <v>0</v>
      </c>
      <c r="DQ133" s="190">
        <f t="shared" si="307"/>
        <v>0</v>
      </c>
      <c r="DR133" s="190">
        <f t="shared" si="307"/>
        <v>0</v>
      </c>
      <c r="DS133" s="190">
        <f t="shared" si="307"/>
        <v>0</v>
      </c>
      <c r="DT133" s="54"/>
    </row>
    <row r="134" spans="1:124" s="201" customFormat="1" ht="26.25" hidden="1" customHeight="1" outlineLevel="1" x14ac:dyDescent="0.4">
      <c r="A134" s="348"/>
      <c r="B134" s="348"/>
      <c r="C134" s="348"/>
      <c r="D134" s="350"/>
      <c r="E134" s="350"/>
      <c r="F134" s="350"/>
      <c r="G134" s="371"/>
      <c r="H134" s="450"/>
      <c r="I134" s="450"/>
      <c r="J134" s="448"/>
      <c r="K134" s="446"/>
      <c r="L134" s="446"/>
      <c r="M134" s="429"/>
      <c r="N134" s="209" t="s">
        <v>25</v>
      </c>
      <c r="O134" s="209">
        <f t="shared" si="294"/>
        <v>0</v>
      </c>
      <c r="P134" s="209">
        <f t="shared" si="294"/>
        <v>0</v>
      </c>
      <c r="Q134" s="209">
        <f t="shared" si="294"/>
        <v>0</v>
      </c>
      <c r="R134" s="209">
        <f t="shared" si="294"/>
        <v>0</v>
      </c>
      <c r="S134" s="209">
        <f t="shared" si="294"/>
        <v>0</v>
      </c>
      <c r="T134" s="209">
        <f t="shared" si="294"/>
        <v>0</v>
      </c>
      <c r="U134" s="209">
        <f t="shared" si="294"/>
        <v>0</v>
      </c>
      <c r="V134" s="209">
        <f t="shared" si="295"/>
        <v>0</v>
      </c>
      <c r="W134" s="209">
        <f t="shared" si="294"/>
        <v>0</v>
      </c>
      <c r="X134" s="53">
        <f t="shared" si="294"/>
        <v>0</v>
      </c>
      <c r="Y134" s="209">
        <f t="shared" si="296"/>
        <v>0</v>
      </c>
      <c r="Z134" s="209">
        <f t="shared" si="296"/>
        <v>0</v>
      </c>
      <c r="AA134" s="209">
        <f t="shared" si="296"/>
        <v>0</v>
      </c>
      <c r="AB134" s="209">
        <f t="shared" si="296"/>
        <v>0</v>
      </c>
      <c r="AC134" s="209">
        <f t="shared" si="296"/>
        <v>0</v>
      </c>
      <c r="AD134" s="209">
        <f t="shared" si="296"/>
        <v>0</v>
      </c>
      <c r="AE134" s="209">
        <f t="shared" si="334"/>
        <v>0</v>
      </c>
      <c r="AF134" s="209"/>
      <c r="AG134" s="209">
        <f t="shared" si="334"/>
        <v>0</v>
      </c>
      <c r="AH134" s="209">
        <f t="shared" si="334"/>
        <v>0</v>
      </c>
      <c r="AI134" s="58">
        <f t="shared" si="334"/>
        <v>0</v>
      </c>
      <c r="AJ134" s="209">
        <f t="shared" si="334"/>
        <v>0</v>
      </c>
      <c r="AK134" s="209">
        <f t="shared" si="334"/>
        <v>0</v>
      </c>
      <c r="AL134" s="209">
        <f t="shared" si="334"/>
        <v>0</v>
      </c>
      <c r="AM134" s="209">
        <f t="shared" si="334"/>
        <v>0</v>
      </c>
      <c r="AN134" s="209">
        <f t="shared" si="334"/>
        <v>0</v>
      </c>
      <c r="AO134" s="209">
        <f t="shared" si="334"/>
        <v>0</v>
      </c>
      <c r="AP134" s="209">
        <f t="shared" si="334"/>
        <v>0</v>
      </c>
      <c r="AQ134" s="209">
        <f t="shared" si="334"/>
        <v>0</v>
      </c>
      <c r="AR134" s="53">
        <f t="shared" si="334"/>
        <v>0</v>
      </c>
      <c r="AS134" s="65">
        <f t="shared" si="330"/>
        <v>0</v>
      </c>
      <c r="AT134" s="210">
        <f t="shared" si="330"/>
        <v>0</v>
      </c>
      <c r="AU134" s="210">
        <f t="shared" si="330"/>
        <v>0</v>
      </c>
      <c r="AV134" s="210">
        <f t="shared" si="330"/>
        <v>0</v>
      </c>
      <c r="AW134" s="280">
        <f t="shared" si="330"/>
        <v>0</v>
      </c>
      <c r="AX134" s="210">
        <f t="shared" si="299"/>
        <v>0</v>
      </c>
      <c r="AY134" s="210">
        <f t="shared" si="299"/>
        <v>0</v>
      </c>
      <c r="AZ134" s="210">
        <f t="shared" si="299"/>
        <v>0</v>
      </c>
      <c r="BA134" s="210">
        <f t="shared" si="299"/>
        <v>0</v>
      </c>
      <c r="BB134" s="53">
        <f t="shared" si="299"/>
        <v>0</v>
      </c>
      <c r="BC134" s="58">
        <f t="shared" si="300"/>
        <v>0</v>
      </c>
      <c r="BD134" s="209">
        <f t="shared" si="300"/>
        <v>0</v>
      </c>
      <c r="BE134" s="209">
        <f t="shared" si="300"/>
        <v>0</v>
      </c>
      <c r="BF134" s="209">
        <f t="shared" si="300"/>
        <v>0</v>
      </c>
      <c r="BG134" s="209">
        <f t="shared" si="300"/>
        <v>0</v>
      </c>
      <c r="BH134" s="209">
        <f t="shared" si="300"/>
        <v>0</v>
      </c>
      <c r="BI134" s="209">
        <f t="shared" si="300"/>
        <v>0</v>
      </c>
      <c r="BJ134" s="209">
        <f t="shared" si="301"/>
        <v>0</v>
      </c>
      <c r="BK134" s="209">
        <f t="shared" si="301"/>
        <v>0</v>
      </c>
      <c r="BL134" s="209">
        <f t="shared" si="301"/>
        <v>0</v>
      </c>
      <c r="BM134" s="58">
        <f t="shared" si="302"/>
        <v>0</v>
      </c>
      <c r="BN134" s="209">
        <f t="shared" si="302"/>
        <v>0</v>
      </c>
      <c r="BO134" s="209">
        <f t="shared" si="302"/>
        <v>0</v>
      </c>
      <c r="BP134" s="209">
        <f t="shared" si="302"/>
        <v>0</v>
      </c>
      <c r="BQ134" s="209">
        <f t="shared" si="302"/>
        <v>0</v>
      </c>
      <c r="BR134" s="209">
        <f t="shared" si="302"/>
        <v>0</v>
      </c>
      <c r="BS134" s="209">
        <f t="shared" si="302"/>
        <v>0</v>
      </c>
      <c r="BT134" s="209"/>
      <c r="BU134" s="209"/>
      <c r="BV134" s="209">
        <f t="shared" si="302"/>
        <v>0</v>
      </c>
      <c r="BW134" s="65">
        <f t="shared" si="303"/>
        <v>0</v>
      </c>
      <c r="BX134" s="209">
        <f t="shared" si="303"/>
        <v>0</v>
      </c>
      <c r="BY134" s="209">
        <f t="shared" si="303"/>
        <v>0</v>
      </c>
      <c r="BZ134" s="209">
        <f t="shared" si="303"/>
        <v>0</v>
      </c>
      <c r="CA134" s="209">
        <f t="shared" si="303"/>
        <v>0</v>
      </c>
      <c r="CB134" s="209">
        <f t="shared" si="304"/>
        <v>0</v>
      </c>
      <c r="CC134" s="209">
        <f t="shared" si="304"/>
        <v>0</v>
      </c>
      <c r="CD134" s="209">
        <f t="shared" si="304"/>
        <v>0</v>
      </c>
      <c r="CE134" s="209">
        <f t="shared" si="304"/>
        <v>0</v>
      </c>
      <c r="CF134" s="209">
        <f t="shared" si="304"/>
        <v>0</v>
      </c>
      <c r="CG134" s="65">
        <f t="shared" si="331"/>
        <v>0</v>
      </c>
      <c r="CH134" s="210">
        <f t="shared" si="331"/>
        <v>0</v>
      </c>
      <c r="CI134" s="210">
        <f t="shared" si="331"/>
        <v>0</v>
      </c>
      <c r="CJ134" s="210">
        <f t="shared" si="331"/>
        <v>0</v>
      </c>
      <c r="CK134" s="210">
        <f t="shared" si="331"/>
        <v>0</v>
      </c>
      <c r="CL134" s="210">
        <f t="shared" si="305"/>
        <v>0</v>
      </c>
      <c r="CM134" s="210">
        <f t="shared" si="305"/>
        <v>0</v>
      </c>
      <c r="CN134" s="210">
        <f t="shared" si="305"/>
        <v>0</v>
      </c>
      <c r="CO134" s="210">
        <f t="shared" si="305"/>
        <v>0</v>
      </c>
      <c r="CP134" s="66">
        <f t="shared" si="305"/>
        <v>0</v>
      </c>
      <c r="CQ134" s="65">
        <f t="shared" si="335"/>
        <v>0</v>
      </c>
      <c r="CR134" s="210">
        <f t="shared" si="335"/>
        <v>0</v>
      </c>
      <c r="CS134" s="210">
        <f t="shared" si="335"/>
        <v>0</v>
      </c>
      <c r="CT134" s="210">
        <f t="shared" si="335"/>
        <v>0</v>
      </c>
      <c r="CU134" s="210">
        <f t="shared" si="335"/>
        <v>0</v>
      </c>
      <c r="CV134" s="210">
        <f t="shared" si="306"/>
        <v>0</v>
      </c>
      <c r="CW134" s="210">
        <f t="shared" si="306"/>
        <v>0</v>
      </c>
      <c r="CX134" s="65">
        <f t="shared" si="323"/>
        <v>0</v>
      </c>
      <c r="CY134" s="210">
        <f t="shared" si="323"/>
        <v>0</v>
      </c>
      <c r="CZ134" s="210">
        <f t="shared" si="323"/>
        <v>0</v>
      </c>
      <c r="DA134" s="210">
        <f t="shared" si="323"/>
        <v>0</v>
      </c>
      <c r="DB134" s="210">
        <f t="shared" si="323"/>
        <v>0</v>
      </c>
      <c r="DC134" s="210">
        <f t="shared" si="324"/>
        <v>0</v>
      </c>
      <c r="DD134" s="209">
        <f t="shared" si="324"/>
        <v>0</v>
      </c>
      <c r="DE134" s="65">
        <f t="shared" si="332"/>
        <v>0</v>
      </c>
      <c r="DF134" s="210">
        <f t="shared" si="332"/>
        <v>0</v>
      </c>
      <c r="DG134" s="210">
        <f t="shared" si="332"/>
        <v>0</v>
      </c>
      <c r="DH134" s="210">
        <f t="shared" si="332"/>
        <v>0</v>
      </c>
      <c r="DI134" s="210">
        <f t="shared" si="332"/>
        <v>0</v>
      </c>
      <c r="DJ134" s="210">
        <f t="shared" si="328"/>
        <v>0</v>
      </c>
      <c r="DK134" s="210">
        <f t="shared" si="328"/>
        <v>0</v>
      </c>
      <c r="DL134" s="65">
        <f t="shared" si="333"/>
        <v>0</v>
      </c>
      <c r="DM134" s="210">
        <f t="shared" si="333"/>
        <v>0</v>
      </c>
      <c r="DN134" s="210">
        <f t="shared" si="333"/>
        <v>0</v>
      </c>
      <c r="DO134" s="210">
        <f t="shared" si="333"/>
        <v>0</v>
      </c>
      <c r="DP134" s="210">
        <f t="shared" si="333"/>
        <v>0</v>
      </c>
      <c r="DQ134" s="210">
        <f t="shared" si="307"/>
        <v>0</v>
      </c>
      <c r="DR134" s="210">
        <f t="shared" si="307"/>
        <v>0</v>
      </c>
      <c r="DS134" s="210">
        <f t="shared" si="307"/>
        <v>0</v>
      </c>
    </row>
    <row r="135" spans="1:124" s="201" customFormat="1" ht="26.25" hidden="1" customHeight="1" outlineLevel="1" collapsed="1" x14ac:dyDescent="0.4">
      <c r="A135" s="347">
        <v>65</v>
      </c>
      <c r="B135" s="347" t="s">
        <v>45</v>
      </c>
      <c r="C135" s="347" t="s">
        <v>346</v>
      </c>
      <c r="D135" s="349"/>
      <c r="E135" s="349"/>
      <c r="F135" s="349"/>
      <c r="G135" s="371"/>
      <c r="H135" s="449">
        <f>SUM(CQ135:CW135)</f>
        <v>0</v>
      </c>
      <c r="I135" s="449">
        <f>SUM(CQ136:CW136)</f>
        <v>0</v>
      </c>
      <c r="J135" s="447"/>
      <c r="K135" s="445"/>
      <c r="L135" s="445"/>
      <c r="M135" s="428"/>
      <c r="N135" s="21" t="s">
        <v>24</v>
      </c>
      <c r="O135" s="190">
        <f t="shared" si="294"/>
        <v>0</v>
      </c>
      <c r="P135" s="190">
        <f t="shared" si="294"/>
        <v>0</v>
      </c>
      <c r="Q135" s="190">
        <f t="shared" si="294"/>
        <v>0</v>
      </c>
      <c r="R135" s="190">
        <f t="shared" ref="O135:X150" si="336">0/127.5</f>
        <v>0</v>
      </c>
      <c r="S135" s="190">
        <f t="shared" si="336"/>
        <v>0</v>
      </c>
      <c r="T135" s="190">
        <f t="shared" si="336"/>
        <v>0</v>
      </c>
      <c r="U135" s="190">
        <f t="shared" si="336"/>
        <v>0</v>
      </c>
      <c r="V135" s="190">
        <f t="shared" si="336"/>
        <v>0</v>
      </c>
      <c r="W135" s="190">
        <f t="shared" si="336"/>
        <v>0</v>
      </c>
      <c r="X135" s="86">
        <f t="shared" si="336"/>
        <v>0</v>
      </c>
      <c r="Y135" s="190">
        <f t="shared" si="296"/>
        <v>0</v>
      </c>
      <c r="Z135" s="190">
        <f t="shared" si="296"/>
        <v>0</v>
      </c>
      <c r="AA135" s="190">
        <f t="shared" si="296"/>
        <v>0</v>
      </c>
      <c r="AB135" s="190">
        <f t="shared" si="296"/>
        <v>0</v>
      </c>
      <c r="AC135" s="190">
        <f t="shared" si="296"/>
        <v>0</v>
      </c>
      <c r="AD135" s="190">
        <f t="shared" si="296"/>
        <v>0</v>
      </c>
      <c r="AE135" s="190">
        <f t="shared" si="334"/>
        <v>0</v>
      </c>
      <c r="AF135" s="190"/>
      <c r="AG135" s="190">
        <f t="shared" si="334"/>
        <v>0</v>
      </c>
      <c r="AH135" s="190">
        <f t="shared" si="334"/>
        <v>0</v>
      </c>
      <c r="AI135" s="77">
        <f t="shared" si="334"/>
        <v>0</v>
      </c>
      <c r="AJ135" s="190">
        <f t="shared" si="334"/>
        <v>0</v>
      </c>
      <c r="AK135" s="190">
        <f t="shared" si="334"/>
        <v>0</v>
      </c>
      <c r="AL135" s="190">
        <f t="shared" si="334"/>
        <v>0</v>
      </c>
      <c r="AM135" s="190">
        <f t="shared" si="334"/>
        <v>0</v>
      </c>
      <c r="AN135" s="190">
        <f t="shared" si="334"/>
        <v>0</v>
      </c>
      <c r="AO135" s="190">
        <f t="shared" si="334"/>
        <v>0</v>
      </c>
      <c r="AP135" s="190">
        <f t="shared" si="334"/>
        <v>0</v>
      </c>
      <c r="AQ135" s="190">
        <f t="shared" si="334"/>
        <v>0</v>
      </c>
      <c r="AR135" s="225">
        <f t="shared" si="334"/>
        <v>0</v>
      </c>
      <c r="AS135" s="23">
        <f t="shared" si="330"/>
        <v>0</v>
      </c>
      <c r="AT135" s="190">
        <f t="shared" si="330"/>
        <v>0</v>
      </c>
      <c r="AU135" s="190">
        <f t="shared" si="330"/>
        <v>0</v>
      </c>
      <c r="AV135" s="190">
        <f t="shared" si="330"/>
        <v>0</v>
      </c>
      <c r="AW135" s="190">
        <f t="shared" si="330"/>
        <v>0</v>
      </c>
      <c r="AX135" s="190">
        <f t="shared" si="299"/>
        <v>0</v>
      </c>
      <c r="AY135" s="190">
        <f t="shared" si="299"/>
        <v>0</v>
      </c>
      <c r="AZ135" s="190">
        <f t="shared" si="299"/>
        <v>0</v>
      </c>
      <c r="BA135" s="190">
        <f t="shared" si="299"/>
        <v>0</v>
      </c>
      <c r="BB135" s="225">
        <f t="shared" si="299"/>
        <v>0</v>
      </c>
      <c r="BC135" s="77">
        <f t="shared" si="300"/>
        <v>0</v>
      </c>
      <c r="BD135" s="190">
        <f t="shared" si="300"/>
        <v>0</v>
      </c>
      <c r="BE135" s="190">
        <f t="shared" si="300"/>
        <v>0</v>
      </c>
      <c r="BF135" s="190">
        <f t="shared" si="300"/>
        <v>0</v>
      </c>
      <c r="BG135" s="190">
        <f t="shared" si="300"/>
        <v>0</v>
      </c>
      <c r="BH135" s="190">
        <f t="shared" si="300"/>
        <v>0</v>
      </c>
      <c r="BI135" s="190">
        <f t="shared" si="300"/>
        <v>0</v>
      </c>
      <c r="BJ135" s="190">
        <f t="shared" si="301"/>
        <v>0</v>
      </c>
      <c r="BK135" s="190">
        <f t="shared" si="301"/>
        <v>0</v>
      </c>
      <c r="BL135" s="190">
        <f t="shared" si="301"/>
        <v>0</v>
      </c>
      <c r="BM135" s="77">
        <f t="shared" si="302"/>
        <v>0</v>
      </c>
      <c r="BN135" s="190">
        <f t="shared" si="302"/>
        <v>0</v>
      </c>
      <c r="BO135" s="190">
        <f t="shared" si="302"/>
        <v>0</v>
      </c>
      <c r="BP135" s="190">
        <f t="shared" si="302"/>
        <v>0</v>
      </c>
      <c r="BQ135" s="190">
        <f t="shared" si="302"/>
        <v>0</v>
      </c>
      <c r="BR135" s="190">
        <f t="shared" si="302"/>
        <v>0</v>
      </c>
      <c r="BS135" s="190">
        <f t="shared" si="302"/>
        <v>0</v>
      </c>
      <c r="BT135" s="190"/>
      <c r="BU135" s="190"/>
      <c r="BV135" s="190">
        <f t="shared" si="302"/>
        <v>0</v>
      </c>
      <c r="BW135" s="23">
        <f t="shared" si="303"/>
        <v>0</v>
      </c>
      <c r="BX135" s="190">
        <f t="shared" si="303"/>
        <v>0</v>
      </c>
      <c r="BY135" s="190">
        <f t="shared" si="303"/>
        <v>0</v>
      </c>
      <c r="BZ135" s="190">
        <f t="shared" si="303"/>
        <v>0</v>
      </c>
      <c r="CA135" s="190">
        <f t="shared" si="303"/>
        <v>0</v>
      </c>
      <c r="CB135" s="190">
        <f t="shared" si="304"/>
        <v>0</v>
      </c>
      <c r="CC135" s="190">
        <f t="shared" si="304"/>
        <v>0</v>
      </c>
      <c r="CD135" s="190">
        <f t="shared" si="304"/>
        <v>0</v>
      </c>
      <c r="CE135" s="190">
        <f t="shared" si="304"/>
        <v>0</v>
      </c>
      <c r="CF135" s="190">
        <f t="shared" si="304"/>
        <v>0</v>
      </c>
      <c r="CG135" s="23">
        <f t="shared" si="331"/>
        <v>0</v>
      </c>
      <c r="CH135" s="190">
        <f t="shared" si="331"/>
        <v>0</v>
      </c>
      <c r="CI135" s="190">
        <f t="shared" si="331"/>
        <v>0</v>
      </c>
      <c r="CJ135" s="190">
        <f t="shared" si="331"/>
        <v>0</v>
      </c>
      <c r="CK135" s="190">
        <f t="shared" si="331"/>
        <v>0</v>
      </c>
      <c r="CL135" s="190">
        <f t="shared" si="305"/>
        <v>0</v>
      </c>
      <c r="CM135" s="190">
        <f t="shared" si="305"/>
        <v>0</v>
      </c>
      <c r="CN135" s="190">
        <f t="shared" si="305"/>
        <v>0</v>
      </c>
      <c r="CO135" s="190">
        <f t="shared" si="305"/>
        <v>0</v>
      </c>
      <c r="CP135" s="21">
        <f t="shared" si="305"/>
        <v>0</v>
      </c>
      <c r="CQ135" s="23">
        <f t="shared" si="335"/>
        <v>0</v>
      </c>
      <c r="CR135" s="190">
        <f t="shared" si="335"/>
        <v>0</v>
      </c>
      <c r="CS135" s="190">
        <f t="shared" si="335"/>
        <v>0</v>
      </c>
      <c r="CT135" s="190">
        <f t="shared" si="335"/>
        <v>0</v>
      </c>
      <c r="CU135" s="190">
        <f t="shared" si="335"/>
        <v>0</v>
      </c>
      <c r="CV135" s="190">
        <f t="shared" si="306"/>
        <v>0</v>
      </c>
      <c r="CW135" s="190">
        <f t="shared" si="306"/>
        <v>0</v>
      </c>
      <c r="CX135" s="77">
        <f t="shared" si="323"/>
        <v>0</v>
      </c>
      <c r="CY135" s="190">
        <f t="shared" si="323"/>
        <v>0</v>
      </c>
      <c r="CZ135" s="190">
        <f t="shared" si="323"/>
        <v>0</v>
      </c>
      <c r="DA135" s="190">
        <f t="shared" si="323"/>
        <v>0</v>
      </c>
      <c r="DB135" s="190">
        <f t="shared" si="323"/>
        <v>0</v>
      </c>
      <c r="DC135" s="190">
        <f t="shared" si="324"/>
        <v>0</v>
      </c>
      <c r="DD135" s="190">
        <f t="shared" si="324"/>
        <v>0</v>
      </c>
      <c r="DE135" s="23">
        <f t="shared" si="332"/>
        <v>0</v>
      </c>
      <c r="DF135" s="190">
        <f t="shared" si="332"/>
        <v>0</v>
      </c>
      <c r="DG135" s="190">
        <f t="shared" si="332"/>
        <v>0</v>
      </c>
      <c r="DH135" s="190">
        <f t="shared" si="332"/>
        <v>0</v>
      </c>
      <c r="DI135" s="190">
        <f t="shared" si="332"/>
        <v>0</v>
      </c>
      <c r="DJ135" s="190">
        <f t="shared" si="328"/>
        <v>0</v>
      </c>
      <c r="DK135" s="190">
        <f t="shared" si="328"/>
        <v>0</v>
      </c>
      <c r="DL135" s="23">
        <f t="shared" si="333"/>
        <v>0</v>
      </c>
      <c r="DM135" s="190">
        <f t="shared" si="333"/>
        <v>0</v>
      </c>
      <c r="DN135" s="190">
        <f t="shared" si="333"/>
        <v>0</v>
      </c>
      <c r="DO135" s="190">
        <f t="shared" si="333"/>
        <v>0</v>
      </c>
      <c r="DP135" s="190">
        <f t="shared" si="333"/>
        <v>0</v>
      </c>
      <c r="DQ135" s="190">
        <f t="shared" si="307"/>
        <v>0</v>
      </c>
      <c r="DR135" s="190">
        <f t="shared" si="307"/>
        <v>0</v>
      </c>
      <c r="DS135" s="190">
        <f t="shared" si="307"/>
        <v>0</v>
      </c>
      <c r="DT135" s="54"/>
    </row>
    <row r="136" spans="1:124" s="201" customFormat="1" ht="26.25" hidden="1" customHeight="1" outlineLevel="1" x14ac:dyDescent="0.4">
      <c r="A136" s="348"/>
      <c r="B136" s="348"/>
      <c r="C136" s="348"/>
      <c r="D136" s="350"/>
      <c r="E136" s="350"/>
      <c r="F136" s="350"/>
      <c r="G136" s="371"/>
      <c r="H136" s="450"/>
      <c r="I136" s="450"/>
      <c r="J136" s="448"/>
      <c r="K136" s="446"/>
      <c r="L136" s="446"/>
      <c r="M136" s="429"/>
      <c r="N136" s="209" t="s">
        <v>25</v>
      </c>
      <c r="O136" s="209">
        <f t="shared" si="336"/>
        <v>0</v>
      </c>
      <c r="P136" s="209">
        <f t="shared" si="336"/>
        <v>0</v>
      </c>
      <c r="Q136" s="209">
        <f t="shared" si="336"/>
        <v>0</v>
      </c>
      <c r="R136" s="209">
        <f t="shared" si="336"/>
        <v>0</v>
      </c>
      <c r="S136" s="209">
        <f t="shared" si="336"/>
        <v>0</v>
      </c>
      <c r="T136" s="209">
        <f t="shared" si="336"/>
        <v>0</v>
      </c>
      <c r="U136" s="209">
        <f t="shared" si="336"/>
        <v>0</v>
      </c>
      <c r="V136" s="209">
        <f t="shared" si="336"/>
        <v>0</v>
      </c>
      <c r="W136" s="209">
        <f t="shared" si="336"/>
        <v>0</v>
      </c>
      <c r="X136" s="53">
        <f t="shared" si="336"/>
        <v>0</v>
      </c>
      <c r="Y136" s="209">
        <f t="shared" si="296"/>
        <v>0</v>
      </c>
      <c r="Z136" s="209">
        <f t="shared" si="296"/>
        <v>0</v>
      </c>
      <c r="AA136" s="209">
        <f t="shared" si="296"/>
        <v>0</v>
      </c>
      <c r="AB136" s="209">
        <f t="shared" si="296"/>
        <v>0</v>
      </c>
      <c r="AC136" s="209">
        <f t="shared" si="296"/>
        <v>0</v>
      </c>
      <c r="AD136" s="209">
        <f t="shared" si="296"/>
        <v>0</v>
      </c>
      <c r="AE136" s="209">
        <f t="shared" si="334"/>
        <v>0</v>
      </c>
      <c r="AF136" s="209"/>
      <c r="AG136" s="209">
        <f t="shared" si="334"/>
        <v>0</v>
      </c>
      <c r="AH136" s="209">
        <f t="shared" si="334"/>
        <v>0</v>
      </c>
      <c r="AI136" s="58">
        <f t="shared" si="334"/>
        <v>0</v>
      </c>
      <c r="AJ136" s="209">
        <f t="shared" si="334"/>
        <v>0</v>
      </c>
      <c r="AK136" s="209">
        <f t="shared" si="334"/>
        <v>0</v>
      </c>
      <c r="AL136" s="209">
        <f t="shared" si="334"/>
        <v>0</v>
      </c>
      <c r="AM136" s="209">
        <f t="shared" si="334"/>
        <v>0</v>
      </c>
      <c r="AN136" s="209">
        <f t="shared" si="334"/>
        <v>0</v>
      </c>
      <c r="AO136" s="209">
        <f t="shared" si="334"/>
        <v>0</v>
      </c>
      <c r="AP136" s="209">
        <f t="shared" si="334"/>
        <v>0</v>
      </c>
      <c r="AQ136" s="209">
        <f t="shared" si="334"/>
        <v>0</v>
      </c>
      <c r="AR136" s="53">
        <f t="shared" si="334"/>
        <v>0</v>
      </c>
      <c r="AS136" s="65">
        <f t="shared" si="330"/>
        <v>0</v>
      </c>
      <c r="AT136" s="210">
        <f t="shared" si="330"/>
        <v>0</v>
      </c>
      <c r="AU136" s="210">
        <f t="shared" si="330"/>
        <v>0</v>
      </c>
      <c r="AV136" s="210">
        <f t="shared" si="330"/>
        <v>0</v>
      </c>
      <c r="AW136" s="280">
        <f t="shared" si="330"/>
        <v>0</v>
      </c>
      <c r="AX136" s="210">
        <f t="shared" si="299"/>
        <v>0</v>
      </c>
      <c r="AY136" s="210">
        <f t="shared" si="299"/>
        <v>0</v>
      </c>
      <c r="AZ136" s="210">
        <f t="shared" si="299"/>
        <v>0</v>
      </c>
      <c r="BA136" s="210">
        <f t="shared" si="299"/>
        <v>0</v>
      </c>
      <c r="BB136" s="53">
        <f t="shared" si="299"/>
        <v>0</v>
      </c>
      <c r="BC136" s="58">
        <f t="shared" si="300"/>
        <v>0</v>
      </c>
      <c r="BD136" s="209">
        <f t="shared" si="300"/>
        <v>0</v>
      </c>
      <c r="BE136" s="209">
        <f t="shared" si="300"/>
        <v>0</v>
      </c>
      <c r="BF136" s="209">
        <f t="shared" si="300"/>
        <v>0</v>
      </c>
      <c r="BG136" s="209">
        <f t="shared" si="300"/>
        <v>0</v>
      </c>
      <c r="BH136" s="209">
        <f t="shared" si="300"/>
        <v>0</v>
      </c>
      <c r="BI136" s="209">
        <f t="shared" si="300"/>
        <v>0</v>
      </c>
      <c r="BJ136" s="209">
        <f t="shared" si="301"/>
        <v>0</v>
      </c>
      <c r="BK136" s="209">
        <f t="shared" si="301"/>
        <v>0</v>
      </c>
      <c r="BL136" s="209">
        <f t="shared" si="301"/>
        <v>0</v>
      </c>
      <c r="BM136" s="58">
        <f t="shared" si="302"/>
        <v>0</v>
      </c>
      <c r="BN136" s="209">
        <f t="shared" si="302"/>
        <v>0</v>
      </c>
      <c r="BO136" s="209">
        <f t="shared" si="302"/>
        <v>0</v>
      </c>
      <c r="BP136" s="209">
        <f t="shared" si="302"/>
        <v>0</v>
      </c>
      <c r="BQ136" s="209">
        <f t="shared" si="302"/>
        <v>0</v>
      </c>
      <c r="BR136" s="209">
        <f t="shared" si="302"/>
        <v>0</v>
      </c>
      <c r="BS136" s="209">
        <f t="shared" si="302"/>
        <v>0</v>
      </c>
      <c r="BT136" s="209"/>
      <c r="BU136" s="209"/>
      <c r="BV136" s="209">
        <f t="shared" si="302"/>
        <v>0</v>
      </c>
      <c r="BW136" s="65">
        <f t="shared" si="303"/>
        <v>0</v>
      </c>
      <c r="BX136" s="209">
        <f t="shared" si="303"/>
        <v>0</v>
      </c>
      <c r="BY136" s="209">
        <f t="shared" si="303"/>
        <v>0</v>
      </c>
      <c r="BZ136" s="209">
        <f t="shared" si="303"/>
        <v>0</v>
      </c>
      <c r="CA136" s="209">
        <f t="shared" si="303"/>
        <v>0</v>
      </c>
      <c r="CB136" s="209">
        <f t="shared" si="304"/>
        <v>0</v>
      </c>
      <c r="CC136" s="209">
        <f t="shared" si="304"/>
        <v>0</v>
      </c>
      <c r="CD136" s="209">
        <f t="shared" si="304"/>
        <v>0</v>
      </c>
      <c r="CE136" s="209">
        <f t="shared" si="304"/>
        <v>0</v>
      </c>
      <c r="CF136" s="209">
        <f t="shared" si="304"/>
        <v>0</v>
      </c>
      <c r="CG136" s="65">
        <f t="shared" si="331"/>
        <v>0</v>
      </c>
      <c r="CH136" s="210">
        <f t="shared" si="331"/>
        <v>0</v>
      </c>
      <c r="CI136" s="210">
        <f t="shared" si="331"/>
        <v>0</v>
      </c>
      <c r="CJ136" s="210">
        <f t="shared" si="331"/>
        <v>0</v>
      </c>
      <c r="CK136" s="210">
        <f t="shared" si="331"/>
        <v>0</v>
      </c>
      <c r="CL136" s="210">
        <f t="shared" si="305"/>
        <v>0</v>
      </c>
      <c r="CM136" s="210">
        <f t="shared" si="305"/>
        <v>0</v>
      </c>
      <c r="CN136" s="210">
        <f t="shared" si="305"/>
        <v>0</v>
      </c>
      <c r="CO136" s="210">
        <f t="shared" si="305"/>
        <v>0</v>
      </c>
      <c r="CP136" s="66">
        <f t="shared" si="305"/>
        <v>0</v>
      </c>
      <c r="CQ136" s="65">
        <f t="shared" si="335"/>
        <v>0</v>
      </c>
      <c r="CR136" s="210">
        <f t="shared" si="335"/>
        <v>0</v>
      </c>
      <c r="CS136" s="210">
        <f t="shared" si="335"/>
        <v>0</v>
      </c>
      <c r="CT136" s="210">
        <f t="shared" si="335"/>
        <v>0</v>
      </c>
      <c r="CU136" s="210">
        <f t="shared" si="335"/>
        <v>0</v>
      </c>
      <c r="CV136" s="210">
        <f t="shared" si="306"/>
        <v>0</v>
      </c>
      <c r="CW136" s="210">
        <f t="shared" si="306"/>
        <v>0</v>
      </c>
      <c r="CX136" s="65">
        <f t="shared" si="323"/>
        <v>0</v>
      </c>
      <c r="CY136" s="210">
        <f t="shared" si="323"/>
        <v>0</v>
      </c>
      <c r="CZ136" s="210">
        <f t="shared" si="323"/>
        <v>0</v>
      </c>
      <c r="DA136" s="210">
        <f t="shared" si="323"/>
        <v>0</v>
      </c>
      <c r="DB136" s="210">
        <f t="shared" si="323"/>
        <v>0</v>
      </c>
      <c r="DC136" s="210">
        <f t="shared" si="324"/>
        <v>0</v>
      </c>
      <c r="DD136" s="209">
        <f t="shared" si="324"/>
        <v>0</v>
      </c>
      <c r="DE136" s="65">
        <f t="shared" si="332"/>
        <v>0</v>
      </c>
      <c r="DF136" s="210">
        <f t="shared" si="332"/>
        <v>0</v>
      </c>
      <c r="DG136" s="210">
        <f t="shared" si="332"/>
        <v>0</v>
      </c>
      <c r="DH136" s="210">
        <f t="shared" si="332"/>
        <v>0</v>
      </c>
      <c r="DI136" s="210">
        <f t="shared" si="332"/>
        <v>0</v>
      </c>
      <c r="DJ136" s="210">
        <f t="shared" si="328"/>
        <v>0</v>
      </c>
      <c r="DK136" s="210">
        <f t="shared" si="328"/>
        <v>0</v>
      </c>
      <c r="DL136" s="65">
        <f t="shared" si="333"/>
        <v>0</v>
      </c>
      <c r="DM136" s="210">
        <f t="shared" si="333"/>
        <v>0</v>
      </c>
      <c r="DN136" s="210">
        <f t="shared" si="333"/>
        <v>0</v>
      </c>
      <c r="DO136" s="210">
        <f t="shared" si="333"/>
        <v>0</v>
      </c>
      <c r="DP136" s="210">
        <f t="shared" si="333"/>
        <v>0</v>
      </c>
      <c r="DQ136" s="210">
        <f t="shared" si="307"/>
        <v>0</v>
      </c>
      <c r="DR136" s="210">
        <f t="shared" si="307"/>
        <v>0</v>
      </c>
      <c r="DS136" s="210">
        <f t="shared" si="307"/>
        <v>0</v>
      </c>
    </row>
    <row r="137" spans="1:124" s="201" customFormat="1" ht="26.25" hidden="1" customHeight="1" outlineLevel="1" x14ac:dyDescent="0.4">
      <c r="A137" s="347">
        <v>66</v>
      </c>
      <c r="B137" s="347" t="s">
        <v>45</v>
      </c>
      <c r="C137" s="347" t="s">
        <v>346</v>
      </c>
      <c r="D137" s="349"/>
      <c r="E137" s="349"/>
      <c r="F137" s="349"/>
      <c r="G137" s="371"/>
      <c r="H137" s="449">
        <f>SUM(CQ137:CW137)</f>
        <v>0</v>
      </c>
      <c r="I137" s="449">
        <f>SUM(CQ138:CW138)</f>
        <v>0</v>
      </c>
      <c r="J137" s="447"/>
      <c r="K137" s="445"/>
      <c r="L137" s="445"/>
      <c r="M137" s="428"/>
      <c r="N137" s="21" t="s">
        <v>24</v>
      </c>
      <c r="O137" s="190">
        <f t="shared" si="336"/>
        <v>0</v>
      </c>
      <c r="P137" s="190">
        <f t="shared" si="336"/>
        <v>0</v>
      </c>
      <c r="Q137" s="190">
        <f t="shared" si="336"/>
        <v>0</v>
      </c>
      <c r="R137" s="190">
        <f t="shared" si="336"/>
        <v>0</v>
      </c>
      <c r="S137" s="190">
        <f t="shared" si="336"/>
        <v>0</v>
      </c>
      <c r="T137" s="190">
        <f t="shared" si="336"/>
        <v>0</v>
      </c>
      <c r="U137" s="190">
        <f t="shared" si="336"/>
        <v>0</v>
      </c>
      <c r="V137" s="190">
        <f t="shared" si="336"/>
        <v>0</v>
      </c>
      <c r="W137" s="190">
        <f t="shared" si="336"/>
        <v>0</v>
      </c>
      <c r="X137" s="86">
        <f t="shared" si="336"/>
        <v>0</v>
      </c>
      <c r="Y137" s="190">
        <f t="shared" si="296"/>
        <v>0</v>
      </c>
      <c r="Z137" s="190">
        <f t="shared" si="296"/>
        <v>0</v>
      </c>
      <c r="AA137" s="190">
        <f t="shared" si="296"/>
        <v>0</v>
      </c>
      <c r="AB137" s="190">
        <f t="shared" si="296"/>
        <v>0</v>
      </c>
      <c r="AC137" s="190">
        <f t="shared" si="296"/>
        <v>0</v>
      </c>
      <c r="AD137" s="190">
        <f t="shared" si="296"/>
        <v>0</v>
      </c>
      <c r="AE137" s="190">
        <f t="shared" si="334"/>
        <v>0</v>
      </c>
      <c r="AF137" s="190"/>
      <c r="AG137" s="190">
        <f t="shared" si="334"/>
        <v>0</v>
      </c>
      <c r="AH137" s="190">
        <f t="shared" si="334"/>
        <v>0</v>
      </c>
      <c r="AI137" s="77">
        <f t="shared" si="334"/>
        <v>0</v>
      </c>
      <c r="AJ137" s="190">
        <f t="shared" si="334"/>
        <v>0</v>
      </c>
      <c r="AK137" s="190">
        <f t="shared" si="334"/>
        <v>0</v>
      </c>
      <c r="AL137" s="190">
        <f t="shared" si="334"/>
        <v>0</v>
      </c>
      <c r="AM137" s="190">
        <f t="shared" si="334"/>
        <v>0</v>
      </c>
      <c r="AN137" s="190">
        <f t="shared" si="334"/>
        <v>0</v>
      </c>
      <c r="AO137" s="190">
        <f t="shared" si="334"/>
        <v>0</v>
      </c>
      <c r="AP137" s="190">
        <f t="shared" si="334"/>
        <v>0</v>
      </c>
      <c r="AQ137" s="190">
        <f t="shared" si="334"/>
        <v>0</v>
      </c>
      <c r="AR137" s="225">
        <f t="shared" si="334"/>
        <v>0</v>
      </c>
      <c r="AS137" s="23">
        <f t="shared" si="330"/>
        <v>0</v>
      </c>
      <c r="AT137" s="190">
        <f t="shared" si="330"/>
        <v>0</v>
      </c>
      <c r="AU137" s="190">
        <f t="shared" si="330"/>
        <v>0</v>
      </c>
      <c r="AV137" s="190">
        <f t="shared" si="330"/>
        <v>0</v>
      </c>
      <c r="AW137" s="190">
        <f t="shared" si="330"/>
        <v>0</v>
      </c>
      <c r="AX137" s="190">
        <f t="shared" si="299"/>
        <v>0</v>
      </c>
      <c r="AY137" s="190">
        <f t="shared" si="299"/>
        <v>0</v>
      </c>
      <c r="AZ137" s="190">
        <f t="shared" si="299"/>
        <v>0</v>
      </c>
      <c r="BA137" s="190">
        <f t="shared" si="299"/>
        <v>0</v>
      </c>
      <c r="BB137" s="225">
        <f t="shared" si="299"/>
        <v>0</v>
      </c>
      <c r="BC137" s="77">
        <f t="shared" si="300"/>
        <v>0</v>
      </c>
      <c r="BD137" s="190">
        <f t="shared" si="300"/>
        <v>0</v>
      </c>
      <c r="BE137" s="190">
        <f t="shared" si="300"/>
        <v>0</v>
      </c>
      <c r="BF137" s="190">
        <f t="shared" si="300"/>
        <v>0</v>
      </c>
      <c r="BG137" s="190">
        <f t="shared" si="300"/>
        <v>0</v>
      </c>
      <c r="BH137" s="190">
        <f t="shared" si="300"/>
        <v>0</v>
      </c>
      <c r="BI137" s="190">
        <f t="shared" si="300"/>
        <v>0</v>
      </c>
      <c r="BJ137" s="190">
        <f t="shared" si="301"/>
        <v>0</v>
      </c>
      <c r="BK137" s="190">
        <f t="shared" si="301"/>
        <v>0</v>
      </c>
      <c r="BL137" s="190">
        <f t="shared" si="301"/>
        <v>0</v>
      </c>
      <c r="BM137" s="77">
        <f t="shared" si="302"/>
        <v>0</v>
      </c>
      <c r="BN137" s="190">
        <f t="shared" si="302"/>
        <v>0</v>
      </c>
      <c r="BO137" s="190">
        <f t="shared" si="302"/>
        <v>0</v>
      </c>
      <c r="BP137" s="190">
        <f t="shared" si="302"/>
        <v>0</v>
      </c>
      <c r="BQ137" s="190">
        <f t="shared" si="302"/>
        <v>0</v>
      </c>
      <c r="BR137" s="190">
        <f t="shared" si="302"/>
        <v>0</v>
      </c>
      <c r="BS137" s="190">
        <f t="shared" si="302"/>
        <v>0</v>
      </c>
      <c r="BT137" s="190"/>
      <c r="BU137" s="190"/>
      <c r="BV137" s="190">
        <f t="shared" si="302"/>
        <v>0</v>
      </c>
      <c r="BW137" s="23">
        <f t="shared" si="303"/>
        <v>0</v>
      </c>
      <c r="BX137" s="190">
        <f t="shared" si="303"/>
        <v>0</v>
      </c>
      <c r="BY137" s="190">
        <f t="shared" si="303"/>
        <v>0</v>
      </c>
      <c r="BZ137" s="190">
        <f t="shared" si="303"/>
        <v>0</v>
      </c>
      <c r="CA137" s="190">
        <f t="shared" si="303"/>
        <v>0</v>
      </c>
      <c r="CB137" s="190">
        <f t="shared" si="304"/>
        <v>0</v>
      </c>
      <c r="CC137" s="190">
        <f t="shared" si="304"/>
        <v>0</v>
      </c>
      <c r="CD137" s="190">
        <f t="shared" si="304"/>
        <v>0</v>
      </c>
      <c r="CE137" s="190">
        <f t="shared" si="304"/>
        <v>0</v>
      </c>
      <c r="CF137" s="190">
        <f t="shared" si="304"/>
        <v>0</v>
      </c>
      <c r="CG137" s="23">
        <f t="shared" si="331"/>
        <v>0</v>
      </c>
      <c r="CH137" s="190">
        <f t="shared" si="331"/>
        <v>0</v>
      </c>
      <c r="CI137" s="190">
        <f t="shared" si="331"/>
        <v>0</v>
      </c>
      <c r="CJ137" s="190">
        <f t="shared" si="331"/>
        <v>0</v>
      </c>
      <c r="CK137" s="190">
        <f t="shared" si="331"/>
        <v>0</v>
      </c>
      <c r="CL137" s="190">
        <f t="shared" si="305"/>
        <v>0</v>
      </c>
      <c r="CM137" s="190">
        <f t="shared" si="305"/>
        <v>0</v>
      </c>
      <c r="CN137" s="190">
        <f t="shared" si="305"/>
        <v>0</v>
      </c>
      <c r="CO137" s="190">
        <f t="shared" si="305"/>
        <v>0</v>
      </c>
      <c r="CP137" s="21">
        <f t="shared" si="305"/>
        <v>0</v>
      </c>
      <c r="CQ137" s="23">
        <f t="shared" si="335"/>
        <v>0</v>
      </c>
      <c r="CR137" s="190">
        <f t="shared" si="335"/>
        <v>0</v>
      </c>
      <c r="CS137" s="190">
        <f t="shared" si="335"/>
        <v>0</v>
      </c>
      <c r="CT137" s="190">
        <f t="shared" si="335"/>
        <v>0</v>
      </c>
      <c r="CU137" s="190">
        <f t="shared" si="335"/>
        <v>0</v>
      </c>
      <c r="CV137" s="190">
        <f t="shared" si="306"/>
        <v>0</v>
      </c>
      <c r="CW137" s="190">
        <f t="shared" si="306"/>
        <v>0</v>
      </c>
      <c r="CX137" s="77">
        <f t="shared" si="323"/>
        <v>0</v>
      </c>
      <c r="CY137" s="190">
        <f t="shared" si="323"/>
        <v>0</v>
      </c>
      <c r="CZ137" s="190">
        <f t="shared" si="323"/>
        <v>0</v>
      </c>
      <c r="DA137" s="190">
        <f t="shared" si="323"/>
        <v>0</v>
      </c>
      <c r="DB137" s="190">
        <f t="shared" si="323"/>
        <v>0</v>
      </c>
      <c r="DC137" s="190">
        <f t="shared" si="324"/>
        <v>0</v>
      </c>
      <c r="DD137" s="190">
        <f t="shared" si="324"/>
        <v>0</v>
      </c>
      <c r="DE137" s="23">
        <f t="shared" si="332"/>
        <v>0</v>
      </c>
      <c r="DF137" s="190">
        <f t="shared" si="332"/>
        <v>0</v>
      </c>
      <c r="DG137" s="190">
        <f t="shared" si="332"/>
        <v>0</v>
      </c>
      <c r="DH137" s="190">
        <f t="shared" si="332"/>
        <v>0</v>
      </c>
      <c r="DI137" s="190">
        <f t="shared" si="332"/>
        <v>0</v>
      </c>
      <c r="DJ137" s="190">
        <f t="shared" si="328"/>
        <v>0</v>
      </c>
      <c r="DK137" s="190">
        <f t="shared" si="328"/>
        <v>0</v>
      </c>
      <c r="DL137" s="23">
        <f t="shared" si="333"/>
        <v>0</v>
      </c>
      <c r="DM137" s="190">
        <f t="shared" si="333"/>
        <v>0</v>
      </c>
      <c r="DN137" s="190">
        <f t="shared" si="333"/>
        <v>0</v>
      </c>
      <c r="DO137" s="190">
        <f t="shared" si="333"/>
        <v>0</v>
      </c>
      <c r="DP137" s="190">
        <f t="shared" si="333"/>
        <v>0</v>
      </c>
      <c r="DQ137" s="190">
        <f t="shared" si="307"/>
        <v>0</v>
      </c>
      <c r="DR137" s="190">
        <f t="shared" si="307"/>
        <v>0</v>
      </c>
      <c r="DS137" s="190">
        <f t="shared" si="307"/>
        <v>0</v>
      </c>
      <c r="DT137" s="54"/>
    </row>
    <row r="138" spans="1:124" s="201" customFormat="1" ht="26.25" hidden="1" customHeight="1" outlineLevel="1" x14ac:dyDescent="0.4">
      <c r="A138" s="348"/>
      <c r="B138" s="348"/>
      <c r="C138" s="348"/>
      <c r="D138" s="350"/>
      <c r="E138" s="350"/>
      <c r="F138" s="350"/>
      <c r="G138" s="371"/>
      <c r="H138" s="450"/>
      <c r="I138" s="450"/>
      <c r="J138" s="448"/>
      <c r="K138" s="446"/>
      <c r="L138" s="446"/>
      <c r="M138" s="429"/>
      <c r="N138" s="209" t="s">
        <v>25</v>
      </c>
      <c r="O138" s="209">
        <f t="shared" si="336"/>
        <v>0</v>
      </c>
      <c r="P138" s="209">
        <f t="shared" si="336"/>
        <v>0</v>
      </c>
      <c r="Q138" s="209">
        <f t="shared" si="336"/>
        <v>0</v>
      </c>
      <c r="R138" s="209">
        <f t="shared" si="336"/>
        <v>0</v>
      </c>
      <c r="S138" s="209">
        <f t="shared" si="336"/>
        <v>0</v>
      </c>
      <c r="T138" s="209">
        <f t="shared" si="336"/>
        <v>0</v>
      </c>
      <c r="U138" s="209">
        <f t="shared" si="336"/>
        <v>0</v>
      </c>
      <c r="V138" s="209">
        <f t="shared" si="336"/>
        <v>0</v>
      </c>
      <c r="W138" s="209">
        <f t="shared" si="336"/>
        <v>0</v>
      </c>
      <c r="X138" s="53">
        <f t="shared" si="336"/>
        <v>0</v>
      </c>
      <c r="Y138" s="209">
        <f t="shared" si="296"/>
        <v>0</v>
      </c>
      <c r="Z138" s="209">
        <f t="shared" si="296"/>
        <v>0</v>
      </c>
      <c r="AA138" s="209">
        <f t="shared" si="296"/>
        <v>0</v>
      </c>
      <c r="AB138" s="209">
        <f t="shared" si="296"/>
        <v>0</v>
      </c>
      <c r="AC138" s="209">
        <f t="shared" si="296"/>
        <v>0</v>
      </c>
      <c r="AD138" s="209">
        <f t="shared" si="296"/>
        <v>0</v>
      </c>
      <c r="AE138" s="209">
        <f t="shared" si="334"/>
        <v>0</v>
      </c>
      <c r="AF138" s="209"/>
      <c r="AG138" s="209">
        <f t="shared" si="334"/>
        <v>0</v>
      </c>
      <c r="AH138" s="209">
        <f t="shared" si="334"/>
        <v>0</v>
      </c>
      <c r="AI138" s="58">
        <f t="shared" si="334"/>
        <v>0</v>
      </c>
      <c r="AJ138" s="209">
        <f t="shared" si="334"/>
        <v>0</v>
      </c>
      <c r="AK138" s="209">
        <f t="shared" si="334"/>
        <v>0</v>
      </c>
      <c r="AL138" s="209">
        <f t="shared" si="334"/>
        <v>0</v>
      </c>
      <c r="AM138" s="209">
        <f t="shared" si="334"/>
        <v>0</v>
      </c>
      <c r="AN138" s="209">
        <f t="shared" si="334"/>
        <v>0</v>
      </c>
      <c r="AO138" s="209">
        <f t="shared" si="334"/>
        <v>0</v>
      </c>
      <c r="AP138" s="209">
        <f t="shared" si="334"/>
        <v>0</v>
      </c>
      <c r="AQ138" s="209">
        <f t="shared" si="334"/>
        <v>0</v>
      </c>
      <c r="AR138" s="53">
        <f t="shared" si="334"/>
        <v>0</v>
      </c>
      <c r="AS138" s="65">
        <f t="shared" si="330"/>
        <v>0</v>
      </c>
      <c r="AT138" s="210">
        <f t="shared" si="330"/>
        <v>0</v>
      </c>
      <c r="AU138" s="210">
        <f t="shared" si="330"/>
        <v>0</v>
      </c>
      <c r="AV138" s="210">
        <f t="shared" si="330"/>
        <v>0</v>
      </c>
      <c r="AW138" s="280">
        <f t="shared" si="330"/>
        <v>0</v>
      </c>
      <c r="AX138" s="210">
        <f t="shared" si="299"/>
        <v>0</v>
      </c>
      <c r="AY138" s="210">
        <f t="shared" si="299"/>
        <v>0</v>
      </c>
      <c r="AZ138" s="210">
        <f t="shared" si="299"/>
        <v>0</v>
      </c>
      <c r="BA138" s="210">
        <f t="shared" si="299"/>
        <v>0</v>
      </c>
      <c r="BB138" s="53">
        <f t="shared" si="299"/>
        <v>0</v>
      </c>
      <c r="BC138" s="58">
        <f t="shared" si="300"/>
        <v>0</v>
      </c>
      <c r="BD138" s="209">
        <f t="shared" si="300"/>
        <v>0</v>
      </c>
      <c r="BE138" s="209">
        <f t="shared" si="300"/>
        <v>0</v>
      </c>
      <c r="BF138" s="209">
        <f t="shared" si="300"/>
        <v>0</v>
      </c>
      <c r="BG138" s="209">
        <f t="shared" si="300"/>
        <v>0</v>
      </c>
      <c r="BH138" s="209">
        <f t="shared" si="300"/>
        <v>0</v>
      </c>
      <c r="BI138" s="209">
        <f t="shared" si="300"/>
        <v>0</v>
      </c>
      <c r="BJ138" s="209">
        <f t="shared" si="301"/>
        <v>0</v>
      </c>
      <c r="BK138" s="209">
        <f t="shared" si="301"/>
        <v>0</v>
      </c>
      <c r="BL138" s="209">
        <f t="shared" si="301"/>
        <v>0</v>
      </c>
      <c r="BM138" s="58">
        <f t="shared" si="302"/>
        <v>0</v>
      </c>
      <c r="BN138" s="209">
        <f t="shared" si="302"/>
        <v>0</v>
      </c>
      <c r="BO138" s="209">
        <f t="shared" si="302"/>
        <v>0</v>
      </c>
      <c r="BP138" s="209">
        <f t="shared" si="302"/>
        <v>0</v>
      </c>
      <c r="BQ138" s="209">
        <f t="shared" si="302"/>
        <v>0</v>
      </c>
      <c r="BR138" s="209">
        <f t="shared" si="302"/>
        <v>0</v>
      </c>
      <c r="BS138" s="209">
        <f t="shared" si="302"/>
        <v>0</v>
      </c>
      <c r="BT138" s="209"/>
      <c r="BU138" s="209"/>
      <c r="BV138" s="209">
        <f t="shared" ref="BM138:BV153" si="337">0/172.5</f>
        <v>0</v>
      </c>
      <c r="BW138" s="65">
        <f t="shared" si="303"/>
        <v>0</v>
      </c>
      <c r="BX138" s="209">
        <f t="shared" si="303"/>
        <v>0</v>
      </c>
      <c r="BY138" s="209">
        <f t="shared" si="303"/>
        <v>0</v>
      </c>
      <c r="BZ138" s="209">
        <f t="shared" si="303"/>
        <v>0</v>
      </c>
      <c r="CA138" s="209">
        <f t="shared" si="303"/>
        <v>0</v>
      </c>
      <c r="CB138" s="209">
        <f t="shared" si="304"/>
        <v>0</v>
      </c>
      <c r="CC138" s="209">
        <f t="shared" si="304"/>
        <v>0</v>
      </c>
      <c r="CD138" s="209">
        <f t="shared" si="304"/>
        <v>0</v>
      </c>
      <c r="CE138" s="209">
        <f t="shared" si="304"/>
        <v>0</v>
      </c>
      <c r="CF138" s="209">
        <f t="shared" si="304"/>
        <v>0</v>
      </c>
      <c r="CG138" s="65">
        <f t="shared" si="331"/>
        <v>0</v>
      </c>
      <c r="CH138" s="210">
        <f t="shared" si="331"/>
        <v>0</v>
      </c>
      <c r="CI138" s="210">
        <f t="shared" si="331"/>
        <v>0</v>
      </c>
      <c r="CJ138" s="210">
        <f t="shared" si="331"/>
        <v>0</v>
      </c>
      <c r="CK138" s="210">
        <f t="shared" si="331"/>
        <v>0</v>
      </c>
      <c r="CL138" s="210">
        <f t="shared" si="305"/>
        <v>0</v>
      </c>
      <c r="CM138" s="210">
        <f t="shared" si="305"/>
        <v>0</v>
      </c>
      <c r="CN138" s="210">
        <f t="shared" si="305"/>
        <v>0</v>
      </c>
      <c r="CO138" s="210">
        <f t="shared" si="305"/>
        <v>0</v>
      </c>
      <c r="CP138" s="66">
        <f t="shared" si="305"/>
        <v>0</v>
      </c>
      <c r="CQ138" s="65">
        <f t="shared" si="335"/>
        <v>0</v>
      </c>
      <c r="CR138" s="210">
        <f t="shared" si="335"/>
        <v>0</v>
      </c>
      <c r="CS138" s="210">
        <f t="shared" si="335"/>
        <v>0</v>
      </c>
      <c r="CT138" s="210">
        <f t="shared" si="335"/>
        <v>0</v>
      </c>
      <c r="CU138" s="210">
        <f t="shared" si="335"/>
        <v>0</v>
      </c>
      <c r="CV138" s="210">
        <f t="shared" si="306"/>
        <v>0</v>
      </c>
      <c r="CW138" s="210">
        <f t="shared" si="306"/>
        <v>0</v>
      </c>
      <c r="CX138" s="65">
        <f t="shared" si="323"/>
        <v>0</v>
      </c>
      <c r="CY138" s="210">
        <f t="shared" si="323"/>
        <v>0</v>
      </c>
      <c r="CZ138" s="210">
        <f t="shared" si="323"/>
        <v>0</v>
      </c>
      <c r="DA138" s="210">
        <f t="shared" si="323"/>
        <v>0</v>
      </c>
      <c r="DB138" s="210">
        <f t="shared" si="323"/>
        <v>0</v>
      </c>
      <c r="DC138" s="210">
        <f t="shared" si="324"/>
        <v>0</v>
      </c>
      <c r="DD138" s="209">
        <f t="shared" si="324"/>
        <v>0</v>
      </c>
      <c r="DE138" s="65">
        <f t="shared" si="332"/>
        <v>0</v>
      </c>
      <c r="DF138" s="210">
        <f t="shared" si="332"/>
        <v>0</v>
      </c>
      <c r="DG138" s="210">
        <f t="shared" si="332"/>
        <v>0</v>
      </c>
      <c r="DH138" s="210">
        <f t="shared" si="332"/>
        <v>0</v>
      </c>
      <c r="DI138" s="210">
        <f t="shared" si="332"/>
        <v>0</v>
      </c>
      <c r="DJ138" s="210">
        <f t="shared" si="328"/>
        <v>0</v>
      </c>
      <c r="DK138" s="210">
        <f t="shared" si="328"/>
        <v>0</v>
      </c>
      <c r="DL138" s="65">
        <f t="shared" si="333"/>
        <v>0</v>
      </c>
      <c r="DM138" s="210">
        <f t="shared" si="333"/>
        <v>0</v>
      </c>
      <c r="DN138" s="210">
        <f t="shared" si="333"/>
        <v>0</v>
      </c>
      <c r="DO138" s="210">
        <f t="shared" si="333"/>
        <v>0</v>
      </c>
      <c r="DP138" s="210">
        <f t="shared" si="333"/>
        <v>0</v>
      </c>
      <c r="DQ138" s="210">
        <f t="shared" si="307"/>
        <v>0</v>
      </c>
      <c r="DR138" s="210">
        <f t="shared" si="307"/>
        <v>0</v>
      </c>
      <c r="DS138" s="210">
        <f t="shared" si="307"/>
        <v>0</v>
      </c>
    </row>
    <row r="139" spans="1:124" s="201" customFormat="1" ht="26.25" hidden="1" customHeight="1" outlineLevel="1" collapsed="1" x14ac:dyDescent="0.4">
      <c r="A139" s="347">
        <v>67</v>
      </c>
      <c r="B139" s="347" t="s">
        <v>45</v>
      </c>
      <c r="C139" s="347" t="s">
        <v>346</v>
      </c>
      <c r="D139" s="349"/>
      <c r="E139" s="349"/>
      <c r="F139" s="349"/>
      <c r="G139" s="371"/>
      <c r="H139" s="449">
        <f>SUM(CQ139:CW139)</f>
        <v>0</v>
      </c>
      <c r="I139" s="449">
        <f>SUM(CQ140:CW140)</f>
        <v>0</v>
      </c>
      <c r="J139" s="447"/>
      <c r="K139" s="445"/>
      <c r="L139" s="445"/>
      <c r="M139" s="428"/>
      <c r="N139" s="21" t="s">
        <v>24</v>
      </c>
      <c r="O139" s="190">
        <f t="shared" si="336"/>
        <v>0</v>
      </c>
      <c r="P139" s="190">
        <f t="shared" si="336"/>
        <v>0</v>
      </c>
      <c r="Q139" s="190">
        <f t="shared" si="336"/>
        <v>0</v>
      </c>
      <c r="R139" s="190">
        <f t="shared" si="336"/>
        <v>0</v>
      </c>
      <c r="S139" s="190">
        <f t="shared" si="336"/>
        <v>0</v>
      </c>
      <c r="T139" s="190">
        <f t="shared" si="336"/>
        <v>0</v>
      </c>
      <c r="U139" s="190">
        <f t="shared" si="336"/>
        <v>0</v>
      </c>
      <c r="V139" s="190">
        <f t="shared" si="336"/>
        <v>0</v>
      </c>
      <c r="W139" s="190">
        <f t="shared" si="336"/>
        <v>0</v>
      </c>
      <c r="X139" s="86">
        <f t="shared" si="336"/>
        <v>0</v>
      </c>
      <c r="Y139" s="190">
        <f t="shared" ref="Y139:AD154" si="338">0/142.5</f>
        <v>0</v>
      </c>
      <c r="Z139" s="190">
        <f t="shared" si="338"/>
        <v>0</v>
      </c>
      <c r="AA139" s="190">
        <f t="shared" si="338"/>
        <v>0</v>
      </c>
      <c r="AB139" s="190">
        <f t="shared" si="338"/>
        <v>0</v>
      </c>
      <c r="AC139" s="190">
        <f t="shared" si="338"/>
        <v>0</v>
      </c>
      <c r="AD139" s="190">
        <f t="shared" si="338"/>
        <v>0</v>
      </c>
      <c r="AE139" s="190">
        <f t="shared" si="334"/>
        <v>0</v>
      </c>
      <c r="AF139" s="190"/>
      <c r="AG139" s="190">
        <f t="shared" si="334"/>
        <v>0</v>
      </c>
      <c r="AH139" s="190">
        <f t="shared" si="334"/>
        <v>0</v>
      </c>
      <c r="AI139" s="77">
        <f t="shared" si="334"/>
        <v>0</v>
      </c>
      <c r="AJ139" s="190">
        <f t="shared" si="334"/>
        <v>0</v>
      </c>
      <c r="AK139" s="190">
        <f t="shared" si="334"/>
        <v>0</v>
      </c>
      <c r="AL139" s="190">
        <f t="shared" si="334"/>
        <v>0</v>
      </c>
      <c r="AM139" s="190">
        <f t="shared" si="334"/>
        <v>0</v>
      </c>
      <c r="AN139" s="190">
        <f t="shared" si="334"/>
        <v>0</v>
      </c>
      <c r="AO139" s="190">
        <f t="shared" si="334"/>
        <v>0</v>
      </c>
      <c r="AP139" s="190">
        <f t="shared" si="334"/>
        <v>0</v>
      </c>
      <c r="AQ139" s="190">
        <f t="shared" si="334"/>
        <v>0</v>
      </c>
      <c r="AR139" s="225">
        <f t="shared" si="334"/>
        <v>0</v>
      </c>
      <c r="AS139" s="23">
        <f t="shared" si="330"/>
        <v>0</v>
      </c>
      <c r="AT139" s="190">
        <f t="shared" si="330"/>
        <v>0</v>
      </c>
      <c r="AU139" s="190">
        <f t="shared" si="330"/>
        <v>0</v>
      </c>
      <c r="AV139" s="190">
        <f t="shared" si="330"/>
        <v>0</v>
      </c>
      <c r="AW139" s="190">
        <f t="shared" si="330"/>
        <v>0</v>
      </c>
      <c r="AX139" s="190">
        <f t="shared" ref="AX139:BB154" si="339">0/165</f>
        <v>0</v>
      </c>
      <c r="AY139" s="190">
        <f t="shared" si="339"/>
        <v>0</v>
      </c>
      <c r="AZ139" s="190">
        <f t="shared" si="339"/>
        <v>0</v>
      </c>
      <c r="BA139" s="190">
        <f t="shared" si="339"/>
        <v>0</v>
      </c>
      <c r="BB139" s="225">
        <f t="shared" si="339"/>
        <v>0</v>
      </c>
      <c r="BC139" s="77">
        <f t="shared" ref="BC139:BI154" si="340">0/157.5</f>
        <v>0</v>
      </c>
      <c r="BD139" s="190">
        <f t="shared" si="340"/>
        <v>0</v>
      </c>
      <c r="BE139" s="190">
        <f t="shared" si="340"/>
        <v>0</v>
      </c>
      <c r="BF139" s="190">
        <f t="shared" si="340"/>
        <v>0</v>
      </c>
      <c r="BG139" s="190">
        <f t="shared" si="340"/>
        <v>0</v>
      </c>
      <c r="BH139" s="190">
        <f t="shared" si="340"/>
        <v>0</v>
      </c>
      <c r="BI139" s="190">
        <f t="shared" si="340"/>
        <v>0</v>
      </c>
      <c r="BJ139" s="190">
        <f t="shared" ref="BJ139:BL154" si="341">0/165</f>
        <v>0</v>
      </c>
      <c r="BK139" s="190">
        <f t="shared" si="341"/>
        <v>0</v>
      </c>
      <c r="BL139" s="190">
        <f t="shared" si="341"/>
        <v>0</v>
      </c>
      <c r="BM139" s="77">
        <f t="shared" si="337"/>
        <v>0</v>
      </c>
      <c r="BN139" s="190">
        <f t="shared" si="337"/>
        <v>0</v>
      </c>
      <c r="BO139" s="190">
        <f t="shared" si="337"/>
        <v>0</v>
      </c>
      <c r="BP139" s="190">
        <f t="shared" si="337"/>
        <v>0</v>
      </c>
      <c r="BQ139" s="190">
        <f t="shared" si="337"/>
        <v>0</v>
      </c>
      <c r="BR139" s="190">
        <f t="shared" si="337"/>
        <v>0</v>
      </c>
      <c r="BS139" s="190">
        <f t="shared" si="337"/>
        <v>0</v>
      </c>
      <c r="BT139" s="190"/>
      <c r="BU139" s="190"/>
      <c r="BV139" s="190">
        <f t="shared" si="337"/>
        <v>0</v>
      </c>
      <c r="BW139" s="23">
        <f t="shared" ref="BW139:CA154" si="342">0/142.5</f>
        <v>0</v>
      </c>
      <c r="BX139" s="190">
        <f t="shared" si="342"/>
        <v>0</v>
      </c>
      <c r="BY139" s="190">
        <f t="shared" si="342"/>
        <v>0</v>
      </c>
      <c r="BZ139" s="190">
        <f t="shared" si="342"/>
        <v>0</v>
      </c>
      <c r="CA139" s="190">
        <f t="shared" si="342"/>
        <v>0</v>
      </c>
      <c r="CB139" s="190">
        <f t="shared" ref="CB139:CF154" si="343">0/172.5</f>
        <v>0</v>
      </c>
      <c r="CC139" s="190">
        <f t="shared" si="343"/>
        <v>0</v>
      </c>
      <c r="CD139" s="190">
        <f t="shared" si="343"/>
        <v>0</v>
      </c>
      <c r="CE139" s="190">
        <f t="shared" si="343"/>
        <v>0</v>
      </c>
      <c r="CF139" s="190">
        <f t="shared" si="343"/>
        <v>0</v>
      </c>
      <c r="CG139" s="23">
        <f t="shared" si="331"/>
        <v>0</v>
      </c>
      <c r="CH139" s="190">
        <f t="shared" si="331"/>
        <v>0</v>
      </c>
      <c r="CI139" s="190">
        <f t="shared" si="331"/>
        <v>0</v>
      </c>
      <c r="CJ139" s="190">
        <f t="shared" si="331"/>
        <v>0</v>
      </c>
      <c r="CK139" s="190">
        <f t="shared" si="331"/>
        <v>0</v>
      </c>
      <c r="CL139" s="190">
        <f t="shared" ref="CL139:CP154" si="344">0/172.5</f>
        <v>0</v>
      </c>
      <c r="CM139" s="190">
        <f t="shared" si="344"/>
        <v>0</v>
      </c>
      <c r="CN139" s="190">
        <f t="shared" si="344"/>
        <v>0</v>
      </c>
      <c r="CO139" s="190">
        <f t="shared" si="344"/>
        <v>0</v>
      </c>
      <c r="CP139" s="21">
        <f t="shared" si="344"/>
        <v>0</v>
      </c>
      <c r="CQ139" s="23">
        <f t="shared" si="335"/>
        <v>0</v>
      </c>
      <c r="CR139" s="190">
        <f t="shared" si="335"/>
        <v>0</v>
      </c>
      <c r="CS139" s="190">
        <f t="shared" si="335"/>
        <v>0</v>
      </c>
      <c r="CT139" s="190">
        <f t="shared" si="335"/>
        <v>0</v>
      </c>
      <c r="CU139" s="190">
        <f t="shared" si="335"/>
        <v>0</v>
      </c>
      <c r="CV139" s="190">
        <f t="shared" ref="CV139:CW154" si="345">0/172.5</f>
        <v>0</v>
      </c>
      <c r="CW139" s="190">
        <f t="shared" si="345"/>
        <v>0</v>
      </c>
      <c r="CX139" s="77">
        <f t="shared" ref="CX139:DB154" si="346">0/157.5</f>
        <v>0</v>
      </c>
      <c r="CY139" s="190">
        <f t="shared" si="346"/>
        <v>0</v>
      </c>
      <c r="CZ139" s="190">
        <f t="shared" si="346"/>
        <v>0</v>
      </c>
      <c r="DA139" s="190">
        <f t="shared" si="346"/>
        <v>0</v>
      </c>
      <c r="DB139" s="190">
        <f t="shared" si="346"/>
        <v>0</v>
      </c>
      <c r="DC139" s="190">
        <f t="shared" ref="DC139:DD154" si="347">0/172.5</f>
        <v>0</v>
      </c>
      <c r="DD139" s="190">
        <f t="shared" si="347"/>
        <v>0</v>
      </c>
      <c r="DE139" s="23">
        <f t="shared" si="332"/>
        <v>0</v>
      </c>
      <c r="DF139" s="190">
        <f t="shared" si="332"/>
        <v>0</v>
      </c>
      <c r="DG139" s="190">
        <f t="shared" si="332"/>
        <v>0</v>
      </c>
      <c r="DH139" s="190">
        <f t="shared" si="332"/>
        <v>0</v>
      </c>
      <c r="DI139" s="190">
        <f t="shared" si="332"/>
        <v>0</v>
      </c>
      <c r="DJ139" s="190">
        <f t="shared" ref="DJ139:DK154" si="348">0/172.5</f>
        <v>0</v>
      </c>
      <c r="DK139" s="190">
        <f t="shared" si="348"/>
        <v>0</v>
      </c>
      <c r="DL139" s="23">
        <f t="shared" si="333"/>
        <v>0</v>
      </c>
      <c r="DM139" s="190">
        <f t="shared" si="333"/>
        <v>0</v>
      </c>
      <c r="DN139" s="190">
        <f t="shared" si="333"/>
        <v>0</v>
      </c>
      <c r="DO139" s="190">
        <f t="shared" si="333"/>
        <v>0</v>
      </c>
      <c r="DP139" s="190">
        <f t="shared" si="333"/>
        <v>0</v>
      </c>
      <c r="DQ139" s="190">
        <f t="shared" ref="DQ139:DS154" si="349">0/172.5</f>
        <v>0</v>
      </c>
      <c r="DR139" s="190">
        <f t="shared" si="349"/>
        <v>0</v>
      </c>
      <c r="DS139" s="190">
        <f t="shared" si="349"/>
        <v>0</v>
      </c>
      <c r="DT139" s="54"/>
    </row>
    <row r="140" spans="1:124" s="201" customFormat="1" ht="26.25" hidden="1" customHeight="1" outlineLevel="1" x14ac:dyDescent="0.4">
      <c r="A140" s="348"/>
      <c r="B140" s="348"/>
      <c r="C140" s="348"/>
      <c r="D140" s="350"/>
      <c r="E140" s="350"/>
      <c r="F140" s="350"/>
      <c r="G140" s="371"/>
      <c r="H140" s="450"/>
      <c r="I140" s="450"/>
      <c r="J140" s="448"/>
      <c r="K140" s="446"/>
      <c r="L140" s="446"/>
      <c r="M140" s="429"/>
      <c r="N140" s="209" t="s">
        <v>25</v>
      </c>
      <c r="O140" s="209">
        <f t="shared" si="336"/>
        <v>0</v>
      </c>
      <c r="P140" s="209">
        <f t="shared" si="336"/>
        <v>0</v>
      </c>
      <c r="Q140" s="209">
        <f t="shared" si="336"/>
        <v>0</v>
      </c>
      <c r="R140" s="209">
        <f t="shared" si="336"/>
        <v>0</v>
      </c>
      <c r="S140" s="209">
        <f t="shared" si="336"/>
        <v>0</v>
      </c>
      <c r="T140" s="209">
        <f t="shared" si="336"/>
        <v>0</v>
      </c>
      <c r="U140" s="209">
        <f t="shared" si="336"/>
        <v>0</v>
      </c>
      <c r="V140" s="209">
        <f t="shared" si="336"/>
        <v>0</v>
      </c>
      <c r="W140" s="209">
        <f t="shared" si="336"/>
        <v>0</v>
      </c>
      <c r="X140" s="53">
        <f t="shared" si="336"/>
        <v>0</v>
      </c>
      <c r="Y140" s="209">
        <f t="shared" si="338"/>
        <v>0</v>
      </c>
      <c r="Z140" s="209">
        <f t="shared" si="338"/>
        <v>0</v>
      </c>
      <c r="AA140" s="209">
        <f t="shared" si="338"/>
        <v>0</v>
      </c>
      <c r="AB140" s="209">
        <f t="shared" si="338"/>
        <v>0</v>
      </c>
      <c r="AC140" s="209">
        <f t="shared" si="338"/>
        <v>0</v>
      </c>
      <c r="AD140" s="209">
        <f t="shared" si="338"/>
        <v>0</v>
      </c>
      <c r="AE140" s="209">
        <f t="shared" si="334"/>
        <v>0</v>
      </c>
      <c r="AF140" s="209"/>
      <c r="AG140" s="209">
        <f t="shared" si="334"/>
        <v>0</v>
      </c>
      <c r="AH140" s="209">
        <f t="shared" si="334"/>
        <v>0</v>
      </c>
      <c r="AI140" s="58">
        <f t="shared" si="334"/>
        <v>0</v>
      </c>
      <c r="AJ140" s="209">
        <f t="shared" si="334"/>
        <v>0</v>
      </c>
      <c r="AK140" s="209">
        <f t="shared" si="334"/>
        <v>0</v>
      </c>
      <c r="AL140" s="209">
        <f t="shared" si="334"/>
        <v>0</v>
      </c>
      <c r="AM140" s="209">
        <f t="shared" si="334"/>
        <v>0</v>
      </c>
      <c r="AN140" s="209">
        <f t="shared" si="334"/>
        <v>0</v>
      </c>
      <c r="AO140" s="209">
        <f t="shared" si="334"/>
        <v>0</v>
      </c>
      <c r="AP140" s="209">
        <f t="shared" si="334"/>
        <v>0</v>
      </c>
      <c r="AQ140" s="209">
        <f t="shared" si="334"/>
        <v>0</v>
      </c>
      <c r="AR140" s="53">
        <f t="shared" si="334"/>
        <v>0</v>
      </c>
      <c r="AS140" s="65">
        <f t="shared" si="330"/>
        <v>0</v>
      </c>
      <c r="AT140" s="210">
        <f t="shared" si="330"/>
        <v>0</v>
      </c>
      <c r="AU140" s="210">
        <f t="shared" si="330"/>
        <v>0</v>
      </c>
      <c r="AV140" s="210">
        <f t="shared" si="330"/>
        <v>0</v>
      </c>
      <c r="AW140" s="280">
        <f t="shared" si="330"/>
        <v>0</v>
      </c>
      <c r="AX140" s="210">
        <f t="shared" si="339"/>
        <v>0</v>
      </c>
      <c r="AY140" s="210">
        <f t="shared" si="339"/>
        <v>0</v>
      </c>
      <c r="AZ140" s="210">
        <f t="shared" si="339"/>
        <v>0</v>
      </c>
      <c r="BA140" s="210">
        <f t="shared" si="339"/>
        <v>0</v>
      </c>
      <c r="BB140" s="53">
        <f t="shared" si="339"/>
        <v>0</v>
      </c>
      <c r="BC140" s="58">
        <f t="shared" si="340"/>
        <v>0</v>
      </c>
      <c r="BD140" s="209">
        <f t="shared" si="340"/>
        <v>0</v>
      </c>
      <c r="BE140" s="209">
        <f t="shared" si="340"/>
        <v>0</v>
      </c>
      <c r="BF140" s="209">
        <f t="shared" si="340"/>
        <v>0</v>
      </c>
      <c r="BG140" s="209">
        <f t="shared" si="340"/>
        <v>0</v>
      </c>
      <c r="BH140" s="209">
        <f t="shared" si="340"/>
        <v>0</v>
      </c>
      <c r="BI140" s="209">
        <f t="shared" si="340"/>
        <v>0</v>
      </c>
      <c r="BJ140" s="209">
        <f t="shared" si="341"/>
        <v>0</v>
      </c>
      <c r="BK140" s="209">
        <f t="shared" si="341"/>
        <v>0</v>
      </c>
      <c r="BL140" s="209">
        <f t="shared" si="341"/>
        <v>0</v>
      </c>
      <c r="BM140" s="58">
        <f t="shared" si="337"/>
        <v>0</v>
      </c>
      <c r="BN140" s="209">
        <f t="shared" si="337"/>
        <v>0</v>
      </c>
      <c r="BO140" s="209">
        <f t="shared" si="337"/>
        <v>0</v>
      </c>
      <c r="BP140" s="209">
        <f t="shared" si="337"/>
        <v>0</v>
      </c>
      <c r="BQ140" s="209">
        <f t="shared" si="337"/>
        <v>0</v>
      </c>
      <c r="BR140" s="209">
        <f t="shared" si="337"/>
        <v>0</v>
      </c>
      <c r="BS140" s="209">
        <f t="shared" si="337"/>
        <v>0</v>
      </c>
      <c r="BT140" s="209"/>
      <c r="BU140" s="209"/>
      <c r="BV140" s="209">
        <f t="shared" si="337"/>
        <v>0</v>
      </c>
      <c r="BW140" s="65">
        <f t="shared" si="342"/>
        <v>0</v>
      </c>
      <c r="BX140" s="209">
        <f t="shared" si="342"/>
        <v>0</v>
      </c>
      <c r="BY140" s="209">
        <f t="shared" si="342"/>
        <v>0</v>
      </c>
      <c r="BZ140" s="209">
        <f t="shared" si="342"/>
        <v>0</v>
      </c>
      <c r="CA140" s="209">
        <f t="shared" si="342"/>
        <v>0</v>
      </c>
      <c r="CB140" s="209">
        <f t="shared" si="343"/>
        <v>0</v>
      </c>
      <c r="CC140" s="209">
        <f t="shared" si="343"/>
        <v>0</v>
      </c>
      <c r="CD140" s="209">
        <f t="shared" si="343"/>
        <v>0</v>
      </c>
      <c r="CE140" s="209">
        <f t="shared" si="343"/>
        <v>0</v>
      </c>
      <c r="CF140" s="209">
        <f t="shared" si="343"/>
        <v>0</v>
      </c>
      <c r="CG140" s="65">
        <f t="shared" si="331"/>
        <v>0</v>
      </c>
      <c r="CH140" s="210">
        <f t="shared" si="331"/>
        <v>0</v>
      </c>
      <c r="CI140" s="210">
        <f t="shared" si="331"/>
        <v>0</v>
      </c>
      <c r="CJ140" s="210">
        <f t="shared" si="331"/>
        <v>0</v>
      </c>
      <c r="CK140" s="210">
        <f t="shared" si="331"/>
        <v>0</v>
      </c>
      <c r="CL140" s="210">
        <f t="shared" si="344"/>
        <v>0</v>
      </c>
      <c r="CM140" s="210">
        <f t="shared" si="344"/>
        <v>0</v>
      </c>
      <c r="CN140" s="210">
        <f t="shared" si="344"/>
        <v>0</v>
      </c>
      <c r="CO140" s="210">
        <f t="shared" si="344"/>
        <v>0</v>
      </c>
      <c r="CP140" s="66">
        <f t="shared" si="344"/>
        <v>0</v>
      </c>
      <c r="CQ140" s="65">
        <f t="shared" si="335"/>
        <v>0</v>
      </c>
      <c r="CR140" s="210">
        <f t="shared" si="335"/>
        <v>0</v>
      </c>
      <c r="CS140" s="210">
        <f t="shared" si="335"/>
        <v>0</v>
      </c>
      <c r="CT140" s="210">
        <f t="shared" si="335"/>
        <v>0</v>
      </c>
      <c r="CU140" s="210">
        <f t="shared" si="335"/>
        <v>0</v>
      </c>
      <c r="CV140" s="210">
        <f t="shared" si="345"/>
        <v>0</v>
      </c>
      <c r="CW140" s="210">
        <f t="shared" si="345"/>
        <v>0</v>
      </c>
      <c r="CX140" s="65">
        <f t="shared" si="346"/>
        <v>0</v>
      </c>
      <c r="CY140" s="210">
        <f t="shared" si="346"/>
        <v>0</v>
      </c>
      <c r="CZ140" s="210">
        <f t="shared" si="346"/>
        <v>0</v>
      </c>
      <c r="DA140" s="210">
        <f t="shared" si="346"/>
        <v>0</v>
      </c>
      <c r="DB140" s="210">
        <f t="shared" si="346"/>
        <v>0</v>
      </c>
      <c r="DC140" s="210">
        <f t="shared" si="347"/>
        <v>0</v>
      </c>
      <c r="DD140" s="209">
        <f t="shared" si="347"/>
        <v>0</v>
      </c>
      <c r="DE140" s="65">
        <f t="shared" si="332"/>
        <v>0</v>
      </c>
      <c r="DF140" s="210">
        <f t="shared" si="332"/>
        <v>0</v>
      </c>
      <c r="DG140" s="210">
        <f t="shared" si="332"/>
        <v>0</v>
      </c>
      <c r="DH140" s="210">
        <f t="shared" si="332"/>
        <v>0</v>
      </c>
      <c r="DI140" s="210">
        <f t="shared" si="332"/>
        <v>0</v>
      </c>
      <c r="DJ140" s="210">
        <f t="shared" si="348"/>
        <v>0</v>
      </c>
      <c r="DK140" s="210">
        <f t="shared" si="348"/>
        <v>0</v>
      </c>
      <c r="DL140" s="65">
        <f t="shared" si="333"/>
        <v>0</v>
      </c>
      <c r="DM140" s="210">
        <f t="shared" si="333"/>
        <v>0</v>
      </c>
      <c r="DN140" s="210">
        <f t="shared" si="333"/>
        <v>0</v>
      </c>
      <c r="DO140" s="210">
        <f t="shared" si="333"/>
        <v>0</v>
      </c>
      <c r="DP140" s="210">
        <f t="shared" si="333"/>
        <v>0</v>
      </c>
      <c r="DQ140" s="210">
        <f t="shared" si="349"/>
        <v>0</v>
      </c>
      <c r="DR140" s="210">
        <f t="shared" si="349"/>
        <v>0</v>
      </c>
      <c r="DS140" s="210">
        <f t="shared" si="349"/>
        <v>0</v>
      </c>
    </row>
    <row r="141" spans="1:124" s="201" customFormat="1" ht="26.25" hidden="1" customHeight="1" outlineLevel="1" collapsed="1" x14ac:dyDescent="0.4">
      <c r="A141" s="347">
        <v>68</v>
      </c>
      <c r="B141" s="347" t="s">
        <v>45</v>
      </c>
      <c r="C141" s="347" t="s">
        <v>346</v>
      </c>
      <c r="D141" s="349"/>
      <c r="E141" s="349"/>
      <c r="F141" s="349"/>
      <c r="G141" s="371"/>
      <c r="H141" s="449">
        <f>SUM(CQ141:CW141)</f>
        <v>0</v>
      </c>
      <c r="I141" s="449">
        <f>SUM(CQ142:CW142)</f>
        <v>0</v>
      </c>
      <c r="J141" s="447"/>
      <c r="K141" s="445"/>
      <c r="L141" s="445"/>
      <c r="M141" s="428"/>
      <c r="N141" s="21" t="s">
        <v>24</v>
      </c>
      <c r="O141" s="190">
        <f t="shared" si="336"/>
        <v>0</v>
      </c>
      <c r="P141" s="190">
        <f t="shared" si="336"/>
        <v>0</v>
      </c>
      <c r="Q141" s="190">
        <f t="shared" si="336"/>
        <v>0</v>
      </c>
      <c r="R141" s="190">
        <f t="shared" si="336"/>
        <v>0</v>
      </c>
      <c r="S141" s="190">
        <f t="shared" si="336"/>
        <v>0</v>
      </c>
      <c r="T141" s="190">
        <f t="shared" si="336"/>
        <v>0</v>
      </c>
      <c r="U141" s="190">
        <f t="shared" si="336"/>
        <v>0</v>
      </c>
      <c r="V141" s="190">
        <f t="shared" si="336"/>
        <v>0</v>
      </c>
      <c r="W141" s="190">
        <f t="shared" si="336"/>
        <v>0</v>
      </c>
      <c r="X141" s="86">
        <f t="shared" si="336"/>
        <v>0</v>
      </c>
      <c r="Y141" s="190">
        <f t="shared" si="338"/>
        <v>0</v>
      </c>
      <c r="Z141" s="190">
        <f t="shared" si="338"/>
        <v>0</v>
      </c>
      <c r="AA141" s="190">
        <f t="shared" si="338"/>
        <v>0</v>
      </c>
      <c r="AB141" s="190">
        <f t="shared" si="338"/>
        <v>0</v>
      </c>
      <c r="AC141" s="190">
        <f t="shared" si="338"/>
        <v>0</v>
      </c>
      <c r="AD141" s="190">
        <f t="shared" si="338"/>
        <v>0</v>
      </c>
      <c r="AE141" s="190">
        <f t="shared" si="334"/>
        <v>0</v>
      </c>
      <c r="AF141" s="190"/>
      <c r="AG141" s="190">
        <f t="shared" si="334"/>
        <v>0</v>
      </c>
      <c r="AH141" s="190">
        <f t="shared" si="334"/>
        <v>0</v>
      </c>
      <c r="AI141" s="77">
        <f t="shared" si="334"/>
        <v>0</v>
      </c>
      <c r="AJ141" s="190">
        <f t="shared" si="334"/>
        <v>0</v>
      </c>
      <c r="AK141" s="190">
        <f t="shared" si="334"/>
        <v>0</v>
      </c>
      <c r="AL141" s="190">
        <f t="shared" si="334"/>
        <v>0</v>
      </c>
      <c r="AM141" s="190">
        <f t="shared" si="334"/>
        <v>0</v>
      </c>
      <c r="AN141" s="190">
        <f t="shared" si="334"/>
        <v>0</v>
      </c>
      <c r="AO141" s="190">
        <f t="shared" si="334"/>
        <v>0</v>
      </c>
      <c r="AP141" s="190">
        <f t="shared" si="334"/>
        <v>0</v>
      </c>
      <c r="AQ141" s="190">
        <f t="shared" si="334"/>
        <v>0</v>
      </c>
      <c r="AR141" s="225">
        <f t="shared" si="334"/>
        <v>0</v>
      </c>
      <c r="AS141" s="23">
        <f t="shared" si="330"/>
        <v>0</v>
      </c>
      <c r="AT141" s="190">
        <f t="shared" si="330"/>
        <v>0</v>
      </c>
      <c r="AU141" s="190">
        <f t="shared" si="330"/>
        <v>0</v>
      </c>
      <c r="AV141" s="190">
        <f t="shared" si="330"/>
        <v>0</v>
      </c>
      <c r="AW141" s="190">
        <f t="shared" si="330"/>
        <v>0</v>
      </c>
      <c r="AX141" s="190">
        <f t="shared" si="339"/>
        <v>0</v>
      </c>
      <c r="AY141" s="190">
        <f t="shared" si="339"/>
        <v>0</v>
      </c>
      <c r="AZ141" s="190">
        <f t="shared" si="339"/>
        <v>0</v>
      </c>
      <c r="BA141" s="190">
        <f t="shared" si="339"/>
        <v>0</v>
      </c>
      <c r="BB141" s="225">
        <f t="shared" si="339"/>
        <v>0</v>
      </c>
      <c r="BC141" s="77">
        <f t="shared" si="340"/>
        <v>0</v>
      </c>
      <c r="BD141" s="190">
        <f t="shared" si="340"/>
        <v>0</v>
      </c>
      <c r="BE141" s="190">
        <f t="shared" si="340"/>
        <v>0</v>
      </c>
      <c r="BF141" s="190">
        <f t="shared" si="340"/>
        <v>0</v>
      </c>
      <c r="BG141" s="190">
        <f t="shared" si="340"/>
        <v>0</v>
      </c>
      <c r="BH141" s="190">
        <f t="shared" si="340"/>
        <v>0</v>
      </c>
      <c r="BI141" s="190">
        <f t="shared" si="340"/>
        <v>0</v>
      </c>
      <c r="BJ141" s="190">
        <f t="shared" si="341"/>
        <v>0</v>
      </c>
      <c r="BK141" s="190">
        <f t="shared" si="341"/>
        <v>0</v>
      </c>
      <c r="BL141" s="190">
        <f t="shared" si="341"/>
        <v>0</v>
      </c>
      <c r="BM141" s="77">
        <f t="shared" si="337"/>
        <v>0</v>
      </c>
      <c r="BN141" s="190">
        <f t="shared" si="337"/>
        <v>0</v>
      </c>
      <c r="BO141" s="190">
        <f t="shared" si="337"/>
        <v>0</v>
      </c>
      <c r="BP141" s="190">
        <f t="shared" si="337"/>
        <v>0</v>
      </c>
      <c r="BQ141" s="190">
        <f t="shared" si="337"/>
        <v>0</v>
      </c>
      <c r="BR141" s="190">
        <f t="shared" si="337"/>
        <v>0</v>
      </c>
      <c r="BS141" s="190">
        <f t="shared" si="337"/>
        <v>0</v>
      </c>
      <c r="BT141" s="190"/>
      <c r="BU141" s="190"/>
      <c r="BV141" s="190">
        <f t="shared" si="337"/>
        <v>0</v>
      </c>
      <c r="BW141" s="23">
        <f t="shared" si="342"/>
        <v>0</v>
      </c>
      <c r="BX141" s="190">
        <f t="shared" si="342"/>
        <v>0</v>
      </c>
      <c r="BY141" s="190">
        <f t="shared" si="342"/>
        <v>0</v>
      </c>
      <c r="BZ141" s="190">
        <f t="shared" si="342"/>
        <v>0</v>
      </c>
      <c r="CA141" s="190">
        <f t="shared" si="342"/>
        <v>0</v>
      </c>
      <c r="CB141" s="190">
        <f t="shared" si="343"/>
        <v>0</v>
      </c>
      <c r="CC141" s="190">
        <f t="shared" si="343"/>
        <v>0</v>
      </c>
      <c r="CD141" s="190">
        <f t="shared" si="343"/>
        <v>0</v>
      </c>
      <c r="CE141" s="190">
        <f t="shared" si="343"/>
        <v>0</v>
      </c>
      <c r="CF141" s="190">
        <f t="shared" si="343"/>
        <v>0</v>
      </c>
      <c r="CG141" s="23">
        <f t="shared" si="331"/>
        <v>0</v>
      </c>
      <c r="CH141" s="190">
        <f t="shared" si="331"/>
        <v>0</v>
      </c>
      <c r="CI141" s="190">
        <f t="shared" si="331"/>
        <v>0</v>
      </c>
      <c r="CJ141" s="190">
        <f t="shared" si="331"/>
        <v>0</v>
      </c>
      <c r="CK141" s="190">
        <f t="shared" si="331"/>
        <v>0</v>
      </c>
      <c r="CL141" s="190">
        <f t="shared" si="344"/>
        <v>0</v>
      </c>
      <c r="CM141" s="190">
        <f t="shared" si="344"/>
        <v>0</v>
      </c>
      <c r="CN141" s="190">
        <f t="shared" si="344"/>
        <v>0</v>
      </c>
      <c r="CO141" s="190">
        <f t="shared" si="344"/>
        <v>0</v>
      </c>
      <c r="CP141" s="21">
        <f t="shared" si="344"/>
        <v>0</v>
      </c>
      <c r="CQ141" s="23">
        <f t="shared" si="335"/>
        <v>0</v>
      </c>
      <c r="CR141" s="190">
        <f t="shared" si="335"/>
        <v>0</v>
      </c>
      <c r="CS141" s="190">
        <f t="shared" si="335"/>
        <v>0</v>
      </c>
      <c r="CT141" s="190">
        <f t="shared" si="335"/>
        <v>0</v>
      </c>
      <c r="CU141" s="190">
        <f t="shared" si="335"/>
        <v>0</v>
      </c>
      <c r="CV141" s="190">
        <f t="shared" si="345"/>
        <v>0</v>
      </c>
      <c r="CW141" s="190">
        <f t="shared" si="345"/>
        <v>0</v>
      </c>
      <c r="CX141" s="77">
        <f t="shared" si="346"/>
        <v>0</v>
      </c>
      <c r="CY141" s="190">
        <f t="shared" si="346"/>
        <v>0</v>
      </c>
      <c r="CZ141" s="190">
        <f t="shared" si="346"/>
        <v>0</v>
      </c>
      <c r="DA141" s="190">
        <f t="shared" si="346"/>
        <v>0</v>
      </c>
      <c r="DB141" s="190">
        <f t="shared" si="346"/>
        <v>0</v>
      </c>
      <c r="DC141" s="190">
        <f t="shared" si="347"/>
        <v>0</v>
      </c>
      <c r="DD141" s="190">
        <f t="shared" si="347"/>
        <v>0</v>
      </c>
      <c r="DE141" s="23">
        <f t="shared" si="332"/>
        <v>0</v>
      </c>
      <c r="DF141" s="190">
        <f t="shared" si="332"/>
        <v>0</v>
      </c>
      <c r="DG141" s="190">
        <f t="shared" si="332"/>
        <v>0</v>
      </c>
      <c r="DH141" s="190">
        <f t="shared" si="332"/>
        <v>0</v>
      </c>
      <c r="DI141" s="190">
        <f t="shared" si="332"/>
        <v>0</v>
      </c>
      <c r="DJ141" s="190">
        <f t="shared" si="348"/>
        <v>0</v>
      </c>
      <c r="DK141" s="190">
        <f t="shared" si="348"/>
        <v>0</v>
      </c>
      <c r="DL141" s="23">
        <f t="shared" si="333"/>
        <v>0</v>
      </c>
      <c r="DM141" s="190">
        <f t="shared" si="333"/>
        <v>0</v>
      </c>
      <c r="DN141" s="190">
        <f t="shared" si="333"/>
        <v>0</v>
      </c>
      <c r="DO141" s="190">
        <f t="shared" si="333"/>
        <v>0</v>
      </c>
      <c r="DP141" s="190">
        <f t="shared" si="333"/>
        <v>0</v>
      </c>
      <c r="DQ141" s="190">
        <f t="shared" si="349"/>
        <v>0</v>
      </c>
      <c r="DR141" s="190">
        <f t="shared" si="349"/>
        <v>0</v>
      </c>
      <c r="DS141" s="190">
        <f t="shared" si="349"/>
        <v>0</v>
      </c>
      <c r="DT141" s="54"/>
    </row>
    <row r="142" spans="1:124" s="201" customFormat="1" ht="26.25" hidden="1" customHeight="1" outlineLevel="1" x14ac:dyDescent="0.4">
      <c r="A142" s="348"/>
      <c r="B142" s="348"/>
      <c r="C142" s="348"/>
      <c r="D142" s="350"/>
      <c r="E142" s="350"/>
      <c r="F142" s="350"/>
      <c r="G142" s="371"/>
      <c r="H142" s="450"/>
      <c r="I142" s="450"/>
      <c r="J142" s="448"/>
      <c r="K142" s="446"/>
      <c r="L142" s="446"/>
      <c r="M142" s="429"/>
      <c r="N142" s="209" t="s">
        <v>25</v>
      </c>
      <c r="O142" s="209">
        <f t="shared" si="336"/>
        <v>0</v>
      </c>
      <c r="P142" s="209">
        <f t="shared" si="336"/>
        <v>0</v>
      </c>
      <c r="Q142" s="209">
        <f t="shared" si="336"/>
        <v>0</v>
      </c>
      <c r="R142" s="209">
        <f t="shared" si="336"/>
        <v>0</v>
      </c>
      <c r="S142" s="209">
        <f t="shared" si="336"/>
        <v>0</v>
      </c>
      <c r="T142" s="209">
        <f t="shared" si="336"/>
        <v>0</v>
      </c>
      <c r="U142" s="209">
        <f t="shared" si="336"/>
        <v>0</v>
      </c>
      <c r="V142" s="209">
        <f t="shared" si="336"/>
        <v>0</v>
      </c>
      <c r="W142" s="209">
        <f t="shared" si="336"/>
        <v>0</v>
      </c>
      <c r="X142" s="53">
        <f t="shared" si="336"/>
        <v>0</v>
      </c>
      <c r="Y142" s="209">
        <f t="shared" si="338"/>
        <v>0</v>
      </c>
      <c r="Z142" s="209">
        <f t="shared" si="338"/>
        <v>0</v>
      </c>
      <c r="AA142" s="209">
        <f t="shared" si="338"/>
        <v>0</v>
      </c>
      <c r="AB142" s="209">
        <f t="shared" si="338"/>
        <v>0</v>
      </c>
      <c r="AC142" s="209">
        <f t="shared" si="338"/>
        <v>0</v>
      </c>
      <c r="AD142" s="209">
        <f t="shared" si="338"/>
        <v>0</v>
      </c>
      <c r="AE142" s="209">
        <f t="shared" si="334"/>
        <v>0</v>
      </c>
      <c r="AF142" s="209"/>
      <c r="AG142" s="209">
        <f t="shared" si="334"/>
        <v>0</v>
      </c>
      <c r="AH142" s="209">
        <f t="shared" si="334"/>
        <v>0</v>
      </c>
      <c r="AI142" s="58">
        <f t="shared" si="334"/>
        <v>0</v>
      </c>
      <c r="AJ142" s="209">
        <f t="shared" si="334"/>
        <v>0</v>
      </c>
      <c r="AK142" s="209">
        <f t="shared" si="334"/>
        <v>0</v>
      </c>
      <c r="AL142" s="209">
        <f t="shared" si="334"/>
        <v>0</v>
      </c>
      <c r="AM142" s="209">
        <f t="shared" si="334"/>
        <v>0</v>
      </c>
      <c r="AN142" s="209">
        <f t="shared" si="334"/>
        <v>0</v>
      </c>
      <c r="AO142" s="209">
        <f t="shared" si="334"/>
        <v>0</v>
      </c>
      <c r="AP142" s="209">
        <f t="shared" si="334"/>
        <v>0</v>
      </c>
      <c r="AQ142" s="209">
        <f t="shared" si="334"/>
        <v>0</v>
      </c>
      <c r="AR142" s="53">
        <f t="shared" si="334"/>
        <v>0</v>
      </c>
      <c r="AS142" s="65">
        <f t="shared" si="330"/>
        <v>0</v>
      </c>
      <c r="AT142" s="210">
        <f t="shared" si="330"/>
        <v>0</v>
      </c>
      <c r="AU142" s="210">
        <f t="shared" si="330"/>
        <v>0</v>
      </c>
      <c r="AV142" s="210">
        <f t="shared" si="330"/>
        <v>0</v>
      </c>
      <c r="AW142" s="280">
        <f t="shared" si="330"/>
        <v>0</v>
      </c>
      <c r="AX142" s="210">
        <f t="shared" si="339"/>
        <v>0</v>
      </c>
      <c r="AY142" s="210">
        <f t="shared" si="339"/>
        <v>0</v>
      </c>
      <c r="AZ142" s="210">
        <f t="shared" si="339"/>
        <v>0</v>
      </c>
      <c r="BA142" s="210">
        <f t="shared" si="339"/>
        <v>0</v>
      </c>
      <c r="BB142" s="53">
        <f t="shared" si="339"/>
        <v>0</v>
      </c>
      <c r="BC142" s="58">
        <f t="shared" si="340"/>
        <v>0</v>
      </c>
      <c r="BD142" s="209">
        <f t="shared" si="340"/>
        <v>0</v>
      </c>
      <c r="BE142" s="209">
        <f t="shared" si="340"/>
        <v>0</v>
      </c>
      <c r="BF142" s="209">
        <f t="shared" si="340"/>
        <v>0</v>
      </c>
      <c r="BG142" s="209">
        <f t="shared" si="340"/>
        <v>0</v>
      </c>
      <c r="BH142" s="209">
        <f t="shared" si="340"/>
        <v>0</v>
      </c>
      <c r="BI142" s="209">
        <f t="shared" si="340"/>
        <v>0</v>
      </c>
      <c r="BJ142" s="209">
        <f t="shared" si="341"/>
        <v>0</v>
      </c>
      <c r="BK142" s="209">
        <f t="shared" si="341"/>
        <v>0</v>
      </c>
      <c r="BL142" s="209">
        <f t="shared" si="341"/>
        <v>0</v>
      </c>
      <c r="BM142" s="58">
        <f t="shared" si="337"/>
        <v>0</v>
      </c>
      <c r="BN142" s="209">
        <f t="shared" si="337"/>
        <v>0</v>
      </c>
      <c r="BO142" s="209">
        <f t="shared" si="337"/>
        <v>0</v>
      </c>
      <c r="BP142" s="209">
        <f t="shared" si="337"/>
        <v>0</v>
      </c>
      <c r="BQ142" s="209">
        <f t="shared" si="337"/>
        <v>0</v>
      </c>
      <c r="BR142" s="209">
        <f t="shared" si="337"/>
        <v>0</v>
      </c>
      <c r="BS142" s="209">
        <f t="shared" si="337"/>
        <v>0</v>
      </c>
      <c r="BT142" s="209"/>
      <c r="BU142" s="209"/>
      <c r="BV142" s="209">
        <f t="shared" si="337"/>
        <v>0</v>
      </c>
      <c r="BW142" s="65">
        <f t="shared" si="342"/>
        <v>0</v>
      </c>
      <c r="BX142" s="209">
        <f t="shared" si="342"/>
        <v>0</v>
      </c>
      <c r="BY142" s="209">
        <f t="shared" si="342"/>
        <v>0</v>
      </c>
      <c r="BZ142" s="209">
        <f t="shared" si="342"/>
        <v>0</v>
      </c>
      <c r="CA142" s="209">
        <f t="shared" si="342"/>
        <v>0</v>
      </c>
      <c r="CB142" s="209">
        <f t="shared" si="343"/>
        <v>0</v>
      </c>
      <c r="CC142" s="209">
        <f t="shared" si="343"/>
        <v>0</v>
      </c>
      <c r="CD142" s="209">
        <f t="shared" si="343"/>
        <v>0</v>
      </c>
      <c r="CE142" s="209">
        <f t="shared" si="343"/>
        <v>0</v>
      </c>
      <c r="CF142" s="209">
        <f t="shared" si="343"/>
        <v>0</v>
      </c>
      <c r="CG142" s="65">
        <f t="shared" si="331"/>
        <v>0</v>
      </c>
      <c r="CH142" s="210">
        <f t="shared" si="331"/>
        <v>0</v>
      </c>
      <c r="CI142" s="210">
        <f t="shared" si="331"/>
        <v>0</v>
      </c>
      <c r="CJ142" s="210">
        <f t="shared" si="331"/>
        <v>0</v>
      </c>
      <c r="CK142" s="210">
        <f t="shared" si="331"/>
        <v>0</v>
      </c>
      <c r="CL142" s="210">
        <f t="shared" si="344"/>
        <v>0</v>
      </c>
      <c r="CM142" s="210">
        <f t="shared" si="344"/>
        <v>0</v>
      </c>
      <c r="CN142" s="210">
        <f t="shared" si="344"/>
        <v>0</v>
      </c>
      <c r="CO142" s="210">
        <f t="shared" si="344"/>
        <v>0</v>
      </c>
      <c r="CP142" s="66">
        <f t="shared" si="344"/>
        <v>0</v>
      </c>
      <c r="CQ142" s="65">
        <f t="shared" si="335"/>
        <v>0</v>
      </c>
      <c r="CR142" s="210">
        <f t="shared" si="335"/>
        <v>0</v>
      </c>
      <c r="CS142" s="210">
        <f t="shared" si="335"/>
        <v>0</v>
      </c>
      <c r="CT142" s="210">
        <f t="shared" si="335"/>
        <v>0</v>
      </c>
      <c r="CU142" s="210">
        <f t="shared" si="335"/>
        <v>0</v>
      </c>
      <c r="CV142" s="210">
        <f t="shared" si="345"/>
        <v>0</v>
      </c>
      <c r="CW142" s="210">
        <f t="shared" si="345"/>
        <v>0</v>
      </c>
      <c r="CX142" s="65">
        <f t="shared" si="346"/>
        <v>0</v>
      </c>
      <c r="CY142" s="210">
        <f t="shared" si="346"/>
        <v>0</v>
      </c>
      <c r="CZ142" s="210">
        <f t="shared" si="346"/>
        <v>0</v>
      </c>
      <c r="DA142" s="210">
        <f t="shared" si="346"/>
        <v>0</v>
      </c>
      <c r="DB142" s="210">
        <f t="shared" si="346"/>
        <v>0</v>
      </c>
      <c r="DC142" s="210">
        <f t="shared" si="347"/>
        <v>0</v>
      </c>
      <c r="DD142" s="209">
        <f t="shared" si="347"/>
        <v>0</v>
      </c>
      <c r="DE142" s="65">
        <f t="shared" si="332"/>
        <v>0</v>
      </c>
      <c r="DF142" s="210">
        <f t="shared" si="332"/>
        <v>0</v>
      </c>
      <c r="DG142" s="210">
        <f t="shared" si="332"/>
        <v>0</v>
      </c>
      <c r="DH142" s="210">
        <f t="shared" si="332"/>
        <v>0</v>
      </c>
      <c r="DI142" s="210">
        <f t="shared" si="332"/>
        <v>0</v>
      </c>
      <c r="DJ142" s="210">
        <f t="shared" si="348"/>
        <v>0</v>
      </c>
      <c r="DK142" s="210">
        <f t="shared" si="348"/>
        <v>0</v>
      </c>
      <c r="DL142" s="65">
        <f t="shared" si="333"/>
        <v>0</v>
      </c>
      <c r="DM142" s="210">
        <f t="shared" si="333"/>
        <v>0</v>
      </c>
      <c r="DN142" s="210">
        <f t="shared" si="333"/>
        <v>0</v>
      </c>
      <c r="DO142" s="210">
        <f t="shared" si="333"/>
        <v>0</v>
      </c>
      <c r="DP142" s="210">
        <f t="shared" si="333"/>
        <v>0</v>
      </c>
      <c r="DQ142" s="210">
        <f t="shared" si="349"/>
        <v>0</v>
      </c>
      <c r="DR142" s="210">
        <f t="shared" si="349"/>
        <v>0</v>
      </c>
      <c r="DS142" s="210">
        <f t="shared" si="349"/>
        <v>0</v>
      </c>
    </row>
    <row r="143" spans="1:124" s="201" customFormat="1" ht="26.25" hidden="1" customHeight="1" outlineLevel="1" collapsed="1" x14ac:dyDescent="0.4">
      <c r="A143" s="347">
        <v>69</v>
      </c>
      <c r="B143" s="347" t="s">
        <v>45</v>
      </c>
      <c r="C143" s="347" t="s">
        <v>346</v>
      </c>
      <c r="D143" s="349"/>
      <c r="E143" s="349"/>
      <c r="F143" s="349"/>
      <c r="G143" s="371"/>
      <c r="H143" s="449">
        <f>SUM(CQ143:CW143)</f>
        <v>0</v>
      </c>
      <c r="I143" s="449">
        <f>SUM(CQ144:CW144)</f>
        <v>0</v>
      </c>
      <c r="J143" s="447"/>
      <c r="K143" s="445"/>
      <c r="L143" s="445"/>
      <c r="M143" s="428"/>
      <c r="N143" s="21" t="s">
        <v>24</v>
      </c>
      <c r="O143" s="190">
        <f t="shared" si="336"/>
        <v>0</v>
      </c>
      <c r="P143" s="190">
        <f t="shared" si="336"/>
        <v>0</v>
      </c>
      <c r="Q143" s="190">
        <f t="shared" si="336"/>
        <v>0</v>
      </c>
      <c r="R143" s="190">
        <f t="shared" si="336"/>
        <v>0</v>
      </c>
      <c r="S143" s="190">
        <f t="shared" si="336"/>
        <v>0</v>
      </c>
      <c r="T143" s="190">
        <f t="shared" si="336"/>
        <v>0</v>
      </c>
      <c r="U143" s="190">
        <f t="shared" si="336"/>
        <v>0</v>
      </c>
      <c r="V143" s="190">
        <f t="shared" si="336"/>
        <v>0</v>
      </c>
      <c r="W143" s="190">
        <f t="shared" si="336"/>
        <v>0</v>
      </c>
      <c r="X143" s="86">
        <f t="shared" si="336"/>
        <v>0</v>
      </c>
      <c r="Y143" s="190">
        <f t="shared" si="338"/>
        <v>0</v>
      </c>
      <c r="Z143" s="190">
        <f t="shared" si="338"/>
        <v>0</v>
      </c>
      <c r="AA143" s="190">
        <f t="shared" si="338"/>
        <v>0</v>
      </c>
      <c r="AB143" s="190">
        <f t="shared" si="338"/>
        <v>0</v>
      </c>
      <c r="AC143" s="190">
        <f t="shared" si="338"/>
        <v>0</v>
      </c>
      <c r="AD143" s="190">
        <f t="shared" si="338"/>
        <v>0</v>
      </c>
      <c r="AE143" s="190">
        <f t="shared" si="334"/>
        <v>0</v>
      </c>
      <c r="AF143" s="190"/>
      <c r="AG143" s="190">
        <f t="shared" si="334"/>
        <v>0</v>
      </c>
      <c r="AH143" s="190">
        <f t="shared" si="334"/>
        <v>0</v>
      </c>
      <c r="AI143" s="77">
        <f t="shared" si="334"/>
        <v>0</v>
      </c>
      <c r="AJ143" s="190">
        <f t="shared" si="334"/>
        <v>0</v>
      </c>
      <c r="AK143" s="190">
        <f t="shared" si="334"/>
        <v>0</v>
      </c>
      <c r="AL143" s="190">
        <f t="shared" si="334"/>
        <v>0</v>
      </c>
      <c r="AM143" s="190">
        <f t="shared" si="334"/>
        <v>0</v>
      </c>
      <c r="AN143" s="190">
        <f t="shared" si="334"/>
        <v>0</v>
      </c>
      <c r="AO143" s="190">
        <f t="shared" si="334"/>
        <v>0</v>
      </c>
      <c r="AP143" s="190">
        <f t="shared" si="334"/>
        <v>0</v>
      </c>
      <c r="AQ143" s="190">
        <f t="shared" si="334"/>
        <v>0</v>
      </c>
      <c r="AR143" s="225">
        <f t="shared" si="334"/>
        <v>0</v>
      </c>
      <c r="AS143" s="23">
        <f t="shared" si="330"/>
        <v>0</v>
      </c>
      <c r="AT143" s="190">
        <f t="shared" si="330"/>
        <v>0</v>
      </c>
      <c r="AU143" s="190">
        <f t="shared" si="330"/>
        <v>0</v>
      </c>
      <c r="AV143" s="190">
        <f t="shared" si="330"/>
        <v>0</v>
      </c>
      <c r="AW143" s="190">
        <f t="shared" si="330"/>
        <v>0</v>
      </c>
      <c r="AX143" s="190">
        <f t="shared" si="339"/>
        <v>0</v>
      </c>
      <c r="AY143" s="190">
        <f t="shared" si="339"/>
        <v>0</v>
      </c>
      <c r="AZ143" s="190">
        <f t="shared" si="339"/>
        <v>0</v>
      </c>
      <c r="BA143" s="190">
        <f t="shared" si="339"/>
        <v>0</v>
      </c>
      <c r="BB143" s="225">
        <f t="shared" si="339"/>
        <v>0</v>
      </c>
      <c r="BC143" s="77">
        <f t="shared" si="340"/>
        <v>0</v>
      </c>
      <c r="BD143" s="190">
        <f t="shared" si="340"/>
        <v>0</v>
      </c>
      <c r="BE143" s="190">
        <f t="shared" si="340"/>
        <v>0</v>
      </c>
      <c r="BF143" s="190">
        <f t="shared" si="340"/>
        <v>0</v>
      </c>
      <c r="BG143" s="190">
        <f t="shared" si="340"/>
        <v>0</v>
      </c>
      <c r="BH143" s="190">
        <f t="shared" si="340"/>
        <v>0</v>
      </c>
      <c r="BI143" s="190">
        <f t="shared" si="340"/>
        <v>0</v>
      </c>
      <c r="BJ143" s="190">
        <f t="shared" si="341"/>
        <v>0</v>
      </c>
      <c r="BK143" s="190">
        <f t="shared" si="341"/>
        <v>0</v>
      </c>
      <c r="BL143" s="190">
        <f t="shared" si="341"/>
        <v>0</v>
      </c>
      <c r="BM143" s="77">
        <f t="shared" si="337"/>
        <v>0</v>
      </c>
      <c r="BN143" s="190">
        <f t="shared" si="337"/>
        <v>0</v>
      </c>
      <c r="BO143" s="190">
        <f t="shared" si="337"/>
        <v>0</v>
      </c>
      <c r="BP143" s="190">
        <f t="shared" si="337"/>
        <v>0</v>
      </c>
      <c r="BQ143" s="190">
        <f t="shared" si="337"/>
        <v>0</v>
      </c>
      <c r="BR143" s="190">
        <f t="shared" si="337"/>
        <v>0</v>
      </c>
      <c r="BS143" s="190">
        <f t="shared" si="337"/>
        <v>0</v>
      </c>
      <c r="BT143" s="190"/>
      <c r="BU143" s="190"/>
      <c r="BV143" s="190">
        <f t="shared" si="337"/>
        <v>0</v>
      </c>
      <c r="BW143" s="23">
        <f t="shared" si="342"/>
        <v>0</v>
      </c>
      <c r="BX143" s="190">
        <f t="shared" si="342"/>
        <v>0</v>
      </c>
      <c r="BY143" s="190">
        <f t="shared" si="342"/>
        <v>0</v>
      </c>
      <c r="BZ143" s="190">
        <f t="shared" si="342"/>
        <v>0</v>
      </c>
      <c r="CA143" s="190">
        <f t="shared" si="342"/>
        <v>0</v>
      </c>
      <c r="CB143" s="190">
        <f t="shared" si="343"/>
        <v>0</v>
      </c>
      <c r="CC143" s="190">
        <f t="shared" si="343"/>
        <v>0</v>
      </c>
      <c r="CD143" s="190">
        <f t="shared" si="343"/>
        <v>0</v>
      </c>
      <c r="CE143" s="190">
        <f t="shared" si="343"/>
        <v>0</v>
      </c>
      <c r="CF143" s="190">
        <f t="shared" si="343"/>
        <v>0</v>
      </c>
      <c r="CG143" s="23">
        <f t="shared" si="331"/>
        <v>0</v>
      </c>
      <c r="CH143" s="190">
        <f t="shared" si="331"/>
        <v>0</v>
      </c>
      <c r="CI143" s="190">
        <f t="shared" si="331"/>
        <v>0</v>
      </c>
      <c r="CJ143" s="190">
        <f t="shared" si="331"/>
        <v>0</v>
      </c>
      <c r="CK143" s="190">
        <f t="shared" si="331"/>
        <v>0</v>
      </c>
      <c r="CL143" s="190">
        <f t="shared" si="344"/>
        <v>0</v>
      </c>
      <c r="CM143" s="190">
        <f t="shared" si="344"/>
        <v>0</v>
      </c>
      <c r="CN143" s="190">
        <f t="shared" si="344"/>
        <v>0</v>
      </c>
      <c r="CO143" s="190">
        <f t="shared" si="344"/>
        <v>0</v>
      </c>
      <c r="CP143" s="21">
        <f t="shared" si="344"/>
        <v>0</v>
      </c>
      <c r="CQ143" s="23">
        <f t="shared" si="335"/>
        <v>0</v>
      </c>
      <c r="CR143" s="190">
        <f t="shared" si="335"/>
        <v>0</v>
      </c>
      <c r="CS143" s="190">
        <f t="shared" si="335"/>
        <v>0</v>
      </c>
      <c r="CT143" s="190">
        <f t="shared" si="335"/>
        <v>0</v>
      </c>
      <c r="CU143" s="190">
        <f t="shared" si="335"/>
        <v>0</v>
      </c>
      <c r="CV143" s="190">
        <f t="shared" si="345"/>
        <v>0</v>
      </c>
      <c r="CW143" s="190">
        <f t="shared" si="345"/>
        <v>0</v>
      </c>
      <c r="CX143" s="77">
        <f t="shared" si="346"/>
        <v>0</v>
      </c>
      <c r="CY143" s="190">
        <f t="shared" si="346"/>
        <v>0</v>
      </c>
      <c r="CZ143" s="190">
        <f t="shared" si="346"/>
        <v>0</v>
      </c>
      <c r="DA143" s="190">
        <f t="shared" si="346"/>
        <v>0</v>
      </c>
      <c r="DB143" s="190">
        <f t="shared" si="346"/>
        <v>0</v>
      </c>
      <c r="DC143" s="190">
        <f t="shared" si="347"/>
        <v>0</v>
      </c>
      <c r="DD143" s="190">
        <f t="shared" si="347"/>
        <v>0</v>
      </c>
      <c r="DE143" s="23">
        <f t="shared" si="332"/>
        <v>0</v>
      </c>
      <c r="DF143" s="190">
        <f t="shared" si="332"/>
        <v>0</v>
      </c>
      <c r="DG143" s="190">
        <f t="shared" si="332"/>
        <v>0</v>
      </c>
      <c r="DH143" s="190">
        <f t="shared" si="332"/>
        <v>0</v>
      </c>
      <c r="DI143" s="190">
        <f t="shared" si="332"/>
        <v>0</v>
      </c>
      <c r="DJ143" s="190">
        <f t="shared" si="348"/>
        <v>0</v>
      </c>
      <c r="DK143" s="190">
        <f t="shared" si="348"/>
        <v>0</v>
      </c>
      <c r="DL143" s="23">
        <f t="shared" si="333"/>
        <v>0</v>
      </c>
      <c r="DM143" s="190">
        <f t="shared" si="333"/>
        <v>0</v>
      </c>
      <c r="DN143" s="190">
        <f t="shared" si="333"/>
        <v>0</v>
      </c>
      <c r="DO143" s="190">
        <f t="shared" si="333"/>
        <v>0</v>
      </c>
      <c r="DP143" s="190">
        <f t="shared" si="333"/>
        <v>0</v>
      </c>
      <c r="DQ143" s="190">
        <f t="shared" si="349"/>
        <v>0</v>
      </c>
      <c r="DR143" s="190">
        <f t="shared" si="349"/>
        <v>0</v>
      </c>
      <c r="DS143" s="190">
        <f t="shared" si="349"/>
        <v>0</v>
      </c>
      <c r="DT143" s="54"/>
    </row>
    <row r="144" spans="1:124" s="201" customFormat="1" ht="26.25" hidden="1" customHeight="1" outlineLevel="1" x14ac:dyDescent="0.4">
      <c r="A144" s="348"/>
      <c r="B144" s="348"/>
      <c r="C144" s="348"/>
      <c r="D144" s="350"/>
      <c r="E144" s="350"/>
      <c r="F144" s="350"/>
      <c r="G144" s="371"/>
      <c r="H144" s="450"/>
      <c r="I144" s="450"/>
      <c r="J144" s="448"/>
      <c r="K144" s="446"/>
      <c r="L144" s="446"/>
      <c r="M144" s="429"/>
      <c r="N144" s="209" t="s">
        <v>25</v>
      </c>
      <c r="O144" s="209">
        <f t="shared" si="336"/>
        <v>0</v>
      </c>
      <c r="P144" s="209">
        <f t="shared" si="336"/>
        <v>0</v>
      </c>
      <c r="Q144" s="209">
        <f t="shared" si="336"/>
        <v>0</v>
      </c>
      <c r="R144" s="209">
        <f t="shared" si="336"/>
        <v>0</v>
      </c>
      <c r="S144" s="209">
        <f t="shared" si="336"/>
        <v>0</v>
      </c>
      <c r="T144" s="209">
        <f t="shared" si="336"/>
        <v>0</v>
      </c>
      <c r="U144" s="209">
        <f t="shared" si="336"/>
        <v>0</v>
      </c>
      <c r="V144" s="209">
        <f t="shared" si="336"/>
        <v>0</v>
      </c>
      <c r="W144" s="209">
        <f t="shared" si="336"/>
        <v>0</v>
      </c>
      <c r="X144" s="53">
        <f t="shared" si="336"/>
        <v>0</v>
      </c>
      <c r="Y144" s="209">
        <f t="shared" si="338"/>
        <v>0</v>
      </c>
      <c r="Z144" s="209">
        <f t="shared" si="338"/>
        <v>0</v>
      </c>
      <c r="AA144" s="209">
        <f t="shared" si="338"/>
        <v>0</v>
      </c>
      <c r="AB144" s="209">
        <f t="shared" si="338"/>
        <v>0</v>
      </c>
      <c r="AC144" s="209">
        <f t="shared" si="338"/>
        <v>0</v>
      </c>
      <c r="AD144" s="209">
        <f t="shared" si="338"/>
        <v>0</v>
      </c>
      <c r="AE144" s="209">
        <f t="shared" si="334"/>
        <v>0</v>
      </c>
      <c r="AF144" s="209"/>
      <c r="AG144" s="209">
        <f t="shared" si="334"/>
        <v>0</v>
      </c>
      <c r="AH144" s="209">
        <f t="shared" si="334"/>
        <v>0</v>
      </c>
      <c r="AI144" s="58">
        <f t="shared" si="334"/>
        <v>0</v>
      </c>
      <c r="AJ144" s="209">
        <f t="shared" si="334"/>
        <v>0</v>
      </c>
      <c r="AK144" s="209">
        <f t="shared" si="334"/>
        <v>0</v>
      </c>
      <c r="AL144" s="209">
        <f t="shared" si="334"/>
        <v>0</v>
      </c>
      <c r="AM144" s="209">
        <f t="shared" si="334"/>
        <v>0</v>
      </c>
      <c r="AN144" s="209">
        <f t="shared" si="334"/>
        <v>0</v>
      </c>
      <c r="AO144" s="209">
        <f t="shared" si="334"/>
        <v>0</v>
      </c>
      <c r="AP144" s="209">
        <f t="shared" si="334"/>
        <v>0</v>
      </c>
      <c r="AQ144" s="209">
        <f t="shared" si="334"/>
        <v>0</v>
      </c>
      <c r="AR144" s="53">
        <f t="shared" si="334"/>
        <v>0</v>
      </c>
      <c r="AS144" s="65">
        <f t="shared" si="330"/>
        <v>0</v>
      </c>
      <c r="AT144" s="210">
        <f t="shared" si="330"/>
        <v>0</v>
      </c>
      <c r="AU144" s="210">
        <f t="shared" si="330"/>
        <v>0</v>
      </c>
      <c r="AV144" s="210">
        <f t="shared" si="330"/>
        <v>0</v>
      </c>
      <c r="AW144" s="280">
        <f t="shared" si="330"/>
        <v>0</v>
      </c>
      <c r="AX144" s="210">
        <f t="shared" si="339"/>
        <v>0</v>
      </c>
      <c r="AY144" s="210">
        <f t="shared" si="339"/>
        <v>0</v>
      </c>
      <c r="AZ144" s="210">
        <f t="shared" si="339"/>
        <v>0</v>
      </c>
      <c r="BA144" s="210">
        <f t="shared" si="339"/>
        <v>0</v>
      </c>
      <c r="BB144" s="53">
        <f t="shared" si="339"/>
        <v>0</v>
      </c>
      <c r="BC144" s="58">
        <f t="shared" si="340"/>
        <v>0</v>
      </c>
      <c r="BD144" s="209">
        <f t="shared" si="340"/>
        <v>0</v>
      </c>
      <c r="BE144" s="209">
        <f t="shared" si="340"/>
        <v>0</v>
      </c>
      <c r="BF144" s="209">
        <f t="shared" si="340"/>
        <v>0</v>
      </c>
      <c r="BG144" s="209">
        <f t="shared" si="340"/>
        <v>0</v>
      </c>
      <c r="BH144" s="209">
        <f t="shared" si="340"/>
        <v>0</v>
      </c>
      <c r="BI144" s="209">
        <f t="shared" si="340"/>
        <v>0</v>
      </c>
      <c r="BJ144" s="209">
        <f t="shared" si="341"/>
        <v>0</v>
      </c>
      <c r="BK144" s="209">
        <f t="shared" si="341"/>
        <v>0</v>
      </c>
      <c r="BL144" s="209">
        <f t="shared" si="341"/>
        <v>0</v>
      </c>
      <c r="BM144" s="58">
        <f t="shared" si="337"/>
        <v>0</v>
      </c>
      <c r="BN144" s="209">
        <f t="shared" si="337"/>
        <v>0</v>
      </c>
      <c r="BO144" s="209">
        <f t="shared" si="337"/>
        <v>0</v>
      </c>
      <c r="BP144" s="209">
        <f t="shared" si="337"/>
        <v>0</v>
      </c>
      <c r="BQ144" s="209">
        <f t="shared" si="337"/>
        <v>0</v>
      </c>
      <c r="BR144" s="209">
        <f t="shared" si="337"/>
        <v>0</v>
      </c>
      <c r="BS144" s="209">
        <f t="shared" si="337"/>
        <v>0</v>
      </c>
      <c r="BT144" s="209"/>
      <c r="BU144" s="209"/>
      <c r="BV144" s="209">
        <f t="shared" si="337"/>
        <v>0</v>
      </c>
      <c r="BW144" s="65">
        <f t="shared" si="342"/>
        <v>0</v>
      </c>
      <c r="BX144" s="209">
        <f t="shared" si="342"/>
        <v>0</v>
      </c>
      <c r="BY144" s="209">
        <f t="shared" si="342"/>
        <v>0</v>
      </c>
      <c r="BZ144" s="209">
        <f t="shared" si="342"/>
        <v>0</v>
      </c>
      <c r="CA144" s="209">
        <f t="shared" si="342"/>
        <v>0</v>
      </c>
      <c r="CB144" s="209">
        <f t="shared" si="343"/>
        <v>0</v>
      </c>
      <c r="CC144" s="209">
        <f t="shared" si="343"/>
        <v>0</v>
      </c>
      <c r="CD144" s="209">
        <f t="shared" si="343"/>
        <v>0</v>
      </c>
      <c r="CE144" s="209">
        <f t="shared" si="343"/>
        <v>0</v>
      </c>
      <c r="CF144" s="209">
        <f t="shared" si="343"/>
        <v>0</v>
      </c>
      <c r="CG144" s="65">
        <f t="shared" si="331"/>
        <v>0</v>
      </c>
      <c r="CH144" s="210">
        <f t="shared" si="331"/>
        <v>0</v>
      </c>
      <c r="CI144" s="210">
        <f t="shared" si="331"/>
        <v>0</v>
      </c>
      <c r="CJ144" s="210">
        <f t="shared" si="331"/>
        <v>0</v>
      </c>
      <c r="CK144" s="210">
        <f t="shared" si="331"/>
        <v>0</v>
      </c>
      <c r="CL144" s="210">
        <f t="shared" si="344"/>
        <v>0</v>
      </c>
      <c r="CM144" s="210">
        <f t="shared" si="344"/>
        <v>0</v>
      </c>
      <c r="CN144" s="210">
        <f t="shared" si="344"/>
        <v>0</v>
      </c>
      <c r="CO144" s="210">
        <f t="shared" si="344"/>
        <v>0</v>
      </c>
      <c r="CP144" s="66">
        <f t="shared" si="344"/>
        <v>0</v>
      </c>
      <c r="CQ144" s="65">
        <f t="shared" si="335"/>
        <v>0</v>
      </c>
      <c r="CR144" s="210">
        <f t="shared" si="335"/>
        <v>0</v>
      </c>
      <c r="CS144" s="210">
        <f t="shared" si="335"/>
        <v>0</v>
      </c>
      <c r="CT144" s="210">
        <f t="shared" si="335"/>
        <v>0</v>
      </c>
      <c r="CU144" s="210">
        <f t="shared" si="335"/>
        <v>0</v>
      </c>
      <c r="CV144" s="210">
        <f t="shared" si="345"/>
        <v>0</v>
      </c>
      <c r="CW144" s="210">
        <f t="shared" si="345"/>
        <v>0</v>
      </c>
      <c r="CX144" s="65">
        <f t="shared" si="346"/>
        <v>0</v>
      </c>
      <c r="CY144" s="210">
        <f t="shared" si="346"/>
        <v>0</v>
      </c>
      <c r="CZ144" s="210">
        <f t="shared" si="346"/>
        <v>0</v>
      </c>
      <c r="DA144" s="210">
        <f t="shared" si="346"/>
        <v>0</v>
      </c>
      <c r="DB144" s="210">
        <f t="shared" si="346"/>
        <v>0</v>
      </c>
      <c r="DC144" s="210">
        <f t="shared" si="347"/>
        <v>0</v>
      </c>
      <c r="DD144" s="209">
        <f t="shared" si="347"/>
        <v>0</v>
      </c>
      <c r="DE144" s="65">
        <f t="shared" si="332"/>
        <v>0</v>
      </c>
      <c r="DF144" s="210">
        <f t="shared" si="332"/>
        <v>0</v>
      </c>
      <c r="DG144" s="210">
        <f t="shared" si="332"/>
        <v>0</v>
      </c>
      <c r="DH144" s="210">
        <f t="shared" si="332"/>
        <v>0</v>
      </c>
      <c r="DI144" s="210">
        <f t="shared" si="332"/>
        <v>0</v>
      </c>
      <c r="DJ144" s="210">
        <f t="shared" si="348"/>
        <v>0</v>
      </c>
      <c r="DK144" s="210">
        <f t="shared" si="348"/>
        <v>0</v>
      </c>
      <c r="DL144" s="65">
        <f t="shared" si="333"/>
        <v>0</v>
      </c>
      <c r="DM144" s="210">
        <f t="shared" si="333"/>
        <v>0</v>
      </c>
      <c r="DN144" s="210">
        <f t="shared" si="333"/>
        <v>0</v>
      </c>
      <c r="DO144" s="210">
        <f t="shared" si="333"/>
        <v>0</v>
      </c>
      <c r="DP144" s="210">
        <f t="shared" si="333"/>
        <v>0</v>
      </c>
      <c r="DQ144" s="210">
        <f t="shared" si="349"/>
        <v>0</v>
      </c>
      <c r="DR144" s="210">
        <f t="shared" si="349"/>
        <v>0</v>
      </c>
      <c r="DS144" s="210">
        <f t="shared" si="349"/>
        <v>0</v>
      </c>
    </row>
    <row r="145" spans="1:124" s="201" customFormat="1" ht="26.25" hidden="1" customHeight="1" outlineLevel="1" collapsed="1" x14ac:dyDescent="0.4">
      <c r="A145" s="347">
        <v>70</v>
      </c>
      <c r="B145" s="347" t="s">
        <v>45</v>
      </c>
      <c r="C145" s="347" t="s">
        <v>346</v>
      </c>
      <c r="D145" s="349"/>
      <c r="E145" s="349"/>
      <c r="F145" s="349"/>
      <c r="G145" s="371"/>
      <c r="H145" s="449">
        <f>SUM(CQ145:CW145)</f>
        <v>0</v>
      </c>
      <c r="I145" s="449">
        <f>SUM(CQ146:CW146)</f>
        <v>0</v>
      </c>
      <c r="J145" s="447"/>
      <c r="K145" s="445"/>
      <c r="L145" s="445"/>
      <c r="M145" s="428"/>
      <c r="N145" s="21" t="s">
        <v>24</v>
      </c>
      <c r="O145" s="190">
        <f t="shared" si="336"/>
        <v>0</v>
      </c>
      <c r="P145" s="190">
        <f t="shared" si="336"/>
        <v>0</v>
      </c>
      <c r="Q145" s="190">
        <f t="shared" si="336"/>
        <v>0</v>
      </c>
      <c r="R145" s="190">
        <f t="shared" si="336"/>
        <v>0</v>
      </c>
      <c r="S145" s="190">
        <f t="shared" si="336"/>
        <v>0</v>
      </c>
      <c r="T145" s="190">
        <f t="shared" si="336"/>
        <v>0</v>
      </c>
      <c r="U145" s="190">
        <f t="shared" si="336"/>
        <v>0</v>
      </c>
      <c r="V145" s="190">
        <f t="shared" si="336"/>
        <v>0</v>
      </c>
      <c r="W145" s="190">
        <f t="shared" si="336"/>
        <v>0</v>
      </c>
      <c r="X145" s="86">
        <f t="shared" si="336"/>
        <v>0</v>
      </c>
      <c r="Y145" s="190">
        <f t="shared" si="338"/>
        <v>0</v>
      </c>
      <c r="Z145" s="190">
        <f t="shared" si="338"/>
        <v>0</v>
      </c>
      <c r="AA145" s="190">
        <f t="shared" si="338"/>
        <v>0</v>
      </c>
      <c r="AB145" s="190">
        <f t="shared" si="338"/>
        <v>0</v>
      </c>
      <c r="AC145" s="190">
        <f t="shared" si="338"/>
        <v>0</v>
      </c>
      <c r="AD145" s="190">
        <f t="shared" si="338"/>
        <v>0</v>
      </c>
      <c r="AE145" s="190">
        <f t="shared" si="334"/>
        <v>0</v>
      </c>
      <c r="AF145" s="190"/>
      <c r="AG145" s="190">
        <f t="shared" si="334"/>
        <v>0</v>
      </c>
      <c r="AH145" s="190">
        <f t="shared" si="334"/>
        <v>0</v>
      </c>
      <c r="AI145" s="77">
        <f t="shared" si="334"/>
        <v>0</v>
      </c>
      <c r="AJ145" s="190">
        <f t="shared" si="334"/>
        <v>0</v>
      </c>
      <c r="AK145" s="190">
        <f t="shared" si="334"/>
        <v>0</v>
      </c>
      <c r="AL145" s="190">
        <f t="shared" si="334"/>
        <v>0</v>
      </c>
      <c r="AM145" s="190">
        <f t="shared" si="334"/>
        <v>0</v>
      </c>
      <c r="AN145" s="190">
        <f t="shared" si="334"/>
        <v>0</v>
      </c>
      <c r="AO145" s="190">
        <f t="shared" si="334"/>
        <v>0</v>
      </c>
      <c r="AP145" s="190">
        <f t="shared" si="334"/>
        <v>0</v>
      </c>
      <c r="AQ145" s="190">
        <f t="shared" si="334"/>
        <v>0</v>
      </c>
      <c r="AR145" s="225">
        <f t="shared" si="334"/>
        <v>0</v>
      </c>
      <c r="AS145" s="23">
        <f t="shared" si="330"/>
        <v>0</v>
      </c>
      <c r="AT145" s="190">
        <f t="shared" si="330"/>
        <v>0</v>
      </c>
      <c r="AU145" s="190">
        <f t="shared" si="330"/>
        <v>0</v>
      </c>
      <c r="AV145" s="190">
        <f t="shared" si="330"/>
        <v>0</v>
      </c>
      <c r="AW145" s="190">
        <f t="shared" si="330"/>
        <v>0</v>
      </c>
      <c r="AX145" s="190">
        <f t="shared" si="339"/>
        <v>0</v>
      </c>
      <c r="AY145" s="190">
        <f t="shared" si="339"/>
        <v>0</v>
      </c>
      <c r="AZ145" s="190">
        <f t="shared" si="339"/>
        <v>0</v>
      </c>
      <c r="BA145" s="190">
        <f t="shared" si="339"/>
        <v>0</v>
      </c>
      <c r="BB145" s="225">
        <f t="shared" si="339"/>
        <v>0</v>
      </c>
      <c r="BC145" s="77">
        <f t="shared" si="340"/>
        <v>0</v>
      </c>
      <c r="BD145" s="190">
        <f t="shared" si="340"/>
        <v>0</v>
      </c>
      <c r="BE145" s="190">
        <f t="shared" si="340"/>
        <v>0</v>
      </c>
      <c r="BF145" s="190">
        <f t="shared" si="340"/>
        <v>0</v>
      </c>
      <c r="BG145" s="190">
        <f t="shared" si="340"/>
        <v>0</v>
      </c>
      <c r="BH145" s="190">
        <f t="shared" si="340"/>
        <v>0</v>
      </c>
      <c r="BI145" s="190">
        <f t="shared" si="340"/>
        <v>0</v>
      </c>
      <c r="BJ145" s="190">
        <f t="shared" si="341"/>
        <v>0</v>
      </c>
      <c r="BK145" s="190">
        <f t="shared" si="341"/>
        <v>0</v>
      </c>
      <c r="BL145" s="190">
        <f t="shared" si="341"/>
        <v>0</v>
      </c>
      <c r="BM145" s="77">
        <f t="shared" si="337"/>
        <v>0</v>
      </c>
      <c r="BN145" s="190">
        <f t="shared" si="337"/>
        <v>0</v>
      </c>
      <c r="BO145" s="190">
        <f t="shared" si="337"/>
        <v>0</v>
      </c>
      <c r="BP145" s="190">
        <f t="shared" si="337"/>
        <v>0</v>
      </c>
      <c r="BQ145" s="190">
        <f t="shared" si="337"/>
        <v>0</v>
      </c>
      <c r="BR145" s="190">
        <f t="shared" si="337"/>
        <v>0</v>
      </c>
      <c r="BS145" s="190">
        <f t="shared" si="337"/>
        <v>0</v>
      </c>
      <c r="BT145" s="190"/>
      <c r="BU145" s="190"/>
      <c r="BV145" s="190">
        <f t="shared" si="337"/>
        <v>0</v>
      </c>
      <c r="BW145" s="23">
        <f t="shared" si="342"/>
        <v>0</v>
      </c>
      <c r="BX145" s="190">
        <f t="shared" si="342"/>
        <v>0</v>
      </c>
      <c r="BY145" s="190">
        <f t="shared" si="342"/>
        <v>0</v>
      </c>
      <c r="BZ145" s="190">
        <f t="shared" si="342"/>
        <v>0</v>
      </c>
      <c r="CA145" s="190">
        <f t="shared" si="342"/>
        <v>0</v>
      </c>
      <c r="CB145" s="190">
        <f t="shared" si="343"/>
        <v>0</v>
      </c>
      <c r="CC145" s="190">
        <f t="shared" si="343"/>
        <v>0</v>
      </c>
      <c r="CD145" s="190">
        <f t="shared" si="343"/>
        <v>0</v>
      </c>
      <c r="CE145" s="190">
        <f t="shared" si="343"/>
        <v>0</v>
      </c>
      <c r="CF145" s="190">
        <f t="shared" si="343"/>
        <v>0</v>
      </c>
      <c r="CG145" s="23">
        <f t="shared" ref="CG145:CK160" si="350">0/142.5</f>
        <v>0</v>
      </c>
      <c r="CH145" s="190">
        <f t="shared" si="350"/>
        <v>0</v>
      </c>
      <c r="CI145" s="190">
        <f t="shared" si="350"/>
        <v>0</v>
      </c>
      <c r="CJ145" s="190">
        <f t="shared" si="350"/>
        <v>0</v>
      </c>
      <c r="CK145" s="190">
        <f t="shared" si="350"/>
        <v>0</v>
      </c>
      <c r="CL145" s="190">
        <f t="shared" si="344"/>
        <v>0</v>
      </c>
      <c r="CM145" s="190">
        <f t="shared" si="344"/>
        <v>0</v>
      </c>
      <c r="CN145" s="190">
        <f t="shared" si="344"/>
        <v>0</v>
      </c>
      <c r="CO145" s="190">
        <f t="shared" si="344"/>
        <v>0</v>
      </c>
      <c r="CP145" s="21">
        <f t="shared" si="344"/>
        <v>0</v>
      </c>
      <c r="CQ145" s="23">
        <f t="shared" si="335"/>
        <v>0</v>
      </c>
      <c r="CR145" s="190">
        <f t="shared" si="335"/>
        <v>0</v>
      </c>
      <c r="CS145" s="190">
        <f t="shared" si="335"/>
        <v>0</v>
      </c>
      <c r="CT145" s="190">
        <f t="shared" si="335"/>
        <v>0</v>
      </c>
      <c r="CU145" s="190">
        <f t="shared" si="335"/>
        <v>0</v>
      </c>
      <c r="CV145" s="190">
        <f t="shared" si="345"/>
        <v>0</v>
      </c>
      <c r="CW145" s="190">
        <f t="shared" si="345"/>
        <v>0</v>
      </c>
      <c r="CX145" s="77">
        <f t="shared" si="346"/>
        <v>0</v>
      </c>
      <c r="CY145" s="190">
        <f t="shared" si="346"/>
        <v>0</v>
      </c>
      <c r="CZ145" s="190">
        <f t="shared" si="346"/>
        <v>0</v>
      </c>
      <c r="DA145" s="190">
        <f t="shared" si="346"/>
        <v>0</v>
      </c>
      <c r="DB145" s="190">
        <f t="shared" si="346"/>
        <v>0</v>
      </c>
      <c r="DC145" s="190">
        <f t="shared" si="347"/>
        <v>0</v>
      </c>
      <c r="DD145" s="190">
        <f t="shared" si="347"/>
        <v>0</v>
      </c>
      <c r="DE145" s="23">
        <f t="shared" ref="DE145:DI160" si="351">0/157.5</f>
        <v>0</v>
      </c>
      <c r="DF145" s="190">
        <f t="shared" si="351"/>
        <v>0</v>
      </c>
      <c r="DG145" s="190">
        <f t="shared" si="351"/>
        <v>0</v>
      </c>
      <c r="DH145" s="190">
        <f t="shared" si="351"/>
        <v>0</v>
      </c>
      <c r="DI145" s="190">
        <f t="shared" si="351"/>
        <v>0</v>
      </c>
      <c r="DJ145" s="190">
        <f t="shared" si="348"/>
        <v>0</v>
      </c>
      <c r="DK145" s="190">
        <f t="shared" si="348"/>
        <v>0</v>
      </c>
      <c r="DL145" s="23">
        <f t="shared" ref="DL145:DP160" si="352">0/142.5</f>
        <v>0</v>
      </c>
      <c r="DM145" s="190">
        <f t="shared" si="352"/>
        <v>0</v>
      </c>
      <c r="DN145" s="190">
        <f t="shared" si="352"/>
        <v>0</v>
      </c>
      <c r="DO145" s="190">
        <f t="shared" si="352"/>
        <v>0</v>
      </c>
      <c r="DP145" s="190">
        <f t="shared" si="352"/>
        <v>0</v>
      </c>
      <c r="DQ145" s="190">
        <f t="shared" si="349"/>
        <v>0</v>
      </c>
      <c r="DR145" s="190">
        <f t="shared" si="349"/>
        <v>0</v>
      </c>
      <c r="DS145" s="190">
        <f t="shared" si="349"/>
        <v>0</v>
      </c>
      <c r="DT145" s="54"/>
    </row>
    <row r="146" spans="1:124" s="201" customFormat="1" ht="26.25" hidden="1" customHeight="1" outlineLevel="1" x14ac:dyDescent="0.4">
      <c r="A146" s="348"/>
      <c r="B146" s="348"/>
      <c r="C146" s="348"/>
      <c r="D146" s="350"/>
      <c r="E146" s="350"/>
      <c r="F146" s="350"/>
      <c r="G146" s="371"/>
      <c r="H146" s="450"/>
      <c r="I146" s="450"/>
      <c r="J146" s="448"/>
      <c r="K146" s="446"/>
      <c r="L146" s="446"/>
      <c r="M146" s="429"/>
      <c r="N146" s="209" t="s">
        <v>25</v>
      </c>
      <c r="O146" s="209">
        <f t="shared" si="336"/>
        <v>0</v>
      </c>
      <c r="P146" s="209">
        <f t="shared" si="336"/>
        <v>0</v>
      </c>
      <c r="Q146" s="209">
        <f t="shared" si="336"/>
        <v>0</v>
      </c>
      <c r="R146" s="209">
        <f t="shared" si="336"/>
        <v>0</v>
      </c>
      <c r="S146" s="209">
        <f t="shared" si="336"/>
        <v>0</v>
      </c>
      <c r="T146" s="209">
        <f t="shared" si="336"/>
        <v>0</v>
      </c>
      <c r="U146" s="209">
        <f t="shared" si="336"/>
        <v>0</v>
      </c>
      <c r="V146" s="209">
        <f t="shared" si="336"/>
        <v>0</v>
      </c>
      <c r="W146" s="209">
        <f t="shared" si="336"/>
        <v>0</v>
      </c>
      <c r="X146" s="53">
        <f t="shared" si="336"/>
        <v>0</v>
      </c>
      <c r="Y146" s="209">
        <f t="shared" si="338"/>
        <v>0</v>
      </c>
      <c r="Z146" s="209">
        <f t="shared" si="338"/>
        <v>0</v>
      </c>
      <c r="AA146" s="209">
        <f t="shared" si="338"/>
        <v>0</v>
      </c>
      <c r="AB146" s="209">
        <f t="shared" si="338"/>
        <v>0</v>
      </c>
      <c r="AC146" s="209">
        <f t="shared" si="338"/>
        <v>0</v>
      </c>
      <c r="AD146" s="209">
        <f t="shared" si="338"/>
        <v>0</v>
      </c>
      <c r="AE146" s="209">
        <f t="shared" si="334"/>
        <v>0</v>
      </c>
      <c r="AF146" s="209"/>
      <c r="AG146" s="209">
        <f t="shared" si="334"/>
        <v>0</v>
      </c>
      <c r="AH146" s="209">
        <f t="shared" si="334"/>
        <v>0</v>
      </c>
      <c r="AI146" s="58">
        <f t="shared" si="334"/>
        <v>0</v>
      </c>
      <c r="AJ146" s="209">
        <f t="shared" si="334"/>
        <v>0</v>
      </c>
      <c r="AK146" s="209">
        <f t="shared" si="334"/>
        <v>0</v>
      </c>
      <c r="AL146" s="209">
        <f t="shared" si="334"/>
        <v>0</v>
      </c>
      <c r="AM146" s="209">
        <f t="shared" si="334"/>
        <v>0</v>
      </c>
      <c r="AN146" s="209">
        <f t="shared" si="334"/>
        <v>0</v>
      </c>
      <c r="AO146" s="209">
        <f t="shared" si="334"/>
        <v>0</v>
      </c>
      <c r="AP146" s="209">
        <f t="shared" si="334"/>
        <v>0</v>
      </c>
      <c r="AQ146" s="209">
        <f t="shared" si="334"/>
        <v>0</v>
      </c>
      <c r="AR146" s="53">
        <f t="shared" si="334"/>
        <v>0</v>
      </c>
      <c r="AS146" s="65">
        <f t="shared" si="330"/>
        <v>0</v>
      </c>
      <c r="AT146" s="210">
        <f t="shared" si="330"/>
        <v>0</v>
      </c>
      <c r="AU146" s="210">
        <f t="shared" si="330"/>
        <v>0</v>
      </c>
      <c r="AV146" s="210">
        <f t="shared" si="330"/>
        <v>0</v>
      </c>
      <c r="AW146" s="280">
        <f t="shared" si="330"/>
        <v>0</v>
      </c>
      <c r="AX146" s="210">
        <f t="shared" si="339"/>
        <v>0</v>
      </c>
      <c r="AY146" s="210">
        <f t="shared" si="339"/>
        <v>0</v>
      </c>
      <c r="AZ146" s="210">
        <f t="shared" si="339"/>
        <v>0</v>
      </c>
      <c r="BA146" s="210">
        <f t="shared" si="339"/>
        <v>0</v>
      </c>
      <c r="BB146" s="53">
        <f t="shared" si="339"/>
        <v>0</v>
      </c>
      <c r="BC146" s="58">
        <f t="shared" si="340"/>
        <v>0</v>
      </c>
      <c r="BD146" s="209">
        <f t="shared" si="340"/>
        <v>0</v>
      </c>
      <c r="BE146" s="209">
        <f t="shared" si="340"/>
        <v>0</v>
      </c>
      <c r="BF146" s="209">
        <f t="shared" si="340"/>
        <v>0</v>
      </c>
      <c r="BG146" s="209">
        <f t="shared" si="340"/>
        <v>0</v>
      </c>
      <c r="BH146" s="209">
        <f t="shared" si="340"/>
        <v>0</v>
      </c>
      <c r="BI146" s="209">
        <f t="shared" si="340"/>
        <v>0</v>
      </c>
      <c r="BJ146" s="209">
        <f t="shared" si="341"/>
        <v>0</v>
      </c>
      <c r="BK146" s="209">
        <f t="shared" si="341"/>
        <v>0</v>
      </c>
      <c r="BL146" s="209">
        <f t="shared" si="341"/>
        <v>0</v>
      </c>
      <c r="BM146" s="58">
        <f t="shared" si="337"/>
        <v>0</v>
      </c>
      <c r="BN146" s="209">
        <f t="shared" si="337"/>
        <v>0</v>
      </c>
      <c r="BO146" s="209">
        <f t="shared" si="337"/>
        <v>0</v>
      </c>
      <c r="BP146" s="209">
        <f t="shared" si="337"/>
        <v>0</v>
      </c>
      <c r="BQ146" s="209">
        <f t="shared" si="337"/>
        <v>0</v>
      </c>
      <c r="BR146" s="209">
        <f t="shared" si="337"/>
        <v>0</v>
      </c>
      <c r="BS146" s="209">
        <f t="shared" si="337"/>
        <v>0</v>
      </c>
      <c r="BT146" s="209"/>
      <c r="BU146" s="209"/>
      <c r="BV146" s="209">
        <f t="shared" si="337"/>
        <v>0</v>
      </c>
      <c r="BW146" s="65">
        <f t="shared" si="342"/>
        <v>0</v>
      </c>
      <c r="BX146" s="209">
        <f t="shared" si="342"/>
        <v>0</v>
      </c>
      <c r="BY146" s="209">
        <f t="shared" si="342"/>
        <v>0</v>
      </c>
      <c r="BZ146" s="209">
        <f t="shared" si="342"/>
        <v>0</v>
      </c>
      <c r="CA146" s="209">
        <f t="shared" si="342"/>
        <v>0</v>
      </c>
      <c r="CB146" s="209">
        <f t="shared" si="343"/>
        <v>0</v>
      </c>
      <c r="CC146" s="209">
        <f t="shared" si="343"/>
        <v>0</v>
      </c>
      <c r="CD146" s="209">
        <f t="shared" si="343"/>
        <v>0</v>
      </c>
      <c r="CE146" s="209">
        <f t="shared" si="343"/>
        <v>0</v>
      </c>
      <c r="CF146" s="209">
        <f t="shared" si="343"/>
        <v>0</v>
      </c>
      <c r="CG146" s="65">
        <f t="shared" si="350"/>
        <v>0</v>
      </c>
      <c r="CH146" s="210">
        <f t="shared" si="350"/>
        <v>0</v>
      </c>
      <c r="CI146" s="210">
        <f t="shared" si="350"/>
        <v>0</v>
      </c>
      <c r="CJ146" s="210">
        <f t="shared" si="350"/>
        <v>0</v>
      </c>
      <c r="CK146" s="210">
        <f t="shared" si="350"/>
        <v>0</v>
      </c>
      <c r="CL146" s="210">
        <f t="shared" si="344"/>
        <v>0</v>
      </c>
      <c r="CM146" s="210">
        <f t="shared" si="344"/>
        <v>0</v>
      </c>
      <c r="CN146" s="210">
        <f t="shared" si="344"/>
        <v>0</v>
      </c>
      <c r="CO146" s="210">
        <f t="shared" si="344"/>
        <v>0</v>
      </c>
      <c r="CP146" s="66">
        <f t="shared" si="344"/>
        <v>0</v>
      </c>
      <c r="CQ146" s="65">
        <f t="shared" si="335"/>
        <v>0</v>
      </c>
      <c r="CR146" s="210">
        <f t="shared" si="335"/>
        <v>0</v>
      </c>
      <c r="CS146" s="210">
        <f t="shared" si="335"/>
        <v>0</v>
      </c>
      <c r="CT146" s="210">
        <f t="shared" si="335"/>
        <v>0</v>
      </c>
      <c r="CU146" s="210">
        <f t="shared" si="335"/>
        <v>0</v>
      </c>
      <c r="CV146" s="210">
        <f t="shared" si="345"/>
        <v>0</v>
      </c>
      <c r="CW146" s="210">
        <f t="shared" si="345"/>
        <v>0</v>
      </c>
      <c r="CX146" s="65">
        <f t="shared" si="346"/>
        <v>0</v>
      </c>
      <c r="CY146" s="210">
        <f t="shared" si="346"/>
        <v>0</v>
      </c>
      <c r="CZ146" s="210">
        <f t="shared" si="346"/>
        <v>0</v>
      </c>
      <c r="DA146" s="210">
        <f t="shared" si="346"/>
        <v>0</v>
      </c>
      <c r="DB146" s="210">
        <f t="shared" si="346"/>
        <v>0</v>
      </c>
      <c r="DC146" s="210">
        <f t="shared" si="347"/>
        <v>0</v>
      </c>
      <c r="DD146" s="209">
        <f t="shared" si="347"/>
        <v>0</v>
      </c>
      <c r="DE146" s="65">
        <f t="shared" si="351"/>
        <v>0</v>
      </c>
      <c r="DF146" s="210">
        <f t="shared" si="351"/>
        <v>0</v>
      </c>
      <c r="DG146" s="210">
        <f t="shared" si="351"/>
        <v>0</v>
      </c>
      <c r="DH146" s="210">
        <f t="shared" si="351"/>
        <v>0</v>
      </c>
      <c r="DI146" s="210">
        <f t="shared" si="351"/>
        <v>0</v>
      </c>
      <c r="DJ146" s="210">
        <f t="shared" si="348"/>
        <v>0</v>
      </c>
      <c r="DK146" s="210">
        <f t="shared" si="348"/>
        <v>0</v>
      </c>
      <c r="DL146" s="65">
        <f t="shared" si="352"/>
        <v>0</v>
      </c>
      <c r="DM146" s="210">
        <f t="shared" si="352"/>
        <v>0</v>
      </c>
      <c r="DN146" s="210">
        <f t="shared" si="352"/>
        <v>0</v>
      </c>
      <c r="DO146" s="210">
        <f t="shared" si="352"/>
        <v>0</v>
      </c>
      <c r="DP146" s="210">
        <f t="shared" si="352"/>
        <v>0</v>
      </c>
      <c r="DQ146" s="210">
        <f t="shared" si="349"/>
        <v>0</v>
      </c>
      <c r="DR146" s="210">
        <f t="shared" si="349"/>
        <v>0</v>
      </c>
      <c r="DS146" s="228">
        <f t="shared" si="349"/>
        <v>0</v>
      </c>
    </row>
    <row r="147" spans="1:124" s="201" customFormat="1" ht="26.25" hidden="1" customHeight="1" outlineLevel="1" collapsed="1" x14ac:dyDescent="0.4">
      <c r="A147" s="347">
        <v>71</v>
      </c>
      <c r="B147" s="347" t="s">
        <v>45</v>
      </c>
      <c r="C147" s="347" t="s">
        <v>346</v>
      </c>
      <c r="D147" s="349"/>
      <c r="E147" s="349"/>
      <c r="F147" s="349"/>
      <c r="G147" s="371"/>
      <c r="H147" s="449">
        <f>SUM(CQ147:CW147)</f>
        <v>0</v>
      </c>
      <c r="I147" s="449">
        <f>SUM(CQ148:CW148)</f>
        <v>0</v>
      </c>
      <c r="J147" s="447"/>
      <c r="K147" s="445"/>
      <c r="L147" s="445"/>
      <c r="M147" s="428"/>
      <c r="N147" s="21" t="s">
        <v>24</v>
      </c>
      <c r="O147" s="190">
        <f t="shared" si="336"/>
        <v>0</v>
      </c>
      <c r="P147" s="190">
        <f t="shared" si="336"/>
        <v>0</v>
      </c>
      <c r="Q147" s="190">
        <f t="shared" si="336"/>
        <v>0</v>
      </c>
      <c r="R147" s="190">
        <f t="shared" si="336"/>
        <v>0</v>
      </c>
      <c r="S147" s="190">
        <f t="shared" si="336"/>
        <v>0</v>
      </c>
      <c r="T147" s="190">
        <f t="shared" si="336"/>
        <v>0</v>
      </c>
      <c r="U147" s="190">
        <f t="shared" si="336"/>
        <v>0</v>
      </c>
      <c r="V147" s="190">
        <f t="shared" si="336"/>
        <v>0</v>
      </c>
      <c r="W147" s="190">
        <f t="shared" si="336"/>
        <v>0</v>
      </c>
      <c r="X147" s="86">
        <f t="shared" si="336"/>
        <v>0</v>
      </c>
      <c r="Y147" s="190">
        <f t="shared" si="338"/>
        <v>0</v>
      </c>
      <c r="Z147" s="190">
        <f t="shared" si="338"/>
        <v>0</v>
      </c>
      <c r="AA147" s="190">
        <f t="shared" si="338"/>
        <v>0</v>
      </c>
      <c r="AB147" s="190">
        <f t="shared" si="338"/>
        <v>0</v>
      </c>
      <c r="AC147" s="190">
        <f t="shared" si="338"/>
        <v>0</v>
      </c>
      <c r="AD147" s="190">
        <f t="shared" si="338"/>
        <v>0</v>
      </c>
      <c r="AE147" s="190">
        <f t="shared" ref="AE147:AR166" si="353">0/165</f>
        <v>0</v>
      </c>
      <c r="AF147" s="190"/>
      <c r="AG147" s="190">
        <f t="shared" si="353"/>
        <v>0</v>
      </c>
      <c r="AH147" s="190">
        <f t="shared" si="353"/>
        <v>0</v>
      </c>
      <c r="AI147" s="77">
        <f t="shared" si="353"/>
        <v>0</v>
      </c>
      <c r="AJ147" s="190">
        <f t="shared" si="353"/>
        <v>0</v>
      </c>
      <c r="AK147" s="190">
        <f t="shared" si="353"/>
        <v>0</v>
      </c>
      <c r="AL147" s="190">
        <f t="shared" si="353"/>
        <v>0</v>
      </c>
      <c r="AM147" s="190">
        <f t="shared" si="353"/>
        <v>0</v>
      </c>
      <c r="AN147" s="190">
        <f t="shared" si="353"/>
        <v>0</v>
      </c>
      <c r="AO147" s="190">
        <f t="shared" si="353"/>
        <v>0</v>
      </c>
      <c r="AP147" s="190">
        <f t="shared" si="353"/>
        <v>0</v>
      </c>
      <c r="AQ147" s="190">
        <f t="shared" si="353"/>
        <v>0</v>
      </c>
      <c r="AR147" s="225">
        <f t="shared" si="353"/>
        <v>0</v>
      </c>
      <c r="AS147" s="23">
        <f t="shared" si="330"/>
        <v>0</v>
      </c>
      <c r="AT147" s="190">
        <f t="shared" si="330"/>
        <v>0</v>
      </c>
      <c r="AU147" s="190">
        <f t="shared" si="330"/>
        <v>0</v>
      </c>
      <c r="AV147" s="190">
        <f t="shared" si="330"/>
        <v>0</v>
      </c>
      <c r="AW147" s="190">
        <f t="shared" si="330"/>
        <v>0</v>
      </c>
      <c r="AX147" s="190">
        <f t="shared" si="339"/>
        <v>0</v>
      </c>
      <c r="AY147" s="190">
        <f t="shared" si="339"/>
        <v>0</v>
      </c>
      <c r="AZ147" s="190">
        <f t="shared" si="339"/>
        <v>0</v>
      </c>
      <c r="BA147" s="190">
        <f t="shared" si="339"/>
        <v>0</v>
      </c>
      <c r="BB147" s="225">
        <f t="shared" si="339"/>
        <v>0</v>
      </c>
      <c r="BC147" s="77">
        <f t="shared" si="340"/>
        <v>0</v>
      </c>
      <c r="BD147" s="190">
        <f t="shared" si="340"/>
        <v>0</v>
      </c>
      <c r="BE147" s="190">
        <f t="shared" si="340"/>
        <v>0</v>
      </c>
      <c r="BF147" s="190">
        <f t="shared" si="340"/>
        <v>0</v>
      </c>
      <c r="BG147" s="190">
        <f t="shared" si="340"/>
        <v>0</v>
      </c>
      <c r="BH147" s="190">
        <f t="shared" si="340"/>
        <v>0</v>
      </c>
      <c r="BI147" s="190">
        <f t="shared" si="340"/>
        <v>0</v>
      </c>
      <c r="BJ147" s="190">
        <f t="shared" si="341"/>
        <v>0</v>
      </c>
      <c r="BK147" s="190">
        <f t="shared" si="341"/>
        <v>0</v>
      </c>
      <c r="BL147" s="190">
        <f t="shared" si="341"/>
        <v>0</v>
      </c>
      <c r="BM147" s="77">
        <f t="shared" si="337"/>
        <v>0</v>
      </c>
      <c r="BN147" s="190">
        <f t="shared" si="337"/>
        <v>0</v>
      </c>
      <c r="BO147" s="190">
        <f t="shared" si="337"/>
        <v>0</v>
      </c>
      <c r="BP147" s="190">
        <f t="shared" si="337"/>
        <v>0</v>
      </c>
      <c r="BQ147" s="190">
        <f t="shared" si="337"/>
        <v>0</v>
      </c>
      <c r="BR147" s="190">
        <f t="shared" si="337"/>
        <v>0</v>
      </c>
      <c r="BS147" s="190">
        <f t="shared" si="337"/>
        <v>0</v>
      </c>
      <c r="BT147" s="190"/>
      <c r="BU147" s="190"/>
      <c r="BV147" s="190">
        <f t="shared" si="337"/>
        <v>0</v>
      </c>
      <c r="BW147" s="23">
        <f t="shared" si="342"/>
        <v>0</v>
      </c>
      <c r="BX147" s="190">
        <f t="shared" si="342"/>
        <v>0</v>
      </c>
      <c r="BY147" s="190">
        <f t="shared" si="342"/>
        <v>0</v>
      </c>
      <c r="BZ147" s="190">
        <f t="shared" si="342"/>
        <v>0</v>
      </c>
      <c r="CA147" s="190">
        <f t="shared" si="342"/>
        <v>0</v>
      </c>
      <c r="CB147" s="190">
        <f t="shared" si="343"/>
        <v>0</v>
      </c>
      <c r="CC147" s="190">
        <f t="shared" si="343"/>
        <v>0</v>
      </c>
      <c r="CD147" s="190">
        <f t="shared" si="343"/>
        <v>0</v>
      </c>
      <c r="CE147" s="190">
        <f t="shared" si="343"/>
        <v>0</v>
      </c>
      <c r="CF147" s="190">
        <f t="shared" si="343"/>
        <v>0</v>
      </c>
      <c r="CG147" s="23">
        <f t="shared" si="350"/>
        <v>0</v>
      </c>
      <c r="CH147" s="190">
        <f t="shared" si="350"/>
        <v>0</v>
      </c>
      <c r="CI147" s="190">
        <f t="shared" si="350"/>
        <v>0</v>
      </c>
      <c r="CJ147" s="190">
        <f t="shared" si="350"/>
        <v>0</v>
      </c>
      <c r="CK147" s="190">
        <f t="shared" si="350"/>
        <v>0</v>
      </c>
      <c r="CL147" s="190">
        <f t="shared" si="344"/>
        <v>0</v>
      </c>
      <c r="CM147" s="190">
        <f t="shared" si="344"/>
        <v>0</v>
      </c>
      <c r="CN147" s="190">
        <f t="shared" si="344"/>
        <v>0</v>
      </c>
      <c r="CO147" s="190">
        <f t="shared" si="344"/>
        <v>0</v>
      </c>
      <c r="CP147" s="21">
        <f t="shared" si="344"/>
        <v>0</v>
      </c>
      <c r="CQ147" s="23">
        <f t="shared" ref="CQ147:CU162" si="354">0/157.5</f>
        <v>0</v>
      </c>
      <c r="CR147" s="190">
        <f t="shared" si="354"/>
        <v>0</v>
      </c>
      <c r="CS147" s="190">
        <f t="shared" si="354"/>
        <v>0</v>
      </c>
      <c r="CT147" s="190">
        <f t="shared" si="354"/>
        <v>0</v>
      </c>
      <c r="CU147" s="190">
        <f t="shared" si="354"/>
        <v>0</v>
      </c>
      <c r="CV147" s="190">
        <f t="shared" si="345"/>
        <v>0</v>
      </c>
      <c r="CW147" s="190">
        <f t="shared" si="345"/>
        <v>0</v>
      </c>
      <c r="CX147" s="77">
        <f t="shared" si="346"/>
        <v>0</v>
      </c>
      <c r="CY147" s="190">
        <f t="shared" si="346"/>
        <v>0</v>
      </c>
      <c r="CZ147" s="190">
        <f t="shared" si="346"/>
        <v>0</v>
      </c>
      <c r="DA147" s="190">
        <f t="shared" si="346"/>
        <v>0</v>
      </c>
      <c r="DB147" s="190">
        <f t="shared" si="346"/>
        <v>0</v>
      </c>
      <c r="DC147" s="190">
        <f t="shared" si="347"/>
        <v>0</v>
      </c>
      <c r="DD147" s="190">
        <f t="shared" si="347"/>
        <v>0</v>
      </c>
      <c r="DE147" s="23">
        <f t="shared" si="351"/>
        <v>0</v>
      </c>
      <c r="DF147" s="190">
        <f t="shared" si="351"/>
        <v>0</v>
      </c>
      <c r="DG147" s="190">
        <f t="shared" si="351"/>
        <v>0</v>
      </c>
      <c r="DH147" s="190">
        <f t="shared" si="351"/>
        <v>0</v>
      </c>
      <c r="DI147" s="190">
        <f t="shared" si="351"/>
        <v>0</v>
      </c>
      <c r="DJ147" s="190">
        <f t="shared" si="348"/>
        <v>0</v>
      </c>
      <c r="DK147" s="190">
        <f t="shared" si="348"/>
        <v>0</v>
      </c>
      <c r="DL147" s="23">
        <f t="shared" si="352"/>
        <v>0</v>
      </c>
      <c r="DM147" s="190">
        <f t="shared" si="352"/>
        <v>0</v>
      </c>
      <c r="DN147" s="190">
        <f t="shared" si="352"/>
        <v>0</v>
      </c>
      <c r="DO147" s="190">
        <f t="shared" si="352"/>
        <v>0</v>
      </c>
      <c r="DP147" s="190">
        <f t="shared" si="352"/>
        <v>0</v>
      </c>
      <c r="DQ147" s="190">
        <f t="shared" si="349"/>
        <v>0</v>
      </c>
      <c r="DR147" s="190">
        <f t="shared" si="349"/>
        <v>0</v>
      </c>
      <c r="DS147" s="190">
        <f t="shared" si="349"/>
        <v>0</v>
      </c>
      <c r="DT147" s="54"/>
    </row>
    <row r="148" spans="1:124" s="201" customFormat="1" ht="26.25" hidden="1" customHeight="1" outlineLevel="1" x14ac:dyDescent="0.4">
      <c r="A148" s="348"/>
      <c r="B148" s="348"/>
      <c r="C148" s="348"/>
      <c r="D148" s="350"/>
      <c r="E148" s="350"/>
      <c r="F148" s="350"/>
      <c r="G148" s="371"/>
      <c r="H148" s="450"/>
      <c r="I148" s="450"/>
      <c r="J148" s="448"/>
      <c r="K148" s="446"/>
      <c r="L148" s="446"/>
      <c r="M148" s="429"/>
      <c r="N148" s="209" t="s">
        <v>25</v>
      </c>
      <c r="O148" s="209">
        <f t="shared" si="336"/>
        <v>0</v>
      </c>
      <c r="P148" s="209">
        <f t="shared" si="336"/>
        <v>0</v>
      </c>
      <c r="Q148" s="209">
        <f t="shared" si="336"/>
        <v>0</v>
      </c>
      <c r="R148" s="209">
        <f t="shared" si="336"/>
        <v>0</v>
      </c>
      <c r="S148" s="209">
        <f t="shared" si="336"/>
        <v>0</v>
      </c>
      <c r="T148" s="209">
        <f t="shared" si="336"/>
        <v>0</v>
      </c>
      <c r="U148" s="209">
        <f t="shared" si="336"/>
        <v>0</v>
      </c>
      <c r="V148" s="209">
        <f t="shared" si="336"/>
        <v>0</v>
      </c>
      <c r="W148" s="209">
        <f t="shared" si="336"/>
        <v>0</v>
      </c>
      <c r="X148" s="53">
        <f t="shared" si="336"/>
        <v>0</v>
      </c>
      <c r="Y148" s="209">
        <f t="shared" si="338"/>
        <v>0</v>
      </c>
      <c r="Z148" s="209">
        <f t="shared" si="338"/>
        <v>0</v>
      </c>
      <c r="AA148" s="209">
        <f t="shared" si="338"/>
        <v>0</v>
      </c>
      <c r="AB148" s="209">
        <f t="shared" si="338"/>
        <v>0</v>
      </c>
      <c r="AC148" s="209">
        <f t="shared" si="338"/>
        <v>0</v>
      </c>
      <c r="AD148" s="209">
        <f t="shared" si="338"/>
        <v>0</v>
      </c>
      <c r="AE148" s="209">
        <f t="shared" si="353"/>
        <v>0</v>
      </c>
      <c r="AF148" s="209"/>
      <c r="AG148" s="209">
        <f t="shared" si="353"/>
        <v>0</v>
      </c>
      <c r="AH148" s="209">
        <f t="shared" si="353"/>
        <v>0</v>
      </c>
      <c r="AI148" s="58">
        <f t="shared" si="353"/>
        <v>0</v>
      </c>
      <c r="AJ148" s="209">
        <f t="shared" si="353"/>
        <v>0</v>
      </c>
      <c r="AK148" s="209">
        <f t="shared" si="353"/>
        <v>0</v>
      </c>
      <c r="AL148" s="209">
        <f t="shared" si="353"/>
        <v>0</v>
      </c>
      <c r="AM148" s="209">
        <f t="shared" si="353"/>
        <v>0</v>
      </c>
      <c r="AN148" s="209">
        <f t="shared" si="353"/>
        <v>0</v>
      </c>
      <c r="AO148" s="209">
        <f t="shared" si="353"/>
        <v>0</v>
      </c>
      <c r="AP148" s="209">
        <f t="shared" si="353"/>
        <v>0</v>
      </c>
      <c r="AQ148" s="209">
        <f t="shared" si="353"/>
        <v>0</v>
      </c>
      <c r="AR148" s="53">
        <f t="shared" si="353"/>
        <v>0</v>
      </c>
      <c r="AS148" s="65">
        <f t="shared" ref="AS148:AW166" si="355">0/150</f>
        <v>0</v>
      </c>
      <c r="AT148" s="210">
        <f t="shared" si="355"/>
        <v>0</v>
      </c>
      <c r="AU148" s="210">
        <f t="shared" si="355"/>
        <v>0</v>
      </c>
      <c r="AV148" s="210">
        <f t="shared" si="355"/>
        <v>0</v>
      </c>
      <c r="AW148" s="280">
        <f t="shared" si="355"/>
        <v>0</v>
      </c>
      <c r="AX148" s="210">
        <f t="shared" si="339"/>
        <v>0</v>
      </c>
      <c r="AY148" s="210">
        <f t="shared" si="339"/>
        <v>0</v>
      </c>
      <c r="AZ148" s="210">
        <f t="shared" si="339"/>
        <v>0</v>
      </c>
      <c r="BA148" s="210">
        <f t="shared" si="339"/>
        <v>0</v>
      </c>
      <c r="BB148" s="53">
        <f t="shared" si="339"/>
        <v>0</v>
      </c>
      <c r="BC148" s="58">
        <f t="shared" si="340"/>
        <v>0</v>
      </c>
      <c r="BD148" s="209">
        <f t="shared" si="340"/>
        <v>0</v>
      </c>
      <c r="BE148" s="209">
        <f t="shared" si="340"/>
        <v>0</v>
      </c>
      <c r="BF148" s="209">
        <f t="shared" si="340"/>
        <v>0</v>
      </c>
      <c r="BG148" s="209">
        <f t="shared" si="340"/>
        <v>0</v>
      </c>
      <c r="BH148" s="209">
        <f t="shared" si="340"/>
        <v>0</v>
      </c>
      <c r="BI148" s="209">
        <f t="shared" si="340"/>
        <v>0</v>
      </c>
      <c r="BJ148" s="209">
        <f t="shared" si="341"/>
        <v>0</v>
      </c>
      <c r="BK148" s="209">
        <f t="shared" si="341"/>
        <v>0</v>
      </c>
      <c r="BL148" s="209">
        <f t="shared" si="341"/>
        <v>0</v>
      </c>
      <c r="BM148" s="58">
        <f t="shared" si="337"/>
        <v>0</v>
      </c>
      <c r="BN148" s="209">
        <f t="shared" si="337"/>
        <v>0</v>
      </c>
      <c r="BO148" s="209">
        <f t="shared" si="337"/>
        <v>0</v>
      </c>
      <c r="BP148" s="209">
        <f t="shared" si="337"/>
        <v>0</v>
      </c>
      <c r="BQ148" s="209">
        <f t="shared" si="337"/>
        <v>0</v>
      </c>
      <c r="BR148" s="209">
        <f t="shared" si="337"/>
        <v>0</v>
      </c>
      <c r="BS148" s="209">
        <f t="shared" si="337"/>
        <v>0</v>
      </c>
      <c r="BT148" s="209"/>
      <c r="BU148" s="209"/>
      <c r="BV148" s="209">
        <f t="shared" si="337"/>
        <v>0</v>
      </c>
      <c r="BW148" s="65">
        <f t="shared" si="342"/>
        <v>0</v>
      </c>
      <c r="BX148" s="209">
        <f t="shared" si="342"/>
        <v>0</v>
      </c>
      <c r="BY148" s="209">
        <f t="shared" si="342"/>
        <v>0</v>
      </c>
      <c r="BZ148" s="209">
        <f t="shared" si="342"/>
        <v>0</v>
      </c>
      <c r="CA148" s="209">
        <f t="shared" si="342"/>
        <v>0</v>
      </c>
      <c r="CB148" s="209">
        <f t="shared" si="343"/>
        <v>0</v>
      </c>
      <c r="CC148" s="209">
        <f t="shared" si="343"/>
        <v>0</v>
      </c>
      <c r="CD148" s="209">
        <f t="shared" si="343"/>
        <v>0</v>
      </c>
      <c r="CE148" s="209">
        <f t="shared" si="343"/>
        <v>0</v>
      </c>
      <c r="CF148" s="209">
        <f t="shared" si="343"/>
        <v>0</v>
      </c>
      <c r="CG148" s="65">
        <f t="shared" si="350"/>
        <v>0</v>
      </c>
      <c r="CH148" s="210">
        <f t="shared" si="350"/>
        <v>0</v>
      </c>
      <c r="CI148" s="210">
        <f t="shared" si="350"/>
        <v>0</v>
      </c>
      <c r="CJ148" s="210">
        <f t="shared" si="350"/>
        <v>0</v>
      </c>
      <c r="CK148" s="210">
        <f t="shared" si="350"/>
        <v>0</v>
      </c>
      <c r="CL148" s="210">
        <f t="shared" si="344"/>
        <v>0</v>
      </c>
      <c r="CM148" s="210">
        <f t="shared" si="344"/>
        <v>0</v>
      </c>
      <c r="CN148" s="210">
        <f t="shared" si="344"/>
        <v>0</v>
      </c>
      <c r="CO148" s="210">
        <f t="shared" si="344"/>
        <v>0</v>
      </c>
      <c r="CP148" s="66">
        <f t="shared" si="344"/>
        <v>0</v>
      </c>
      <c r="CQ148" s="65">
        <f t="shared" si="354"/>
        <v>0</v>
      </c>
      <c r="CR148" s="210">
        <f t="shared" si="354"/>
        <v>0</v>
      </c>
      <c r="CS148" s="210">
        <f t="shared" si="354"/>
        <v>0</v>
      </c>
      <c r="CT148" s="210">
        <f t="shared" si="354"/>
        <v>0</v>
      </c>
      <c r="CU148" s="210">
        <f t="shared" si="354"/>
        <v>0</v>
      </c>
      <c r="CV148" s="210">
        <f t="shared" si="345"/>
        <v>0</v>
      </c>
      <c r="CW148" s="210">
        <f t="shared" si="345"/>
        <v>0</v>
      </c>
      <c r="CX148" s="65">
        <f t="shared" si="346"/>
        <v>0</v>
      </c>
      <c r="CY148" s="210">
        <f t="shared" si="346"/>
        <v>0</v>
      </c>
      <c r="CZ148" s="210">
        <f t="shared" si="346"/>
        <v>0</v>
      </c>
      <c r="DA148" s="210">
        <f t="shared" si="346"/>
        <v>0</v>
      </c>
      <c r="DB148" s="210">
        <f t="shared" si="346"/>
        <v>0</v>
      </c>
      <c r="DC148" s="210">
        <f t="shared" si="347"/>
        <v>0</v>
      </c>
      <c r="DD148" s="209">
        <f t="shared" si="347"/>
        <v>0</v>
      </c>
      <c r="DE148" s="65">
        <f t="shared" si="351"/>
        <v>0</v>
      </c>
      <c r="DF148" s="210">
        <f t="shared" si="351"/>
        <v>0</v>
      </c>
      <c r="DG148" s="210">
        <f t="shared" si="351"/>
        <v>0</v>
      </c>
      <c r="DH148" s="210">
        <f t="shared" si="351"/>
        <v>0</v>
      </c>
      <c r="DI148" s="210">
        <f t="shared" si="351"/>
        <v>0</v>
      </c>
      <c r="DJ148" s="210">
        <f t="shared" si="348"/>
        <v>0</v>
      </c>
      <c r="DK148" s="210">
        <f t="shared" si="348"/>
        <v>0</v>
      </c>
      <c r="DL148" s="65">
        <f t="shared" si="352"/>
        <v>0</v>
      </c>
      <c r="DM148" s="210">
        <f t="shared" si="352"/>
        <v>0</v>
      </c>
      <c r="DN148" s="210">
        <f t="shared" si="352"/>
        <v>0</v>
      </c>
      <c r="DO148" s="210">
        <f t="shared" si="352"/>
        <v>0</v>
      </c>
      <c r="DP148" s="210">
        <f t="shared" si="352"/>
        <v>0</v>
      </c>
      <c r="DQ148" s="210">
        <f t="shared" si="349"/>
        <v>0</v>
      </c>
      <c r="DR148" s="210">
        <f t="shared" si="349"/>
        <v>0</v>
      </c>
      <c r="DS148" s="210">
        <f t="shared" si="349"/>
        <v>0</v>
      </c>
    </row>
    <row r="149" spans="1:124" s="201" customFormat="1" ht="26.25" hidden="1" customHeight="1" outlineLevel="1" collapsed="1" x14ac:dyDescent="0.4">
      <c r="A149" s="347">
        <v>72</v>
      </c>
      <c r="B149" s="347" t="s">
        <v>45</v>
      </c>
      <c r="C149" s="347" t="s">
        <v>346</v>
      </c>
      <c r="D149" s="349"/>
      <c r="E149" s="349"/>
      <c r="F149" s="349"/>
      <c r="G149" s="371"/>
      <c r="H149" s="449">
        <f>SUM(CQ149:CW149)</f>
        <v>0</v>
      </c>
      <c r="I149" s="449">
        <f>SUM(CQ150:CW150)</f>
        <v>0</v>
      </c>
      <c r="J149" s="447"/>
      <c r="K149" s="445"/>
      <c r="L149" s="445"/>
      <c r="M149" s="428"/>
      <c r="N149" s="21" t="s">
        <v>24</v>
      </c>
      <c r="O149" s="190">
        <f t="shared" si="336"/>
        <v>0</v>
      </c>
      <c r="P149" s="190">
        <f t="shared" si="336"/>
        <v>0</v>
      </c>
      <c r="Q149" s="190">
        <f t="shared" si="336"/>
        <v>0</v>
      </c>
      <c r="R149" s="190">
        <f t="shared" si="336"/>
        <v>0</v>
      </c>
      <c r="S149" s="190">
        <f t="shared" si="336"/>
        <v>0</v>
      </c>
      <c r="T149" s="190">
        <f t="shared" si="336"/>
        <v>0</v>
      </c>
      <c r="U149" s="190">
        <f t="shared" si="336"/>
        <v>0</v>
      </c>
      <c r="V149" s="190">
        <f t="shared" si="336"/>
        <v>0</v>
      </c>
      <c r="W149" s="190">
        <f t="shared" si="336"/>
        <v>0</v>
      </c>
      <c r="X149" s="86">
        <f t="shared" si="336"/>
        <v>0</v>
      </c>
      <c r="Y149" s="190">
        <f t="shared" si="338"/>
        <v>0</v>
      </c>
      <c r="Z149" s="190">
        <f t="shared" si="338"/>
        <v>0</v>
      </c>
      <c r="AA149" s="190">
        <f t="shared" si="338"/>
        <v>0</v>
      </c>
      <c r="AB149" s="190">
        <f t="shared" si="338"/>
        <v>0</v>
      </c>
      <c r="AC149" s="190">
        <f t="shared" si="338"/>
        <v>0</v>
      </c>
      <c r="AD149" s="190">
        <f t="shared" si="338"/>
        <v>0</v>
      </c>
      <c r="AE149" s="190">
        <f t="shared" si="353"/>
        <v>0</v>
      </c>
      <c r="AF149" s="190"/>
      <c r="AG149" s="190">
        <f t="shared" si="353"/>
        <v>0</v>
      </c>
      <c r="AH149" s="190">
        <f t="shared" si="353"/>
        <v>0</v>
      </c>
      <c r="AI149" s="77">
        <f t="shared" si="353"/>
        <v>0</v>
      </c>
      <c r="AJ149" s="190">
        <f t="shared" si="353"/>
        <v>0</v>
      </c>
      <c r="AK149" s="190">
        <f t="shared" si="353"/>
        <v>0</v>
      </c>
      <c r="AL149" s="190">
        <f t="shared" si="353"/>
        <v>0</v>
      </c>
      <c r="AM149" s="190">
        <f t="shared" si="353"/>
        <v>0</v>
      </c>
      <c r="AN149" s="190">
        <f t="shared" si="353"/>
        <v>0</v>
      </c>
      <c r="AO149" s="190">
        <f t="shared" si="353"/>
        <v>0</v>
      </c>
      <c r="AP149" s="190">
        <f t="shared" si="353"/>
        <v>0</v>
      </c>
      <c r="AQ149" s="190">
        <f t="shared" si="353"/>
        <v>0</v>
      </c>
      <c r="AR149" s="225">
        <f t="shared" si="353"/>
        <v>0</v>
      </c>
      <c r="AS149" s="23">
        <f t="shared" si="355"/>
        <v>0</v>
      </c>
      <c r="AT149" s="190">
        <f t="shared" si="355"/>
        <v>0</v>
      </c>
      <c r="AU149" s="190">
        <f t="shared" si="355"/>
        <v>0</v>
      </c>
      <c r="AV149" s="190">
        <f t="shared" si="355"/>
        <v>0</v>
      </c>
      <c r="AW149" s="190">
        <f t="shared" si="355"/>
        <v>0</v>
      </c>
      <c r="AX149" s="190">
        <f t="shared" si="339"/>
        <v>0</v>
      </c>
      <c r="AY149" s="190">
        <f t="shared" si="339"/>
        <v>0</v>
      </c>
      <c r="AZ149" s="190">
        <f t="shared" si="339"/>
        <v>0</v>
      </c>
      <c r="BA149" s="190">
        <f t="shared" si="339"/>
        <v>0</v>
      </c>
      <c r="BB149" s="225">
        <f t="shared" si="339"/>
        <v>0</v>
      </c>
      <c r="BC149" s="77">
        <f t="shared" si="340"/>
        <v>0</v>
      </c>
      <c r="BD149" s="190">
        <f t="shared" si="340"/>
        <v>0</v>
      </c>
      <c r="BE149" s="190">
        <f t="shared" si="340"/>
        <v>0</v>
      </c>
      <c r="BF149" s="190">
        <f t="shared" si="340"/>
        <v>0</v>
      </c>
      <c r="BG149" s="190">
        <f t="shared" si="340"/>
        <v>0</v>
      </c>
      <c r="BH149" s="190">
        <f t="shared" si="340"/>
        <v>0</v>
      </c>
      <c r="BI149" s="190">
        <f t="shared" si="340"/>
        <v>0</v>
      </c>
      <c r="BJ149" s="190">
        <f t="shared" si="341"/>
        <v>0</v>
      </c>
      <c r="BK149" s="190">
        <f t="shared" si="341"/>
        <v>0</v>
      </c>
      <c r="BL149" s="190">
        <f t="shared" si="341"/>
        <v>0</v>
      </c>
      <c r="BM149" s="77">
        <f t="shared" si="337"/>
        <v>0</v>
      </c>
      <c r="BN149" s="190">
        <f t="shared" si="337"/>
        <v>0</v>
      </c>
      <c r="BO149" s="190">
        <f t="shared" si="337"/>
        <v>0</v>
      </c>
      <c r="BP149" s="190">
        <f t="shared" si="337"/>
        <v>0</v>
      </c>
      <c r="BQ149" s="190">
        <f t="shared" si="337"/>
        <v>0</v>
      </c>
      <c r="BR149" s="190">
        <f t="shared" si="337"/>
        <v>0</v>
      </c>
      <c r="BS149" s="190">
        <f t="shared" si="337"/>
        <v>0</v>
      </c>
      <c r="BT149" s="190"/>
      <c r="BU149" s="190"/>
      <c r="BV149" s="190">
        <f t="shared" si="337"/>
        <v>0</v>
      </c>
      <c r="BW149" s="23">
        <f t="shared" si="342"/>
        <v>0</v>
      </c>
      <c r="BX149" s="190">
        <f t="shared" si="342"/>
        <v>0</v>
      </c>
      <c r="BY149" s="190">
        <f t="shared" si="342"/>
        <v>0</v>
      </c>
      <c r="BZ149" s="190">
        <f t="shared" si="342"/>
        <v>0</v>
      </c>
      <c r="CA149" s="190">
        <f t="shared" si="342"/>
        <v>0</v>
      </c>
      <c r="CB149" s="190">
        <f t="shared" si="343"/>
        <v>0</v>
      </c>
      <c r="CC149" s="190">
        <f t="shared" si="343"/>
        <v>0</v>
      </c>
      <c r="CD149" s="190">
        <f t="shared" si="343"/>
        <v>0</v>
      </c>
      <c r="CE149" s="190">
        <f t="shared" si="343"/>
        <v>0</v>
      </c>
      <c r="CF149" s="190">
        <f t="shared" si="343"/>
        <v>0</v>
      </c>
      <c r="CG149" s="23">
        <f t="shared" si="350"/>
        <v>0</v>
      </c>
      <c r="CH149" s="190">
        <f t="shared" si="350"/>
        <v>0</v>
      </c>
      <c r="CI149" s="190">
        <f t="shared" si="350"/>
        <v>0</v>
      </c>
      <c r="CJ149" s="190">
        <f t="shared" si="350"/>
        <v>0</v>
      </c>
      <c r="CK149" s="190">
        <f t="shared" si="350"/>
        <v>0</v>
      </c>
      <c r="CL149" s="190">
        <f t="shared" si="344"/>
        <v>0</v>
      </c>
      <c r="CM149" s="190">
        <f t="shared" si="344"/>
        <v>0</v>
      </c>
      <c r="CN149" s="190">
        <f t="shared" si="344"/>
        <v>0</v>
      </c>
      <c r="CO149" s="190">
        <f t="shared" si="344"/>
        <v>0</v>
      </c>
      <c r="CP149" s="21">
        <f t="shared" si="344"/>
        <v>0</v>
      </c>
      <c r="CQ149" s="23">
        <f t="shared" si="354"/>
        <v>0</v>
      </c>
      <c r="CR149" s="190">
        <f t="shared" si="354"/>
        <v>0</v>
      </c>
      <c r="CS149" s="190">
        <f t="shared" si="354"/>
        <v>0</v>
      </c>
      <c r="CT149" s="190">
        <f t="shared" si="354"/>
        <v>0</v>
      </c>
      <c r="CU149" s="190">
        <f t="shared" si="354"/>
        <v>0</v>
      </c>
      <c r="CV149" s="190">
        <f t="shared" si="345"/>
        <v>0</v>
      </c>
      <c r="CW149" s="190">
        <f t="shared" si="345"/>
        <v>0</v>
      </c>
      <c r="CX149" s="77">
        <f t="shared" si="346"/>
        <v>0</v>
      </c>
      <c r="CY149" s="190">
        <f t="shared" si="346"/>
        <v>0</v>
      </c>
      <c r="CZ149" s="190">
        <f t="shared" si="346"/>
        <v>0</v>
      </c>
      <c r="DA149" s="190">
        <f t="shared" si="346"/>
        <v>0</v>
      </c>
      <c r="DB149" s="190">
        <f t="shared" si="346"/>
        <v>0</v>
      </c>
      <c r="DC149" s="190">
        <f t="shared" si="347"/>
        <v>0</v>
      </c>
      <c r="DD149" s="190">
        <f t="shared" si="347"/>
        <v>0</v>
      </c>
      <c r="DE149" s="23">
        <f t="shared" si="351"/>
        <v>0</v>
      </c>
      <c r="DF149" s="190">
        <f t="shared" si="351"/>
        <v>0</v>
      </c>
      <c r="DG149" s="190">
        <f t="shared" si="351"/>
        <v>0</v>
      </c>
      <c r="DH149" s="190">
        <f t="shared" si="351"/>
        <v>0</v>
      </c>
      <c r="DI149" s="190">
        <f t="shared" si="351"/>
        <v>0</v>
      </c>
      <c r="DJ149" s="190">
        <f t="shared" si="348"/>
        <v>0</v>
      </c>
      <c r="DK149" s="190">
        <f t="shared" si="348"/>
        <v>0</v>
      </c>
      <c r="DL149" s="23">
        <f t="shared" si="352"/>
        <v>0</v>
      </c>
      <c r="DM149" s="190">
        <f t="shared" si="352"/>
        <v>0</v>
      </c>
      <c r="DN149" s="190">
        <f t="shared" si="352"/>
        <v>0</v>
      </c>
      <c r="DO149" s="190">
        <f t="shared" si="352"/>
        <v>0</v>
      </c>
      <c r="DP149" s="190">
        <f t="shared" si="352"/>
        <v>0</v>
      </c>
      <c r="DQ149" s="190">
        <f t="shared" si="349"/>
        <v>0</v>
      </c>
      <c r="DR149" s="190">
        <f t="shared" si="349"/>
        <v>0</v>
      </c>
      <c r="DS149" s="190">
        <f t="shared" si="349"/>
        <v>0</v>
      </c>
      <c r="DT149" s="54"/>
    </row>
    <row r="150" spans="1:124" s="201" customFormat="1" ht="26.25" hidden="1" customHeight="1" outlineLevel="1" x14ac:dyDescent="0.4">
      <c r="A150" s="348"/>
      <c r="B150" s="348"/>
      <c r="C150" s="348"/>
      <c r="D150" s="350"/>
      <c r="E150" s="350"/>
      <c r="F150" s="350"/>
      <c r="G150" s="371"/>
      <c r="H150" s="450"/>
      <c r="I150" s="450"/>
      <c r="J150" s="448"/>
      <c r="K150" s="446"/>
      <c r="L150" s="446"/>
      <c r="M150" s="429"/>
      <c r="N150" s="209" t="s">
        <v>25</v>
      </c>
      <c r="O150" s="209">
        <f t="shared" si="336"/>
        <v>0</v>
      </c>
      <c r="P150" s="209">
        <f t="shared" si="336"/>
        <v>0</v>
      </c>
      <c r="Q150" s="209">
        <f t="shared" si="336"/>
        <v>0</v>
      </c>
      <c r="R150" s="209">
        <f t="shared" si="336"/>
        <v>0</v>
      </c>
      <c r="S150" s="209">
        <f t="shared" si="336"/>
        <v>0</v>
      </c>
      <c r="T150" s="209">
        <f t="shared" si="336"/>
        <v>0</v>
      </c>
      <c r="U150" s="209">
        <f t="shared" si="336"/>
        <v>0</v>
      </c>
      <c r="V150" s="209">
        <f t="shared" si="336"/>
        <v>0</v>
      </c>
      <c r="W150" s="209">
        <f t="shared" si="336"/>
        <v>0</v>
      </c>
      <c r="X150" s="53">
        <f t="shared" si="336"/>
        <v>0</v>
      </c>
      <c r="Y150" s="209">
        <f t="shared" si="338"/>
        <v>0</v>
      </c>
      <c r="Z150" s="209">
        <f t="shared" si="338"/>
        <v>0</v>
      </c>
      <c r="AA150" s="209">
        <f t="shared" si="338"/>
        <v>0</v>
      </c>
      <c r="AB150" s="209">
        <f t="shared" si="338"/>
        <v>0</v>
      </c>
      <c r="AC150" s="209">
        <f t="shared" si="338"/>
        <v>0</v>
      </c>
      <c r="AD150" s="209">
        <f t="shared" si="338"/>
        <v>0</v>
      </c>
      <c r="AE150" s="209">
        <f t="shared" si="353"/>
        <v>0</v>
      </c>
      <c r="AF150" s="209"/>
      <c r="AG150" s="209">
        <f t="shared" si="353"/>
        <v>0</v>
      </c>
      <c r="AH150" s="209">
        <f t="shared" si="353"/>
        <v>0</v>
      </c>
      <c r="AI150" s="58">
        <f t="shared" si="353"/>
        <v>0</v>
      </c>
      <c r="AJ150" s="209">
        <f t="shared" si="353"/>
        <v>0</v>
      </c>
      <c r="AK150" s="209">
        <f t="shared" si="353"/>
        <v>0</v>
      </c>
      <c r="AL150" s="209">
        <f t="shared" si="353"/>
        <v>0</v>
      </c>
      <c r="AM150" s="209">
        <f t="shared" si="353"/>
        <v>0</v>
      </c>
      <c r="AN150" s="209">
        <f t="shared" si="353"/>
        <v>0</v>
      </c>
      <c r="AO150" s="209">
        <f t="shared" si="353"/>
        <v>0</v>
      </c>
      <c r="AP150" s="209">
        <f t="shared" si="353"/>
        <v>0</v>
      </c>
      <c r="AQ150" s="209">
        <f t="shared" si="353"/>
        <v>0</v>
      </c>
      <c r="AR150" s="53">
        <f t="shared" si="353"/>
        <v>0</v>
      </c>
      <c r="AS150" s="65">
        <f t="shared" si="355"/>
        <v>0</v>
      </c>
      <c r="AT150" s="210">
        <f t="shared" si="355"/>
        <v>0</v>
      </c>
      <c r="AU150" s="210">
        <f t="shared" si="355"/>
        <v>0</v>
      </c>
      <c r="AV150" s="210">
        <f t="shared" si="355"/>
        <v>0</v>
      </c>
      <c r="AW150" s="280">
        <f t="shared" si="355"/>
        <v>0</v>
      </c>
      <c r="AX150" s="210">
        <f t="shared" si="339"/>
        <v>0</v>
      </c>
      <c r="AY150" s="210">
        <f t="shared" si="339"/>
        <v>0</v>
      </c>
      <c r="AZ150" s="210">
        <f t="shared" si="339"/>
        <v>0</v>
      </c>
      <c r="BA150" s="210">
        <f t="shared" si="339"/>
        <v>0</v>
      </c>
      <c r="BB150" s="53">
        <f t="shared" si="339"/>
        <v>0</v>
      </c>
      <c r="BC150" s="58">
        <f t="shared" si="340"/>
        <v>0</v>
      </c>
      <c r="BD150" s="209">
        <f t="shared" si="340"/>
        <v>0</v>
      </c>
      <c r="BE150" s="209">
        <f t="shared" si="340"/>
        <v>0</v>
      </c>
      <c r="BF150" s="209">
        <f t="shared" si="340"/>
        <v>0</v>
      </c>
      <c r="BG150" s="209">
        <f t="shared" si="340"/>
        <v>0</v>
      </c>
      <c r="BH150" s="209">
        <f t="shared" si="340"/>
        <v>0</v>
      </c>
      <c r="BI150" s="209">
        <f t="shared" si="340"/>
        <v>0</v>
      </c>
      <c r="BJ150" s="209">
        <f t="shared" si="341"/>
        <v>0</v>
      </c>
      <c r="BK150" s="209">
        <f t="shared" si="341"/>
        <v>0</v>
      </c>
      <c r="BL150" s="209">
        <f t="shared" si="341"/>
        <v>0</v>
      </c>
      <c r="BM150" s="58">
        <f t="shared" si="337"/>
        <v>0</v>
      </c>
      <c r="BN150" s="209">
        <f t="shared" si="337"/>
        <v>0</v>
      </c>
      <c r="BO150" s="209">
        <f t="shared" si="337"/>
        <v>0</v>
      </c>
      <c r="BP150" s="209">
        <f t="shared" si="337"/>
        <v>0</v>
      </c>
      <c r="BQ150" s="209">
        <f t="shared" si="337"/>
        <v>0</v>
      </c>
      <c r="BR150" s="209">
        <f t="shared" si="337"/>
        <v>0</v>
      </c>
      <c r="BS150" s="209">
        <f t="shared" si="337"/>
        <v>0</v>
      </c>
      <c r="BT150" s="209"/>
      <c r="BU150" s="209"/>
      <c r="BV150" s="209">
        <f t="shared" si="337"/>
        <v>0</v>
      </c>
      <c r="BW150" s="65">
        <f t="shared" si="342"/>
        <v>0</v>
      </c>
      <c r="BX150" s="209">
        <f t="shared" si="342"/>
        <v>0</v>
      </c>
      <c r="BY150" s="209">
        <f t="shared" si="342"/>
        <v>0</v>
      </c>
      <c r="BZ150" s="209">
        <f t="shared" si="342"/>
        <v>0</v>
      </c>
      <c r="CA150" s="209">
        <f t="shared" si="342"/>
        <v>0</v>
      </c>
      <c r="CB150" s="209">
        <f t="shared" si="343"/>
        <v>0</v>
      </c>
      <c r="CC150" s="209">
        <f t="shared" si="343"/>
        <v>0</v>
      </c>
      <c r="CD150" s="209">
        <f t="shared" si="343"/>
        <v>0</v>
      </c>
      <c r="CE150" s="209">
        <f t="shared" si="343"/>
        <v>0</v>
      </c>
      <c r="CF150" s="209">
        <f t="shared" si="343"/>
        <v>0</v>
      </c>
      <c r="CG150" s="65">
        <f t="shared" si="350"/>
        <v>0</v>
      </c>
      <c r="CH150" s="210">
        <f t="shared" si="350"/>
        <v>0</v>
      </c>
      <c r="CI150" s="210">
        <f t="shared" si="350"/>
        <v>0</v>
      </c>
      <c r="CJ150" s="210">
        <f t="shared" si="350"/>
        <v>0</v>
      </c>
      <c r="CK150" s="210">
        <f t="shared" si="350"/>
        <v>0</v>
      </c>
      <c r="CL150" s="210">
        <f t="shared" si="344"/>
        <v>0</v>
      </c>
      <c r="CM150" s="210">
        <f t="shared" si="344"/>
        <v>0</v>
      </c>
      <c r="CN150" s="210">
        <f t="shared" si="344"/>
        <v>0</v>
      </c>
      <c r="CO150" s="210">
        <f t="shared" si="344"/>
        <v>0</v>
      </c>
      <c r="CP150" s="66">
        <f t="shared" si="344"/>
        <v>0</v>
      </c>
      <c r="CQ150" s="65">
        <f t="shared" si="354"/>
        <v>0</v>
      </c>
      <c r="CR150" s="210">
        <f t="shared" si="354"/>
        <v>0</v>
      </c>
      <c r="CS150" s="210">
        <f t="shared" si="354"/>
        <v>0</v>
      </c>
      <c r="CT150" s="210">
        <f t="shared" si="354"/>
        <v>0</v>
      </c>
      <c r="CU150" s="210">
        <f t="shared" si="354"/>
        <v>0</v>
      </c>
      <c r="CV150" s="210">
        <f t="shared" si="345"/>
        <v>0</v>
      </c>
      <c r="CW150" s="210">
        <f t="shared" si="345"/>
        <v>0</v>
      </c>
      <c r="CX150" s="65">
        <f t="shared" si="346"/>
        <v>0</v>
      </c>
      <c r="CY150" s="210">
        <f t="shared" si="346"/>
        <v>0</v>
      </c>
      <c r="CZ150" s="210">
        <f t="shared" si="346"/>
        <v>0</v>
      </c>
      <c r="DA150" s="210">
        <f t="shared" si="346"/>
        <v>0</v>
      </c>
      <c r="DB150" s="210">
        <f t="shared" si="346"/>
        <v>0</v>
      </c>
      <c r="DC150" s="210">
        <f t="shared" si="347"/>
        <v>0</v>
      </c>
      <c r="DD150" s="209">
        <f t="shared" si="347"/>
        <v>0</v>
      </c>
      <c r="DE150" s="65">
        <f t="shared" si="351"/>
        <v>0</v>
      </c>
      <c r="DF150" s="210">
        <f t="shared" si="351"/>
        <v>0</v>
      </c>
      <c r="DG150" s="210">
        <f t="shared" si="351"/>
        <v>0</v>
      </c>
      <c r="DH150" s="210">
        <f t="shared" si="351"/>
        <v>0</v>
      </c>
      <c r="DI150" s="210">
        <f t="shared" si="351"/>
        <v>0</v>
      </c>
      <c r="DJ150" s="210">
        <f t="shared" si="348"/>
        <v>0</v>
      </c>
      <c r="DK150" s="210">
        <f t="shared" si="348"/>
        <v>0</v>
      </c>
      <c r="DL150" s="65">
        <f t="shared" si="352"/>
        <v>0</v>
      </c>
      <c r="DM150" s="210">
        <f t="shared" si="352"/>
        <v>0</v>
      </c>
      <c r="DN150" s="210">
        <f t="shared" si="352"/>
        <v>0</v>
      </c>
      <c r="DO150" s="210">
        <f t="shared" si="352"/>
        <v>0</v>
      </c>
      <c r="DP150" s="210">
        <f t="shared" si="352"/>
        <v>0</v>
      </c>
      <c r="DQ150" s="210">
        <f t="shared" si="349"/>
        <v>0</v>
      </c>
      <c r="DR150" s="210">
        <f t="shared" si="349"/>
        <v>0</v>
      </c>
      <c r="DS150" s="210">
        <f t="shared" si="349"/>
        <v>0</v>
      </c>
    </row>
    <row r="151" spans="1:124" s="201" customFormat="1" ht="26.25" hidden="1" customHeight="1" outlineLevel="1" collapsed="1" x14ac:dyDescent="0.4">
      <c r="A151" s="347">
        <v>73</v>
      </c>
      <c r="B151" s="347" t="s">
        <v>45</v>
      </c>
      <c r="C151" s="347" t="s">
        <v>346</v>
      </c>
      <c r="D151" s="349"/>
      <c r="E151" s="349"/>
      <c r="F151" s="349"/>
      <c r="G151" s="371"/>
      <c r="H151" s="449">
        <f>SUM(CQ151:CW151)</f>
        <v>0</v>
      </c>
      <c r="I151" s="449">
        <f>SUM(CQ152:CW152)</f>
        <v>0</v>
      </c>
      <c r="J151" s="447"/>
      <c r="K151" s="445"/>
      <c r="L151" s="445"/>
      <c r="M151" s="428"/>
      <c r="N151" s="21" t="s">
        <v>24</v>
      </c>
      <c r="O151" s="190">
        <f t="shared" ref="O151:X166" si="356">0/127.5</f>
        <v>0</v>
      </c>
      <c r="P151" s="190">
        <f t="shared" si="356"/>
        <v>0</v>
      </c>
      <c r="Q151" s="190">
        <f t="shared" si="356"/>
        <v>0</v>
      </c>
      <c r="R151" s="190">
        <f t="shared" si="356"/>
        <v>0</v>
      </c>
      <c r="S151" s="190">
        <f t="shared" si="356"/>
        <v>0</v>
      </c>
      <c r="T151" s="190">
        <f t="shared" si="356"/>
        <v>0</v>
      </c>
      <c r="U151" s="190">
        <f t="shared" si="356"/>
        <v>0</v>
      </c>
      <c r="V151" s="190">
        <f t="shared" si="356"/>
        <v>0</v>
      </c>
      <c r="W151" s="190">
        <f t="shared" si="356"/>
        <v>0</v>
      </c>
      <c r="X151" s="86">
        <f t="shared" si="356"/>
        <v>0</v>
      </c>
      <c r="Y151" s="190">
        <f t="shared" si="338"/>
        <v>0</v>
      </c>
      <c r="Z151" s="190">
        <f t="shared" si="338"/>
        <v>0</v>
      </c>
      <c r="AA151" s="190">
        <f t="shared" si="338"/>
        <v>0</v>
      </c>
      <c r="AB151" s="190">
        <f t="shared" si="338"/>
        <v>0</v>
      </c>
      <c r="AC151" s="190">
        <f t="shared" si="338"/>
        <v>0</v>
      </c>
      <c r="AD151" s="190">
        <f t="shared" si="338"/>
        <v>0</v>
      </c>
      <c r="AE151" s="190">
        <f t="shared" si="353"/>
        <v>0</v>
      </c>
      <c r="AF151" s="190"/>
      <c r="AG151" s="190">
        <f t="shared" si="353"/>
        <v>0</v>
      </c>
      <c r="AH151" s="190">
        <f t="shared" si="353"/>
        <v>0</v>
      </c>
      <c r="AI151" s="77">
        <f t="shared" si="353"/>
        <v>0</v>
      </c>
      <c r="AJ151" s="190">
        <f t="shared" si="353"/>
        <v>0</v>
      </c>
      <c r="AK151" s="190">
        <f t="shared" si="353"/>
        <v>0</v>
      </c>
      <c r="AL151" s="190">
        <f t="shared" si="353"/>
        <v>0</v>
      </c>
      <c r="AM151" s="190">
        <f t="shared" si="353"/>
        <v>0</v>
      </c>
      <c r="AN151" s="190">
        <f t="shared" si="353"/>
        <v>0</v>
      </c>
      <c r="AO151" s="190">
        <f t="shared" si="353"/>
        <v>0</v>
      </c>
      <c r="AP151" s="190">
        <f t="shared" si="353"/>
        <v>0</v>
      </c>
      <c r="AQ151" s="190">
        <f t="shared" si="353"/>
        <v>0</v>
      </c>
      <c r="AR151" s="225">
        <f t="shared" si="353"/>
        <v>0</v>
      </c>
      <c r="AS151" s="23">
        <f t="shared" si="355"/>
        <v>0</v>
      </c>
      <c r="AT151" s="190">
        <f t="shared" si="355"/>
        <v>0</v>
      </c>
      <c r="AU151" s="190">
        <f t="shared" si="355"/>
        <v>0</v>
      </c>
      <c r="AV151" s="190">
        <f t="shared" si="355"/>
        <v>0</v>
      </c>
      <c r="AW151" s="190">
        <f t="shared" si="355"/>
        <v>0</v>
      </c>
      <c r="AX151" s="190">
        <f t="shared" si="339"/>
        <v>0</v>
      </c>
      <c r="AY151" s="190">
        <f t="shared" si="339"/>
        <v>0</v>
      </c>
      <c r="AZ151" s="190">
        <f t="shared" si="339"/>
        <v>0</v>
      </c>
      <c r="BA151" s="190">
        <f t="shared" si="339"/>
        <v>0</v>
      </c>
      <c r="BB151" s="225">
        <f t="shared" si="339"/>
        <v>0</v>
      </c>
      <c r="BC151" s="77">
        <f t="shared" si="340"/>
        <v>0</v>
      </c>
      <c r="BD151" s="190">
        <f t="shared" si="340"/>
        <v>0</v>
      </c>
      <c r="BE151" s="190">
        <f t="shared" si="340"/>
        <v>0</v>
      </c>
      <c r="BF151" s="190">
        <f t="shared" si="340"/>
        <v>0</v>
      </c>
      <c r="BG151" s="190">
        <f t="shared" si="340"/>
        <v>0</v>
      </c>
      <c r="BH151" s="190">
        <f t="shared" si="340"/>
        <v>0</v>
      </c>
      <c r="BI151" s="190">
        <f t="shared" si="340"/>
        <v>0</v>
      </c>
      <c r="BJ151" s="190">
        <f t="shared" si="341"/>
        <v>0</v>
      </c>
      <c r="BK151" s="190">
        <f t="shared" si="341"/>
        <v>0</v>
      </c>
      <c r="BL151" s="190">
        <f t="shared" si="341"/>
        <v>0</v>
      </c>
      <c r="BM151" s="77">
        <f t="shared" si="337"/>
        <v>0</v>
      </c>
      <c r="BN151" s="190">
        <f t="shared" si="337"/>
        <v>0</v>
      </c>
      <c r="BO151" s="190">
        <f t="shared" si="337"/>
        <v>0</v>
      </c>
      <c r="BP151" s="190">
        <f t="shared" si="337"/>
        <v>0</v>
      </c>
      <c r="BQ151" s="190">
        <f t="shared" si="337"/>
        <v>0</v>
      </c>
      <c r="BR151" s="190">
        <f t="shared" si="337"/>
        <v>0</v>
      </c>
      <c r="BS151" s="190">
        <f t="shared" si="337"/>
        <v>0</v>
      </c>
      <c r="BT151" s="190"/>
      <c r="BU151" s="190"/>
      <c r="BV151" s="190">
        <f t="shared" si="337"/>
        <v>0</v>
      </c>
      <c r="BW151" s="23">
        <f t="shared" si="342"/>
        <v>0</v>
      </c>
      <c r="BX151" s="190">
        <f t="shared" si="342"/>
        <v>0</v>
      </c>
      <c r="BY151" s="190">
        <f t="shared" si="342"/>
        <v>0</v>
      </c>
      <c r="BZ151" s="190">
        <f t="shared" si="342"/>
        <v>0</v>
      </c>
      <c r="CA151" s="190">
        <f t="shared" si="342"/>
        <v>0</v>
      </c>
      <c r="CB151" s="190">
        <f t="shared" si="343"/>
        <v>0</v>
      </c>
      <c r="CC151" s="190">
        <f t="shared" si="343"/>
        <v>0</v>
      </c>
      <c r="CD151" s="190">
        <f t="shared" si="343"/>
        <v>0</v>
      </c>
      <c r="CE151" s="190">
        <f t="shared" si="343"/>
        <v>0</v>
      </c>
      <c r="CF151" s="190">
        <f t="shared" si="343"/>
        <v>0</v>
      </c>
      <c r="CG151" s="23">
        <f t="shared" si="350"/>
        <v>0</v>
      </c>
      <c r="CH151" s="190">
        <f t="shared" si="350"/>
        <v>0</v>
      </c>
      <c r="CI151" s="190">
        <f t="shared" si="350"/>
        <v>0</v>
      </c>
      <c r="CJ151" s="190">
        <f t="shared" si="350"/>
        <v>0</v>
      </c>
      <c r="CK151" s="190">
        <f t="shared" si="350"/>
        <v>0</v>
      </c>
      <c r="CL151" s="190">
        <f t="shared" si="344"/>
        <v>0</v>
      </c>
      <c r="CM151" s="190">
        <f t="shared" si="344"/>
        <v>0</v>
      </c>
      <c r="CN151" s="190">
        <f t="shared" si="344"/>
        <v>0</v>
      </c>
      <c r="CO151" s="190">
        <f t="shared" si="344"/>
        <v>0</v>
      </c>
      <c r="CP151" s="21">
        <f t="shared" si="344"/>
        <v>0</v>
      </c>
      <c r="CQ151" s="23">
        <f t="shared" si="354"/>
        <v>0</v>
      </c>
      <c r="CR151" s="190">
        <f t="shared" si="354"/>
        <v>0</v>
      </c>
      <c r="CS151" s="190">
        <f t="shared" si="354"/>
        <v>0</v>
      </c>
      <c r="CT151" s="190">
        <f t="shared" si="354"/>
        <v>0</v>
      </c>
      <c r="CU151" s="190">
        <f t="shared" si="354"/>
        <v>0</v>
      </c>
      <c r="CV151" s="190">
        <f t="shared" si="345"/>
        <v>0</v>
      </c>
      <c r="CW151" s="190">
        <f t="shared" si="345"/>
        <v>0</v>
      </c>
      <c r="CX151" s="77">
        <f t="shared" si="346"/>
        <v>0</v>
      </c>
      <c r="CY151" s="190">
        <f t="shared" si="346"/>
        <v>0</v>
      </c>
      <c r="CZ151" s="190">
        <f t="shared" si="346"/>
        <v>0</v>
      </c>
      <c r="DA151" s="190">
        <f t="shared" si="346"/>
        <v>0</v>
      </c>
      <c r="DB151" s="190">
        <f t="shared" si="346"/>
        <v>0</v>
      </c>
      <c r="DC151" s="190">
        <f t="shared" si="347"/>
        <v>0</v>
      </c>
      <c r="DD151" s="190">
        <f t="shared" si="347"/>
        <v>0</v>
      </c>
      <c r="DE151" s="23">
        <f t="shared" si="351"/>
        <v>0</v>
      </c>
      <c r="DF151" s="190">
        <f t="shared" si="351"/>
        <v>0</v>
      </c>
      <c r="DG151" s="190">
        <f t="shared" si="351"/>
        <v>0</v>
      </c>
      <c r="DH151" s="190">
        <f t="shared" si="351"/>
        <v>0</v>
      </c>
      <c r="DI151" s="190">
        <f t="shared" si="351"/>
        <v>0</v>
      </c>
      <c r="DJ151" s="190">
        <f t="shared" si="348"/>
        <v>0</v>
      </c>
      <c r="DK151" s="190">
        <f t="shared" si="348"/>
        <v>0</v>
      </c>
      <c r="DL151" s="23">
        <f t="shared" si="352"/>
        <v>0</v>
      </c>
      <c r="DM151" s="190">
        <f t="shared" si="352"/>
        <v>0</v>
      </c>
      <c r="DN151" s="190">
        <f t="shared" si="352"/>
        <v>0</v>
      </c>
      <c r="DO151" s="190">
        <f t="shared" si="352"/>
        <v>0</v>
      </c>
      <c r="DP151" s="190">
        <f t="shared" si="352"/>
        <v>0</v>
      </c>
      <c r="DQ151" s="190">
        <f t="shared" si="349"/>
        <v>0</v>
      </c>
      <c r="DR151" s="190">
        <f t="shared" si="349"/>
        <v>0</v>
      </c>
      <c r="DS151" s="190">
        <f t="shared" si="349"/>
        <v>0</v>
      </c>
      <c r="DT151" s="54"/>
    </row>
    <row r="152" spans="1:124" s="201" customFormat="1" ht="26.25" hidden="1" customHeight="1" outlineLevel="1" x14ac:dyDescent="0.4">
      <c r="A152" s="348"/>
      <c r="B152" s="348"/>
      <c r="C152" s="348"/>
      <c r="D152" s="350"/>
      <c r="E152" s="350"/>
      <c r="F152" s="350"/>
      <c r="G152" s="371"/>
      <c r="H152" s="450"/>
      <c r="I152" s="450"/>
      <c r="J152" s="448"/>
      <c r="K152" s="446"/>
      <c r="L152" s="446"/>
      <c r="M152" s="429"/>
      <c r="N152" s="209" t="s">
        <v>25</v>
      </c>
      <c r="O152" s="209">
        <f t="shared" si="356"/>
        <v>0</v>
      </c>
      <c r="P152" s="209">
        <f t="shared" si="356"/>
        <v>0</v>
      </c>
      <c r="Q152" s="209">
        <f t="shared" si="356"/>
        <v>0</v>
      </c>
      <c r="R152" s="209">
        <f t="shared" si="356"/>
        <v>0</v>
      </c>
      <c r="S152" s="209">
        <f t="shared" si="356"/>
        <v>0</v>
      </c>
      <c r="T152" s="209">
        <f t="shared" si="356"/>
        <v>0</v>
      </c>
      <c r="U152" s="209">
        <f t="shared" si="356"/>
        <v>0</v>
      </c>
      <c r="V152" s="209">
        <f t="shared" si="356"/>
        <v>0</v>
      </c>
      <c r="W152" s="209">
        <f t="shared" si="356"/>
        <v>0</v>
      </c>
      <c r="X152" s="53">
        <f t="shared" si="356"/>
        <v>0</v>
      </c>
      <c r="Y152" s="209">
        <f t="shared" si="338"/>
        <v>0</v>
      </c>
      <c r="Z152" s="209">
        <f t="shared" si="338"/>
        <v>0</v>
      </c>
      <c r="AA152" s="209">
        <f t="shared" si="338"/>
        <v>0</v>
      </c>
      <c r="AB152" s="209">
        <f t="shared" si="338"/>
        <v>0</v>
      </c>
      <c r="AC152" s="209">
        <f t="shared" si="338"/>
        <v>0</v>
      </c>
      <c r="AD152" s="209">
        <f t="shared" si="338"/>
        <v>0</v>
      </c>
      <c r="AE152" s="209">
        <f t="shared" si="353"/>
        <v>0</v>
      </c>
      <c r="AF152" s="209"/>
      <c r="AG152" s="209">
        <f t="shared" si="353"/>
        <v>0</v>
      </c>
      <c r="AH152" s="209">
        <f t="shared" si="353"/>
        <v>0</v>
      </c>
      <c r="AI152" s="58">
        <f t="shared" si="353"/>
        <v>0</v>
      </c>
      <c r="AJ152" s="209">
        <f t="shared" si="353"/>
        <v>0</v>
      </c>
      <c r="AK152" s="209">
        <f t="shared" si="353"/>
        <v>0</v>
      </c>
      <c r="AL152" s="209">
        <f t="shared" si="353"/>
        <v>0</v>
      </c>
      <c r="AM152" s="209">
        <f t="shared" si="353"/>
        <v>0</v>
      </c>
      <c r="AN152" s="209">
        <f t="shared" si="353"/>
        <v>0</v>
      </c>
      <c r="AO152" s="209">
        <f t="shared" si="353"/>
        <v>0</v>
      </c>
      <c r="AP152" s="209">
        <f t="shared" si="353"/>
        <v>0</v>
      </c>
      <c r="AQ152" s="209">
        <f t="shared" si="353"/>
        <v>0</v>
      </c>
      <c r="AR152" s="53">
        <f t="shared" si="353"/>
        <v>0</v>
      </c>
      <c r="AS152" s="65">
        <f t="shared" si="355"/>
        <v>0</v>
      </c>
      <c r="AT152" s="210">
        <f t="shared" si="355"/>
        <v>0</v>
      </c>
      <c r="AU152" s="210">
        <f t="shared" si="355"/>
        <v>0</v>
      </c>
      <c r="AV152" s="210">
        <f t="shared" si="355"/>
        <v>0</v>
      </c>
      <c r="AW152" s="280">
        <f t="shared" si="355"/>
        <v>0</v>
      </c>
      <c r="AX152" s="210">
        <f t="shared" si="339"/>
        <v>0</v>
      </c>
      <c r="AY152" s="210">
        <f t="shared" si="339"/>
        <v>0</v>
      </c>
      <c r="AZ152" s="210">
        <f t="shared" si="339"/>
        <v>0</v>
      </c>
      <c r="BA152" s="210">
        <f t="shared" si="339"/>
        <v>0</v>
      </c>
      <c r="BB152" s="53">
        <f t="shared" si="339"/>
        <v>0</v>
      </c>
      <c r="BC152" s="58">
        <f t="shared" si="340"/>
        <v>0</v>
      </c>
      <c r="BD152" s="209">
        <f t="shared" si="340"/>
        <v>0</v>
      </c>
      <c r="BE152" s="209">
        <f t="shared" si="340"/>
        <v>0</v>
      </c>
      <c r="BF152" s="209">
        <f t="shared" si="340"/>
        <v>0</v>
      </c>
      <c r="BG152" s="209">
        <f t="shared" si="340"/>
        <v>0</v>
      </c>
      <c r="BH152" s="209">
        <f t="shared" si="340"/>
        <v>0</v>
      </c>
      <c r="BI152" s="209">
        <f t="shared" si="340"/>
        <v>0</v>
      </c>
      <c r="BJ152" s="209">
        <f t="shared" si="341"/>
        <v>0</v>
      </c>
      <c r="BK152" s="209">
        <f t="shared" si="341"/>
        <v>0</v>
      </c>
      <c r="BL152" s="209">
        <f t="shared" si="341"/>
        <v>0</v>
      </c>
      <c r="BM152" s="58">
        <f t="shared" si="337"/>
        <v>0</v>
      </c>
      <c r="BN152" s="209">
        <f t="shared" si="337"/>
        <v>0</v>
      </c>
      <c r="BO152" s="209">
        <f t="shared" si="337"/>
        <v>0</v>
      </c>
      <c r="BP152" s="209">
        <f t="shared" si="337"/>
        <v>0</v>
      </c>
      <c r="BQ152" s="209">
        <f t="shared" si="337"/>
        <v>0</v>
      </c>
      <c r="BR152" s="209">
        <f t="shared" si="337"/>
        <v>0</v>
      </c>
      <c r="BS152" s="209">
        <f t="shared" si="337"/>
        <v>0</v>
      </c>
      <c r="BT152" s="209"/>
      <c r="BU152" s="209"/>
      <c r="BV152" s="209">
        <f t="shared" si="337"/>
        <v>0</v>
      </c>
      <c r="BW152" s="65">
        <f t="shared" si="342"/>
        <v>0</v>
      </c>
      <c r="BX152" s="209">
        <f t="shared" si="342"/>
        <v>0</v>
      </c>
      <c r="BY152" s="209">
        <f t="shared" si="342"/>
        <v>0</v>
      </c>
      <c r="BZ152" s="209">
        <f t="shared" si="342"/>
        <v>0</v>
      </c>
      <c r="CA152" s="209">
        <f t="shared" si="342"/>
        <v>0</v>
      </c>
      <c r="CB152" s="209">
        <f t="shared" si="343"/>
        <v>0</v>
      </c>
      <c r="CC152" s="209">
        <f t="shared" si="343"/>
        <v>0</v>
      </c>
      <c r="CD152" s="209">
        <f t="shared" si="343"/>
        <v>0</v>
      </c>
      <c r="CE152" s="209">
        <f t="shared" si="343"/>
        <v>0</v>
      </c>
      <c r="CF152" s="209">
        <f t="shared" si="343"/>
        <v>0</v>
      </c>
      <c r="CG152" s="65">
        <f t="shared" si="350"/>
        <v>0</v>
      </c>
      <c r="CH152" s="210">
        <f t="shared" si="350"/>
        <v>0</v>
      </c>
      <c r="CI152" s="210">
        <f t="shared" si="350"/>
        <v>0</v>
      </c>
      <c r="CJ152" s="210">
        <f t="shared" si="350"/>
        <v>0</v>
      </c>
      <c r="CK152" s="210">
        <f t="shared" si="350"/>
        <v>0</v>
      </c>
      <c r="CL152" s="210">
        <f t="shared" si="344"/>
        <v>0</v>
      </c>
      <c r="CM152" s="210">
        <f t="shared" si="344"/>
        <v>0</v>
      </c>
      <c r="CN152" s="210">
        <f t="shared" si="344"/>
        <v>0</v>
      </c>
      <c r="CO152" s="210">
        <f t="shared" si="344"/>
        <v>0</v>
      </c>
      <c r="CP152" s="66">
        <f t="shared" si="344"/>
        <v>0</v>
      </c>
      <c r="CQ152" s="65">
        <f t="shared" si="354"/>
        <v>0</v>
      </c>
      <c r="CR152" s="210">
        <f t="shared" si="354"/>
        <v>0</v>
      </c>
      <c r="CS152" s="210">
        <f t="shared" si="354"/>
        <v>0</v>
      </c>
      <c r="CT152" s="210">
        <f t="shared" si="354"/>
        <v>0</v>
      </c>
      <c r="CU152" s="210">
        <f t="shared" si="354"/>
        <v>0</v>
      </c>
      <c r="CV152" s="210">
        <f t="shared" si="345"/>
        <v>0</v>
      </c>
      <c r="CW152" s="210">
        <f t="shared" si="345"/>
        <v>0</v>
      </c>
      <c r="CX152" s="65">
        <f t="shared" si="346"/>
        <v>0</v>
      </c>
      <c r="CY152" s="210">
        <f t="shared" si="346"/>
        <v>0</v>
      </c>
      <c r="CZ152" s="210">
        <f t="shared" si="346"/>
        <v>0</v>
      </c>
      <c r="DA152" s="210">
        <f t="shared" si="346"/>
        <v>0</v>
      </c>
      <c r="DB152" s="210">
        <f t="shared" si="346"/>
        <v>0</v>
      </c>
      <c r="DC152" s="210">
        <f t="shared" si="347"/>
        <v>0</v>
      </c>
      <c r="DD152" s="209">
        <f t="shared" si="347"/>
        <v>0</v>
      </c>
      <c r="DE152" s="65">
        <f t="shared" si="351"/>
        <v>0</v>
      </c>
      <c r="DF152" s="210">
        <f t="shared" si="351"/>
        <v>0</v>
      </c>
      <c r="DG152" s="210">
        <f t="shared" si="351"/>
        <v>0</v>
      </c>
      <c r="DH152" s="210">
        <f t="shared" si="351"/>
        <v>0</v>
      </c>
      <c r="DI152" s="210">
        <f t="shared" si="351"/>
        <v>0</v>
      </c>
      <c r="DJ152" s="210">
        <f t="shared" si="348"/>
        <v>0</v>
      </c>
      <c r="DK152" s="210">
        <f t="shared" si="348"/>
        <v>0</v>
      </c>
      <c r="DL152" s="65">
        <f t="shared" si="352"/>
        <v>0</v>
      </c>
      <c r="DM152" s="210">
        <f t="shared" si="352"/>
        <v>0</v>
      </c>
      <c r="DN152" s="210">
        <f t="shared" si="352"/>
        <v>0</v>
      </c>
      <c r="DO152" s="210">
        <f t="shared" si="352"/>
        <v>0</v>
      </c>
      <c r="DP152" s="210">
        <f t="shared" si="352"/>
        <v>0</v>
      </c>
      <c r="DQ152" s="210">
        <f t="shared" si="349"/>
        <v>0</v>
      </c>
      <c r="DR152" s="210">
        <f t="shared" si="349"/>
        <v>0</v>
      </c>
      <c r="DS152" s="210">
        <f t="shared" si="349"/>
        <v>0</v>
      </c>
    </row>
    <row r="153" spans="1:124" s="201" customFormat="1" ht="26.25" hidden="1" customHeight="1" outlineLevel="1" x14ac:dyDescent="0.4">
      <c r="A153" s="347">
        <v>74</v>
      </c>
      <c r="B153" s="347" t="s">
        <v>45</v>
      </c>
      <c r="C153" s="347" t="s">
        <v>346</v>
      </c>
      <c r="D153" s="349"/>
      <c r="E153" s="349"/>
      <c r="F153" s="349"/>
      <c r="G153" s="371"/>
      <c r="H153" s="449">
        <f>SUM(CQ153:CW153)</f>
        <v>0</v>
      </c>
      <c r="I153" s="449">
        <f>SUM(CQ154:CW154)</f>
        <v>0</v>
      </c>
      <c r="J153" s="447"/>
      <c r="K153" s="445"/>
      <c r="L153" s="445"/>
      <c r="M153" s="428"/>
      <c r="N153" s="21" t="s">
        <v>24</v>
      </c>
      <c r="O153" s="190">
        <f t="shared" si="356"/>
        <v>0</v>
      </c>
      <c r="P153" s="190">
        <f t="shared" si="356"/>
        <v>0</v>
      </c>
      <c r="Q153" s="190">
        <f t="shared" si="356"/>
        <v>0</v>
      </c>
      <c r="R153" s="190">
        <f t="shared" si="356"/>
        <v>0</v>
      </c>
      <c r="S153" s="190">
        <f t="shared" si="356"/>
        <v>0</v>
      </c>
      <c r="T153" s="190">
        <f t="shared" si="356"/>
        <v>0</v>
      </c>
      <c r="U153" s="190">
        <f t="shared" si="356"/>
        <v>0</v>
      </c>
      <c r="V153" s="190">
        <f t="shared" si="356"/>
        <v>0</v>
      </c>
      <c r="W153" s="190">
        <f t="shared" si="356"/>
        <v>0</v>
      </c>
      <c r="X153" s="86">
        <f t="shared" si="356"/>
        <v>0</v>
      </c>
      <c r="Y153" s="190">
        <f t="shared" si="338"/>
        <v>0</v>
      </c>
      <c r="Z153" s="190">
        <f t="shared" si="338"/>
        <v>0</v>
      </c>
      <c r="AA153" s="190">
        <f t="shared" si="338"/>
        <v>0</v>
      </c>
      <c r="AB153" s="190">
        <f t="shared" si="338"/>
        <v>0</v>
      </c>
      <c r="AC153" s="190">
        <f t="shared" si="338"/>
        <v>0</v>
      </c>
      <c r="AD153" s="190">
        <f t="shared" si="338"/>
        <v>0</v>
      </c>
      <c r="AE153" s="190">
        <f t="shared" si="353"/>
        <v>0</v>
      </c>
      <c r="AF153" s="190"/>
      <c r="AG153" s="190">
        <f t="shared" si="353"/>
        <v>0</v>
      </c>
      <c r="AH153" s="190">
        <f t="shared" si="353"/>
        <v>0</v>
      </c>
      <c r="AI153" s="77">
        <f t="shared" si="353"/>
        <v>0</v>
      </c>
      <c r="AJ153" s="190">
        <f t="shared" si="353"/>
        <v>0</v>
      </c>
      <c r="AK153" s="190">
        <f t="shared" si="353"/>
        <v>0</v>
      </c>
      <c r="AL153" s="190">
        <f t="shared" si="353"/>
        <v>0</v>
      </c>
      <c r="AM153" s="190">
        <f t="shared" si="353"/>
        <v>0</v>
      </c>
      <c r="AN153" s="190">
        <f t="shared" si="353"/>
        <v>0</v>
      </c>
      <c r="AO153" s="190">
        <f t="shared" si="353"/>
        <v>0</v>
      </c>
      <c r="AP153" s="190">
        <f t="shared" si="353"/>
        <v>0</v>
      </c>
      <c r="AQ153" s="190">
        <f t="shared" si="353"/>
        <v>0</v>
      </c>
      <c r="AR153" s="225">
        <f t="shared" si="353"/>
        <v>0</v>
      </c>
      <c r="AS153" s="23">
        <f t="shared" si="355"/>
        <v>0</v>
      </c>
      <c r="AT153" s="190">
        <f t="shared" si="355"/>
        <v>0</v>
      </c>
      <c r="AU153" s="190">
        <f t="shared" si="355"/>
        <v>0</v>
      </c>
      <c r="AV153" s="190">
        <f t="shared" si="355"/>
        <v>0</v>
      </c>
      <c r="AW153" s="190">
        <f t="shared" si="355"/>
        <v>0</v>
      </c>
      <c r="AX153" s="190">
        <f t="shared" si="339"/>
        <v>0</v>
      </c>
      <c r="AY153" s="190">
        <f t="shared" si="339"/>
        <v>0</v>
      </c>
      <c r="AZ153" s="190">
        <f t="shared" si="339"/>
        <v>0</v>
      </c>
      <c r="BA153" s="190">
        <f t="shared" si="339"/>
        <v>0</v>
      </c>
      <c r="BB153" s="225">
        <f t="shared" si="339"/>
        <v>0</v>
      </c>
      <c r="BC153" s="77">
        <f t="shared" si="340"/>
        <v>0</v>
      </c>
      <c r="BD153" s="190">
        <f t="shared" si="340"/>
        <v>0</v>
      </c>
      <c r="BE153" s="190">
        <f t="shared" si="340"/>
        <v>0</v>
      </c>
      <c r="BF153" s="190">
        <f t="shared" si="340"/>
        <v>0</v>
      </c>
      <c r="BG153" s="190">
        <f t="shared" si="340"/>
        <v>0</v>
      </c>
      <c r="BH153" s="190">
        <f t="shared" si="340"/>
        <v>0</v>
      </c>
      <c r="BI153" s="190">
        <f t="shared" si="340"/>
        <v>0</v>
      </c>
      <c r="BJ153" s="190">
        <f t="shared" si="341"/>
        <v>0</v>
      </c>
      <c r="BK153" s="190">
        <f t="shared" si="341"/>
        <v>0</v>
      </c>
      <c r="BL153" s="190">
        <f t="shared" si="341"/>
        <v>0</v>
      </c>
      <c r="BM153" s="77">
        <f t="shared" si="337"/>
        <v>0</v>
      </c>
      <c r="BN153" s="190">
        <f t="shared" si="337"/>
        <v>0</v>
      </c>
      <c r="BO153" s="190">
        <f t="shared" si="337"/>
        <v>0</v>
      </c>
      <c r="BP153" s="190">
        <f t="shared" si="337"/>
        <v>0</v>
      </c>
      <c r="BQ153" s="190">
        <f t="shared" si="337"/>
        <v>0</v>
      </c>
      <c r="BR153" s="190">
        <f t="shared" si="337"/>
        <v>0</v>
      </c>
      <c r="BS153" s="190">
        <f t="shared" si="337"/>
        <v>0</v>
      </c>
      <c r="BT153" s="190"/>
      <c r="BU153" s="190"/>
      <c r="BV153" s="190">
        <f t="shared" si="337"/>
        <v>0</v>
      </c>
      <c r="BW153" s="23">
        <f t="shared" si="342"/>
        <v>0</v>
      </c>
      <c r="BX153" s="190">
        <f t="shared" si="342"/>
        <v>0</v>
      </c>
      <c r="BY153" s="190">
        <f t="shared" si="342"/>
        <v>0</v>
      </c>
      <c r="BZ153" s="190">
        <f t="shared" si="342"/>
        <v>0</v>
      </c>
      <c r="CA153" s="190">
        <f t="shared" si="342"/>
        <v>0</v>
      </c>
      <c r="CB153" s="190">
        <f t="shared" si="343"/>
        <v>0</v>
      </c>
      <c r="CC153" s="190">
        <f t="shared" si="343"/>
        <v>0</v>
      </c>
      <c r="CD153" s="190">
        <f t="shared" si="343"/>
        <v>0</v>
      </c>
      <c r="CE153" s="190">
        <f t="shared" si="343"/>
        <v>0</v>
      </c>
      <c r="CF153" s="190">
        <f t="shared" si="343"/>
        <v>0</v>
      </c>
      <c r="CG153" s="23">
        <f t="shared" si="350"/>
        <v>0</v>
      </c>
      <c r="CH153" s="190">
        <f t="shared" si="350"/>
        <v>0</v>
      </c>
      <c r="CI153" s="190">
        <f t="shared" si="350"/>
        <v>0</v>
      </c>
      <c r="CJ153" s="190">
        <f t="shared" si="350"/>
        <v>0</v>
      </c>
      <c r="CK153" s="190">
        <f t="shared" si="350"/>
        <v>0</v>
      </c>
      <c r="CL153" s="190">
        <f t="shared" si="344"/>
        <v>0</v>
      </c>
      <c r="CM153" s="190">
        <f t="shared" si="344"/>
        <v>0</v>
      </c>
      <c r="CN153" s="190">
        <f t="shared" si="344"/>
        <v>0</v>
      </c>
      <c r="CO153" s="190">
        <f t="shared" si="344"/>
        <v>0</v>
      </c>
      <c r="CP153" s="21">
        <f t="shared" si="344"/>
        <v>0</v>
      </c>
      <c r="CQ153" s="23">
        <f t="shared" si="354"/>
        <v>0</v>
      </c>
      <c r="CR153" s="190">
        <f t="shared" si="354"/>
        <v>0</v>
      </c>
      <c r="CS153" s="190">
        <f t="shared" si="354"/>
        <v>0</v>
      </c>
      <c r="CT153" s="190">
        <f t="shared" si="354"/>
        <v>0</v>
      </c>
      <c r="CU153" s="190">
        <f t="shared" si="354"/>
        <v>0</v>
      </c>
      <c r="CV153" s="190">
        <f t="shared" si="345"/>
        <v>0</v>
      </c>
      <c r="CW153" s="190">
        <f t="shared" si="345"/>
        <v>0</v>
      </c>
      <c r="CX153" s="77">
        <f t="shared" si="346"/>
        <v>0</v>
      </c>
      <c r="CY153" s="190">
        <f t="shared" si="346"/>
        <v>0</v>
      </c>
      <c r="CZ153" s="190">
        <f t="shared" si="346"/>
        <v>0</v>
      </c>
      <c r="DA153" s="190">
        <f t="shared" si="346"/>
        <v>0</v>
      </c>
      <c r="DB153" s="190">
        <f t="shared" si="346"/>
        <v>0</v>
      </c>
      <c r="DC153" s="190">
        <f t="shared" si="347"/>
        <v>0</v>
      </c>
      <c r="DD153" s="190">
        <f t="shared" si="347"/>
        <v>0</v>
      </c>
      <c r="DE153" s="23">
        <f t="shared" si="351"/>
        <v>0</v>
      </c>
      <c r="DF153" s="190">
        <f t="shared" si="351"/>
        <v>0</v>
      </c>
      <c r="DG153" s="190">
        <f t="shared" si="351"/>
        <v>0</v>
      </c>
      <c r="DH153" s="190">
        <f t="shared" si="351"/>
        <v>0</v>
      </c>
      <c r="DI153" s="190">
        <f t="shared" si="351"/>
        <v>0</v>
      </c>
      <c r="DJ153" s="190">
        <f t="shared" si="348"/>
        <v>0</v>
      </c>
      <c r="DK153" s="190">
        <f t="shared" si="348"/>
        <v>0</v>
      </c>
      <c r="DL153" s="23">
        <f t="shared" si="352"/>
        <v>0</v>
      </c>
      <c r="DM153" s="190">
        <f t="shared" si="352"/>
        <v>0</v>
      </c>
      <c r="DN153" s="190">
        <f t="shared" si="352"/>
        <v>0</v>
      </c>
      <c r="DO153" s="190">
        <f t="shared" si="352"/>
        <v>0</v>
      </c>
      <c r="DP153" s="190">
        <f t="shared" si="352"/>
        <v>0</v>
      </c>
      <c r="DQ153" s="190">
        <f t="shared" si="349"/>
        <v>0</v>
      </c>
      <c r="DR153" s="190">
        <f t="shared" si="349"/>
        <v>0</v>
      </c>
      <c r="DS153" s="190">
        <f t="shared" si="349"/>
        <v>0</v>
      </c>
      <c r="DT153" s="54"/>
    </row>
    <row r="154" spans="1:124" s="201" customFormat="1" ht="26.25" hidden="1" customHeight="1" outlineLevel="1" x14ac:dyDescent="0.4">
      <c r="A154" s="348"/>
      <c r="B154" s="348"/>
      <c r="C154" s="348"/>
      <c r="D154" s="350"/>
      <c r="E154" s="350"/>
      <c r="F154" s="350"/>
      <c r="G154" s="371"/>
      <c r="H154" s="450"/>
      <c r="I154" s="450"/>
      <c r="J154" s="448"/>
      <c r="K154" s="446"/>
      <c r="L154" s="446"/>
      <c r="M154" s="429"/>
      <c r="N154" s="209" t="s">
        <v>25</v>
      </c>
      <c r="O154" s="209">
        <f t="shared" si="356"/>
        <v>0</v>
      </c>
      <c r="P154" s="209">
        <f t="shared" si="356"/>
        <v>0</v>
      </c>
      <c r="Q154" s="209">
        <f t="shared" si="356"/>
        <v>0</v>
      </c>
      <c r="R154" s="209">
        <f t="shared" si="356"/>
        <v>0</v>
      </c>
      <c r="S154" s="209">
        <f t="shared" si="356"/>
        <v>0</v>
      </c>
      <c r="T154" s="209">
        <f t="shared" si="356"/>
        <v>0</v>
      </c>
      <c r="U154" s="209">
        <f t="shared" si="356"/>
        <v>0</v>
      </c>
      <c r="V154" s="209">
        <f t="shared" si="356"/>
        <v>0</v>
      </c>
      <c r="W154" s="209">
        <f t="shared" si="356"/>
        <v>0</v>
      </c>
      <c r="X154" s="53">
        <f t="shared" si="356"/>
        <v>0</v>
      </c>
      <c r="Y154" s="209">
        <f t="shared" si="338"/>
        <v>0</v>
      </c>
      <c r="Z154" s="209">
        <f t="shared" si="338"/>
        <v>0</v>
      </c>
      <c r="AA154" s="209">
        <f t="shared" si="338"/>
        <v>0</v>
      </c>
      <c r="AB154" s="209">
        <f t="shared" si="338"/>
        <v>0</v>
      </c>
      <c r="AC154" s="209">
        <f t="shared" si="338"/>
        <v>0</v>
      </c>
      <c r="AD154" s="209">
        <f t="shared" si="338"/>
        <v>0</v>
      </c>
      <c r="AE154" s="209">
        <f t="shared" si="353"/>
        <v>0</v>
      </c>
      <c r="AF154" s="209"/>
      <c r="AG154" s="209">
        <f t="shared" si="353"/>
        <v>0</v>
      </c>
      <c r="AH154" s="209">
        <f t="shared" si="353"/>
        <v>0</v>
      </c>
      <c r="AI154" s="58">
        <f t="shared" si="353"/>
        <v>0</v>
      </c>
      <c r="AJ154" s="209">
        <f t="shared" si="353"/>
        <v>0</v>
      </c>
      <c r="AK154" s="209">
        <f t="shared" si="353"/>
        <v>0</v>
      </c>
      <c r="AL154" s="209">
        <f t="shared" si="353"/>
        <v>0</v>
      </c>
      <c r="AM154" s="209">
        <f t="shared" si="353"/>
        <v>0</v>
      </c>
      <c r="AN154" s="209">
        <f t="shared" si="353"/>
        <v>0</v>
      </c>
      <c r="AO154" s="209">
        <f t="shared" si="353"/>
        <v>0</v>
      </c>
      <c r="AP154" s="209">
        <f t="shared" si="353"/>
        <v>0</v>
      </c>
      <c r="AQ154" s="209">
        <f t="shared" si="353"/>
        <v>0</v>
      </c>
      <c r="AR154" s="53">
        <f t="shared" si="353"/>
        <v>0</v>
      </c>
      <c r="AS154" s="65">
        <f t="shared" si="355"/>
        <v>0</v>
      </c>
      <c r="AT154" s="210">
        <f t="shared" si="355"/>
        <v>0</v>
      </c>
      <c r="AU154" s="210">
        <f t="shared" si="355"/>
        <v>0</v>
      </c>
      <c r="AV154" s="210">
        <f t="shared" si="355"/>
        <v>0</v>
      </c>
      <c r="AW154" s="280">
        <f t="shared" si="355"/>
        <v>0</v>
      </c>
      <c r="AX154" s="210">
        <f t="shared" si="339"/>
        <v>0</v>
      </c>
      <c r="AY154" s="210">
        <f t="shared" si="339"/>
        <v>0</v>
      </c>
      <c r="AZ154" s="210">
        <f t="shared" si="339"/>
        <v>0</v>
      </c>
      <c r="BA154" s="210">
        <f t="shared" si="339"/>
        <v>0</v>
      </c>
      <c r="BB154" s="53">
        <f t="shared" si="339"/>
        <v>0</v>
      </c>
      <c r="BC154" s="58">
        <f t="shared" si="340"/>
        <v>0</v>
      </c>
      <c r="BD154" s="209">
        <f t="shared" si="340"/>
        <v>0</v>
      </c>
      <c r="BE154" s="209">
        <f t="shared" si="340"/>
        <v>0</v>
      </c>
      <c r="BF154" s="209">
        <f t="shared" si="340"/>
        <v>0</v>
      </c>
      <c r="BG154" s="209">
        <f t="shared" si="340"/>
        <v>0</v>
      </c>
      <c r="BH154" s="209">
        <f t="shared" si="340"/>
        <v>0</v>
      </c>
      <c r="BI154" s="209">
        <f t="shared" si="340"/>
        <v>0</v>
      </c>
      <c r="BJ154" s="209">
        <f t="shared" si="341"/>
        <v>0</v>
      </c>
      <c r="BK154" s="209">
        <f t="shared" si="341"/>
        <v>0</v>
      </c>
      <c r="BL154" s="209">
        <f t="shared" si="341"/>
        <v>0</v>
      </c>
      <c r="BM154" s="58">
        <f t="shared" ref="BM154:BV166" si="357">0/172.5</f>
        <v>0</v>
      </c>
      <c r="BN154" s="209">
        <f t="shared" si="357"/>
        <v>0</v>
      </c>
      <c r="BO154" s="209">
        <f t="shared" si="357"/>
        <v>0</v>
      </c>
      <c r="BP154" s="209">
        <f t="shared" si="357"/>
        <v>0</v>
      </c>
      <c r="BQ154" s="209">
        <f t="shared" si="357"/>
        <v>0</v>
      </c>
      <c r="BR154" s="209">
        <f t="shared" si="357"/>
        <v>0</v>
      </c>
      <c r="BS154" s="209">
        <f t="shared" si="357"/>
        <v>0</v>
      </c>
      <c r="BT154" s="209"/>
      <c r="BU154" s="209"/>
      <c r="BV154" s="209">
        <f t="shared" si="357"/>
        <v>0</v>
      </c>
      <c r="BW154" s="65">
        <f t="shared" si="342"/>
        <v>0</v>
      </c>
      <c r="BX154" s="209">
        <f t="shared" si="342"/>
        <v>0</v>
      </c>
      <c r="BY154" s="209">
        <f t="shared" si="342"/>
        <v>0</v>
      </c>
      <c r="BZ154" s="209">
        <f t="shared" si="342"/>
        <v>0</v>
      </c>
      <c r="CA154" s="209">
        <f t="shared" si="342"/>
        <v>0</v>
      </c>
      <c r="CB154" s="209">
        <f t="shared" si="343"/>
        <v>0</v>
      </c>
      <c r="CC154" s="209">
        <f t="shared" si="343"/>
        <v>0</v>
      </c>
      <c r="CD154" s="209">
        <f t="shared" si="343"/>
        <v>0</v>
      </c>
      <c r="CE154" s="209">
        <f t="shared" si="343"/>
        <v>0</v>
      </c>
      <c r="CF154" s="209">
        <f t="shared" si="343"/>
        <v>0</v>
      </c>
      <c r="CG154" s="65">
        <f t="shared" si="350"/>
        <v>0</v>
      </c>
      <c r="CH154" s="210">
        <f t="shared" si="350"/>
        <v>0</v>
      </c>
      <c r="CI154" s="210">
        <f t="shared" si="350"/>
        <v>0</v>
      </c>
      <c r="CJ154" s="210">
        <f t="shared" si="350"/>
        <v>0</v>
      </c>
      <c r="CK154" s="210">
        <f t="shared" si="350"/>
        <v>0</v>
      </c>
      <c r="CL154" s="210">
        <f t="shared" si="344"/>
        <v>0</v>
      </c>
      <c r="CM154" s="210">
        <f t="shared" si="344"/>
        <v>0</v>
      </c>
      <c r="CN154" s="210">
        <f t="shared" si="344"/>
        <v>0</v>
      </c>
      <c r="CO154" s="210">
        <f t="shared" si="344"/>
        <v>0</v>
      </c>
      <c r="CP154" s="66">
        <f t="shared" si="344"/>
        <v>0</v>
      </c>
      <c r="CQ154" s="65">
        <f t="shared" si="354"/>
        <v>0</v>
      </c>
      <c r="CR154" s="210">
        <f t="shared" si="354"/>
        <v>0</v>
      </c>
      <c r="CS154" s="210">
        <f t="shared" si="354"/>
        <v>0</v>
      </c>
      <c r="CT154" s="210">
        <f t="shared" si="354"/>
        <v>0</v>
      </c>
      <c r="CU154" s="210">
        <f t="shared" si="354"/>
        <v>0</v>
      </c>
      <c r="CV154" s="210">
        <f t="shared" si="345"/>
        <v>0</v>
      </c>
      <c r="CW154" s="210">
        <f t="shared" si="345"/>
        <v>0</v>
      </c>
      <c r="CX154" s="65">
        <f t="shared" si="346"/>
        <v>0</v>
      </c>
      <c r="CY154" s="210">
        <f t="shared" si="346"/>
        <v>0</v>
      </c>
      <c r="CZ154" s="210">
        <f t="shared" si="346"/>
        <v>0</v>
      </c>
      <c r="DA154" s="210">
        <f t="shared" si="346"/>
        <v>0</v>
      </c>
      <c r="DB154" s="210">
        <f t="shared" si="346"/>
        <v>0</v>
      </c>
      <c r="DC154" s="210">
        <f t="shared" si="347"/>
        <v>0</v>
      </c>
      <c r="DD154" s="209">
        <f t="shared" si="347"/>
        <v>0</v>
      </c>
      <c r="DE154" s="65">
        <f t="shared" si="351"/>
        <v>0</v>
      </c>
      <c r="DF154" s="210">
        <f t="shared" si="351"/>
        <v>0</v>
      </c>
      <c r="DG154" s="210">
        <f t="shared" si="351"/>
        <v>0</v>
      </c>
      <c r="DH154" s="210">
        <f t="shared" si="351"/>
        <v>0</v>
      </c>
      <c r="DI154" s="210">
        <f t="shared" si="351"/>
        <v>0</v>
      </c>
      <c r="DJ154" s="210">
        <f t="shared" si="348"/>
        <v>0</v>
      </c>
      <c r="DK154" s="210">
        <f t="shared" si="348"/>
        <v>0</v>
      </c>
      <c r="DL154" s="65">
        <f t="shared" si="352"/>
        <v>0</v>
      </c>
      <c r="DM154" s="210">
        <f t="shared" si="352"/>
        <v>0</v>
      </c>
      <c r="DN154" s="210">
        <f t="shared" si="352"/>
        <v>0</v>
      </c>
      <c r="DO154" s="210">
        <f t="shared" si="352"/>
        <v>0</v>
      </c>
      <c r="DP154" s="210">
        <f t="shared" si="352"/>
        <v>0</v>
      </c>
      <c r="DQ154" s="210">
        <f t="shared" si="349"/>
        <v>0</v>
      </c>
      <c r="DR154" s="210">
        <f t="shared" si="349"/>
        <v>0</v>
      </c>
      <c r="DS154" s="210">
        <f t="shared" si="349"/>
        <v>0</v>
      </c>
    </row>
    <row r="155" spans="1:124" s="201" customFormat="1" ht="26.25" hidden="1" customHeight="1" outlineLevel="1" collapsed="1" x14ac:dyDescent="0.4">
      <c r="A155" s="347">
        <v>75</v>
      </c>
      <c r="B155" s="347" t="s">
        <v>45</v>
      </c>
      <c r="C155" s="347" t="s">
        <v>346</v>
      </c>
      <c r="D155" s="349"/>
      <c r="E155" s="349"/>
      <c r="F155" s="349"/>
      <c r="G155" s="371"/>
      <c r="H155" s="449">
        <f>SUM(CQ155:CW155)</f>
        <v>0</v>
      </c>
      <c r="I155" s="449">
        <f>SUM(CQ156:CW156)</f>
        <v>0</v>
      </c>
      <c r="J155" s="447"/>
      <c r="K155" s="445"/>
      <c r="L155" s="445"/>
      <c r="M155" s="428"/>
      <c r="N155" s="21" t="s">
        <v>24</v>
      </c>
      <c r="O155" s="190">
        <f t="shared" si="356"/>
        <v>0</v>
      </c>
      <c r="P155" s="190">
        <f t="shared" si="356"/>
        <v>0</v>
      </c>
      <c r="Q155" s="190">
        <f t="shared" si="356"/>
        <v>0</v>
      </c>
      <c r="R155" s="190">
        <f t="shared" si="356"/>
        <v>0</v>
      </c>
      <c r="S155" s="190">
        <f t="shared" si="356"/>
        <v>0</v>
      </c>
      <c r="T155" s="190">
        <f t="shared" si="356"/>
        <v>0</v>
      </c>
      <c r="U155" s="190">
        <f t="shared" si="356"/>
        <v>0</v>
      </c>
      <c r="V155" s="190">
        <f t="shared" si="356"/>
        <v>0</v>
      </c>
      <c r="W155" s="190">
        <f t="shared" si="356"/>
        <v>0</v>
      </c>
      <c r="X155" s="86">
        <f t="shared" si="356"/>
        <v>0</v>
      </c>
      <c r="Y155" s="190">
        <f t="shared" ref="Y155:AD166" si="358">0/142.5</f>
        <v>0</v>
      </c>
      <c r="Z155" s="190">
        <f t="shared" si="358"/>
        <v>0</v>
      </c>
      <c r="AA155" s="190">
        <f t="shared" si="358"/>
        <v>0</v>
      </c>
      <c r="AB155" s="190">
        <f t="shared" si="358"/>
        <v>0</v>
      </c>
      <c r="AC155" s="190">
        <f t="shared" si="358"/>
        <v>0</v>
      </c>
      <c r="AD155" s="190">
        <f t="shared" si="358"/>
        <v>0</v>
      </c>
      <c r="AE155" s="190">
        <f t="shared" si="353"/>
        <v>0</v>
      </c>
      <c r="AF155" s="190"/>
      <c r="AG155" s="190">
        <f t="shared" si="353"/>
        <v>0</v>
      </c>
      <c r="AH155" s="190">
        <f t="shared" si="353"/>
        <v>0</v>
      </c>
      <c r="AI155" s="77">
        <f t="shared" si="353"/>
        <v>0</v>
      </c>
      <c r="AJ155" s="190">
        <f t="shared" si="353"/>
        <v>0</v>
      </c>
      <c r="AK155" s="190">
        <f t="shared" si="353"/>
        <v>0</v>
      </c>
      <c r="AL155" s="190">
        <f t="shared" si="353"/>
        <v>0</v>
      </c>
      <c r="AM155" s="190">
        <f t="shared" si="353"/>
        <v>0</v>
      </c>
      <c r="AN155" s="190">
        <f t="shared" si="353"/>
        <v>0</v>
      </c>
      <c r="AO155" s="190">
        <f t="shared" si="353"/>
        <v>0</v>
      </c>
      <c r="AP155" s="190">
        <f t="shared" si="353"/>
        <v>0</v>
      </c>
      <c r="AQ155" s="190">
        <f t="shared" si="353"/>
        <v>0</v>
      </c>
      <c r="AR155" s="225">
        <f t="shared" si="353"/>
        <v>0</v>
      </c>
      <c r="AS155" s="23">
        <f t="shared" si="355"/>
        <v>0</v>
      </c>
      <c r="AT155" s="190">
        <f t="shared" si="355"/>
        <v>0</v>
      </c>
      <c r="AU155" s="190">
        <f t="shared" si="355"/>
        <v>0</v>
      </c>
      <c r="AV155" s="190">
        <f t="shared" si="355"/>
        <v>0</v>
      </c>
      <c r="AW155" s="190">
        <f t="shared" si="355"/>
        <v>0</v>
      </c>
      <c r="AX155" s="190">
        <f t="shared" ref="AX155:BB166" si="359">0/165</f>
        <v>0</v>
      </c>
      <c r="AY155" s="190">
        <f t="shared" si="359"/>
        <v>0</v>
      </c>
      <c r="AZ155" s="190">
        <f t="shared" si="359"/>
        <v>0</v>
      </c>
      <c r="BA155" s="190">
        <f t="shared" si="359"/>
        <v>0</v>
      </c>
      <c r="BB155" s="225">
        <f t="shared" si="359"/>
        <v>0</v>
      </c>
      <c r="BC155" s="77">
        <f t="shared" ref="BC155:BI166" si="360">0/157.5</f>
        <v>0</v>
      </c>
      <c r="BD155" s="190">
        <f t="shared" si="360"/>
        <v>0</v>
      </c>
      <c r="BE155" s="190">
        <f t="shared" si="360"/>
        <v>0</v>
      </c>
      <c r="BF155" s="190">
        <f t="shared" si="360"/>
        <v>0</v>
      </c>
      <c r="BG155" s="190">
        <f t="shared" si="360"/>
        <v>0</v>
      </c>
      <c r="BH155" s="190">
        <f t="shared" si="360"/>
        <v>0</v>
      </c>
      <c r="BI155" s="190">
        <f t="shared" si="360"/>
        <v>0</v>
      </c>
      <c r="BJ155" s="190">
        <f t="shared" ref="BJ155:BL166" si="361">0/165</f>
        <v>0</v>
      </c>
      <c r="BK155" s="190">
        <f t="shared" si="361"/>
        <v>0</v>
      </c>
      <c r="BL155" s="190">
        <f t="shared" si="361"/>
        <v>0</v>
      </c>
      <c r="BM155" s="77">
        <f t="shared" si="357"/>
        <v>0</v>
      </c>
      <c r="BN155" s="190">
        <f t="shared" si="357"/>
        <v>0</v>
      </c>
      <c r="BO155" s="190">
        <f t="shared" si="357"/>
        <v>0</v>
      </c>
      <c r="BP155" s="190">
        <f t="shared" si="357"/>
        <v>0</v>
      </c>
      <c r="BQ155" s="190">
        <f t="shared" si="357"/>
        <v>0</v>
      </c>
      <c r="BR155" s="190">
        <f t="shared" si="357"/>
        <v>0</v>
      </c>
      <c r="BS155" s="190">
        <f t="shared" si="357"/>
        <v>0</v>
      </c>
      <c r="BT155" s="190"/>
      <c r="BU155" s="190"/>
      <c r="BV155" s="190">
        <f t="shared" si="357"/>
        <v>0</v>
      </c>
      <c r="BW155" s="23">
        <f t="shared" ref="BW155:CA166" si="362">0/142.5</f>
        <v>0</v>
      </c>
      <c r="BX155" s="190">
        <f t="shared" si="362"/>
        <v>0</v>
      </c>
      <c r="BY155" s="190">
        <f t="shared" si="362"/>
        <v>0</v>
      </c>
      <c r="BZ155" s="190">
        <f t="shared" si="362"/>
        <v>0</v>
      </c>
      <c r="CA155" s="190">
        <f t="shared" si="362"/>
        <v>0</v>
      </c>
      <c r="CB155" s="190">
        <f t="shared" ref="CB155:CF166" si="363">0/172.5</f>
        <v>0</v>
      </c>
      <c r="CC155" s="190">
        <f t="shared" si="363"/>
        <v>0</v>
      </c>
      <c r="CD155" s="190">
        <f t="shared" si="363"/>
        <v>0</v>
      </c>
      <c r="CE155" s="190">
        <f t="shared" si="363"/>
        <v>0</v>
      </c>
      <c r="CF155" s="190">
        <f t="shared" si="363"/>
        <v>0</v>
      </c>
      <c r="CG155" s="23">
        <f t="shared" si="350"/>
        <v>0</v>
      </c>
      <c r="CH155" s="190">
        <f t="shared" si="350"/>
        <v>0</v>
      </c>
      <c r="CI155" s="190">
        <f t="shared" si="350"/>
        <v>0</v>
      </c>
      <c r="CJ155" s="190">
        <f t="shared" si="350"/>
        <v>0</v>
      </c>
      <c r="CK155" s="190">
        <f t="shared" si="350"/>
        <v>0</v>
      </c>
      <c r="CL155" s="190">
        <f t="shared" ref="CL155:CP166" si="364">0/172.5</f>
        <v>0</v>
      </c>
      <c r="CM155" s="190">
        <f t="shared" si="364"/>
        <v>0</v>
      </c>
      <c r="CN155" s="190">
        <f t="shared" si="364"/>
        <v>0</v>
      </c>
      <c r="CO155" s="190">
        <f t="shared" si="364"/>
        <v>0</v>
      </c>
      <c r="CP155" s="21">
        <f t="shared" si="364"/>
        <v>0</v>
      </c>
      <c r="CQ155" s="23">
        <f t="shared" si="354"/>
        <v>0</v>
      </c>
      <c r="CR155" s="190">
        <f t="shared" si="354"/>
        <v>0</v>
      </c>
      <c r="CS155" s="190">
        <f t="shared" si="354"/>
        <v>0</v>
      </c>
      <c r="CT155" s="190">
        <f t="shared" si="354"/>
        <v>0</v>
      </c>
      <c r="CU155" s="190">
        <f t="shared" si="354"/>
        <v>0</v>
      </c>
      <c r="CV155" s="190">
        <f t="shared" ref="CV155:CW166" si="365">0/172.5</f>
        <v>0</v>
      </c>
      <c r="CW155" s="190">
        <f t="shared" si="365"/>
        <v>0</v>
      </c>
      <c r="CX155" s="77">
        <f t="shared" ref="CX155:DB166" si="366">0/157.5</f>
        <v>0</v>
      </c>
      <c r="CY155" s="190">
        <f t="shared" si="366"/>
        <v>0</v>
      </c>
      <c r="CZ155" s="190">
        <f t="shared" si="366"/>
        <v>0</v>
      </c>
      <c r="DA155" s="190">
        <f t="shared" si="366"/>
        <v>0</v>
      </c>
      <c r="DB155" s="190">
        <f t="shared" si="366"/>
        <v>0</v>
      </c>
      <c r="DC155" s="190">
        <f t="shared" ref="DC155:DD166" si="367">0/172.5</f>
        <v>0</v>
      </c>
      <c r="DD155" s="190">
        <f t="shared" si="367"/>
        <v>0</v>
      </c>
      <c r="DE155" s="23">
        <f t="shared" si="351"/>
        <v>0</v>
      </c>
      <c r="DF155" s="190">
        <f t="shared" si="351"/>
        <v>0</v>
      </c>
      <c r="DG155" s="190">
        <f t="shared" si="351"/>
        <v>0</v>
      </c>
      <c r="DH155" s="190">
        <f t="shared" si="351"/>
        <v>0</v>
      </c>
      <c r="DI155" s="190">
        <f t="shared" si="351"/>
        <v>0</v>
      </c>
      <c r="DJ155" s="190">
        <f t="shared" ref="DJ155:DK166" si="368">0/172.5</f>
        <v>0</v>
      </c>
      <c r="DK155" s="190">
        <f t="shared" si="368"/>
        <v>0</v>
      </c>
      <c r="DL155" s="23">
        <f t="shared" si="352"/>
        <v>0</v>
      </c>
      <c r="DM155" s="190">
        <f t="shared" si="352"/>
        <v>0</v>
      </c>
      <c r="DN155" s="190">
        <f t="shared" si="352"/>
        <v>0</v>
      </c>
      <c r="DO155" s="190">
        <f t="shared" si="352"/>
        <v>0</v>
      </c>
      <c r="DP155" s="190">
        <f t="shared" si="352"/>
        <v>0</v>
      </c>
      <c r="DQ155" s="190">
        <f t="shared" ref="DQ155:DS166" si="369">0/172.5</f>
        <v>0</v>
      </c>
      <c r="DR155" s="190">
        <f t="shared" si="369"/>
        <v>0</v>
      </c>
      <c r="DS155" s="190">
        <f t="shared" si="369"/>
        <v>0</v>
      </c>
      <c r="DT155" s="54"/>
    </row>
    <row r="156" spans="1:124" s="201" customFormat="1" ht="26.25" hidden="1" customHeight="1" outlineLevel="1" x14ac:dyDescent="0.4">
      <c r="A156" s="348"/>
      <c r="B156" s="348"/>
      <c r="C156" s="348"/>
      <c r="D156" s="350"/>
      <c r="E156" s="350"/>
      <c r="F156" s="350"/>
      <c r="G156" s="371"/>
      <c r="H156" s="450"/>
      <c r="I156" s="450"/>
      <c r="J156" s="448"/>
      <c r="K156" s="446"/>
      <c r="L156" s="446"/>
      <c r="M156" s="429"/>
      <c r="N156" s="209" t="s">
        <v>25</v>
      </c>
      <c r="O156" s="209">
        <f t="shared" si="356"/>
        <v>0</v>
      </c>
      <c r="P156" s="209">
        <f t="shared" si="356"/>
        <v>0</v>
      </c>
      <c r="Q156" s="209">
        <f t="shared" si="356"/>
        <v>0</v>
      </c>
      <c r="R156" s="209">
        <f t="shared" si="356"/>
        <v>0</v>
      </c>
      <c r="S156" s="209">
        <f t="shared" si="356"/>
        <v>0</v>
      </c>
      <c r="T156" s="209">
        <f t="shared" si="356"/>
        <v>0</v>
      </c>
      <c r="U156" s="209">
        <f t="shared" si="356"/>
        <v>0</v>
      </c>
      <c r="V156" s="209">
        <f t="shared" si="356"/>
        <v>0</v>
      </c>
      <c r="W156" s="209">
        <f t="shared" si="356"/>
        <v>0</v>
      </c>
      <c r="X156" s="53">
        <f t="shared" si="356"/>
        <v>0</v>
      </c>
      <c r="Y156" s="209">
        <f t="shared" si="358"/>
        <v>0</v>
      </c>
      <c r="Z156" s="209">
        <f t="shared" si="358"/>
        <v>0</v>
      </c>
      <c r="AA156" s="209">
        <f t="shared" si="358"/>
        <v>0</v>
      </c>
      <c r="AB156" s="209">
        <f t="shared" si="358"/>
        <v>0</v>
      </c>
      <c r="AC156" s="209">
        <f t="shared" si="358"/>
        <v>0</v>
      </c>
      <c r="AD156" s="209">
        <f t="shared" si="358"/>
        <v>0</v>
      </c>
      <c r="AE156" s="209">
        <f t="shared" si="353"/>
        <v>0</v>
      </c>
      <c r="AF156" s="209"/>
      <c r="AG156" s="209">
        <f t="shared" si="353"/>
        <v>0</v>
      </c>
      <c r="AH156" s="209">
        <f t="shared" si="353"/>
        <v>0</v>
      </c>
      <c r="AI156" s="58">
        <f t="shared" si="353"/>
        <v>0</v>
      </c>
      <c r="AJ156" s="209">
        <f t="shared" si="353"/>
        <v>0</v>
      </c>
      <c r="AK156" s="209">
        <f t="shared" si="353"/>
        <v>0</v>
      </c>
      <c r="AL156" s="209">
        <f t="shared" si="353"/>
        <v>0</v>
      </c>
      <c r="AM156" s="209">
        <f t="shared" si="353"/>
        <v>0</v>
      </c>
      <c r="AN156" s="209">
        <f t="shared" si="353"/>
        <v>0</v>
      </c>
      <c r="AO156" s="209">
        <f t="shared" si="353"/>
        <v>0</v>
      </c>
      <c r="AP156" s="209">
        <f t="shared" si="353"/>
        <v>0</v>
      </c>
      <c r="AQ156" s="209">
        <f t="shared" si="353"/>
        <v>0</v>
      </c>
      <c r="AR156" s="53">
        <f t="shared" si="353"/>
        <v>0</v>
      </c>
      <c r="AS156" s="65">
        <f t="shared" si="355"/>
        <v>0</v>
      </c>
      <c r="AT156" s="210">
        <f t="shared" si="355"/>
        <v>0</v>
      </c>
      <c r="AU156" s="210">
        <f t="shared" si="355"/>
        <v>0</v>
      </c>
      <c r="AV156" s="210">
        <f t="shared" si="355"/>
        <v>0</v>
      </c>
      <c r="AW156" s="280">
        <f t="shared" si="355"/>
        <v>0</v>
      </c>
      <c r="AX156" s="210">
        <f t="shared" si="359"/>
        <v>0</v>
      </c>
      <c r="AY156" s="210">
        <f t="shared" si="359"/>
        <v>0</v>
      </c>
      <c r="AZ156" s="210">
        <f t="shared" si="359"/>
        <v>0</v>
      </c>
      <c r="BA156" s="210">
        <f t="shared" si="359"/>
        <v>0</v>
      </c>
      <c r="BB156" s="53">
        <f t="shared" si="359"/>
        <v>0</v>
      </c>
      <c r="BC156" s="58">
        <f t="shared" si="360"/>
        <v>0</v>
      </c>
      <c r="BD156" s="209">
        <f t="shared" si="360"/>
        <v>0</v>
      </c>
      <c r="BE156" s="209">
        <f t="shared" si="360"/>
        <v>0</v>
      </c>
      <c r="BF156" s="209">
        <f t="shared" si="360"/>
        <v>0</v>
      </c>
      <c r="BG156" s="209">
        <f t="shared" si="360"/>
        <v>0</v>
      </c>
      <c r="BH156" s="209">
        <f t="shared" si="360"/>
        <v>0</v>
      </c>
      <c r="BI156" s="209">
        <f t="shared" si="360"/>
        <v>0</v>
      </c>
      <c r="BJ156" s="209">
        <f t="shared" si="361"/>
        <v>0</v>
      </c>
      <c r="BK156" s="209">
        <f t="shared" si="361"/>
        <v>0</v>
      </c>
      <c r="BL156" s="209">
        <f t="shared" si="361"/>
        <v>0</v>
      </c>
      <c r="BM156" s="58">
        <f t="shared" si="357"/>
        <v>0</v>
      </c>
      <c r="BN156" s="209">
        <f t="shared" si="357"/>
        <v>0</v>
      </c>
      <c r="BO156" s="209">
        <f t="shared" si="357"/>
        <v>0</v>
      </c>
      <c r="BP156" s="209">
        <f t="shared" si="357"/>
        <v>0</v>
      </c>
      <c r="BQ156" s="209">
        <f t="shared" si="357"/>
        <v>0</v>
      </c>
      <c r="BR156" s="209">
        <f t="shared" si="357"/>
        <v>0</v>
      </c>
      <c r="BS156" s="209">
        <f t="shared" si="357"/>
        <v>0</v>
      </c>
      <c r="BT156" s="209"/>
      <c r="BU156" s="209"/>
      <c r="BV156" s="209">
        <f t="shared" si="357"/>
        <v>0</v>
      </c>
      <c r="BW156" s="65">
        <f t="shared" si="362"/>
        <v>0</v>
      </c>
      <c r="BX156" s="209">
        <f t="shared" si="362"/>
        <v>0</v>
      </c>
      <c r="BY156" s="209">
        <f t="shared" si="362"/>
        <v>0</v>
      </c>
      <c r="BZ156" s="209">
        <f t="shared" si="362"/>
        <v>0</v>
      </c>
      <c r="CA156" s="209">
        <f t="shared" si="362"/>
        <v>0</v>
      </c>
      <c r="CB156" s="209">
        <f t="shared" si="363"/>
        <v>0</v>
      </c>
      <c r="CC156" s="209">
        <f t="shared" si="363"/>
        <v>0</v>
      </c>
      <c r="CD156" s="209">
        <f t="shared" si="363"/>
        <v>0</v>
      </c>
      <c r="CE156" s="209">
        <f t="shared" si="363"/>
        <v>0</v>
      </c>
      <c r="CF156" s="209">
        <f t="shared" si="363"/>
        <v>0</v>
      </c>
      <c r="CG156" s="65">
        <f t="shared" si="350"/>
        <v>0</v>
      </c>
      <c r="CH156" s="210">
        <f t="shared" si="350"/>
        <v>0</v>
      </c>
      <c r="CI156" s="210">
        <f t="shared" si="350"/>
        <v>0</v>
      </c>
      <c r="CJ156" s="210">
        <f t="shared" si="350"/>
        <v>0</v>
      </c>
      <c r="CK156" s="210">
        <f t="shared" si="350"/>
        <v>0</v>
      </c>
      <c r="CL156" s="210">
        <f t="shared" si="364"/>
        <v>0</v>
      </c>
      <c r="CM156" s="210">
        <f t="shared" si="364"/>
        <v>0</v>
      </c>
      <c r="CN156" s="210">
        <f t="shared" si="364"/>
        <v>0</v>
      </c>
      <c r="CO156" s="210">
        <f t="shared" si="364"/>
        <v>0</v>
      </c>
      <c r="CP156" s="66">
        <f t="shared" si="364"/>
        <v>0</v>
      </c>
      <c r="CQ156" s="65">
        <f t="shared" si="354"/>
        <v>0</v>
      </c>
      <c r="CR156" s="210">
        <f t="shared" si="354"/>
        <v>0</v>
      </c>
      <c r="CS156" s="210">
        <f t="shared" si="354"/>
        <v>0</v>
      </c>
      <c r="CT156" s="210">
        <f t="shared" si="354"/>
        <v>0</v>
      </c>
      <c r="CU156" s="210">
        <f t="shared" si="354"/>
        <v>0</v>
      </c>
      <c r="CV156" s="210">
        <f t="shared" si="365"/>
        <v>0</v>
      </c>
      <c r="CW156" s="210">
        <f t="shared" si="365"/>
        <v>0</v>
      </c>
      <c r="CX156" s="65">
        <f t="shared" si="366"/>
        <v>0</v>
      </c>
      <c r="CY156" s="210">
        <f t="shared" si="366"/>
        <v>0</v>
      </c>
      <c r="CZ156" s="210">
        <f t="shared" si="366"/>
        <v>0</v>
      </c>
      <c r="DA156" s="210">
        <f t="shared" si="366"/>
        <v>0</v>
      </c>
      <c r="DB156" s="210">
        <f t="shared" si="366"/>
        <v>0</v>
      </c>
      <c r="DC156" s="210">
        <f t="shared" si="367"/>
        <v>0</v>
      </c>
      <c r="DD156" s="209">
        <f t="shared" si="367"/>
        <v>0</v>
      </c>
      <c r="DE156" s="65">
        <f t="shared" si="351"/>
        <v>0</v>
      </c>
      <c r="DF156" s="210">
        <f t="shared" si="351"/>
        <v>0</v>
      </c>
      <c r="DG156" s="210">
        <f t="shared" si="351"/>
        <v>0</v>
      </c>
      <c r="DH156" s="210">
        <f t="shared" si="351"/>
        <v>0</v>
      </c>
      <c r="DI156" s="210">
        <f t="shared" si="351"/>
        <v>0</v>
      </c>
      <c r="DJ156" s="210">
        <f t="shared" si="368"/>
        <v>0</v>
      </c>
      <c r="DK156" s="210">
        <f t="shared" si="368"/>
        <v>0</v>
      </c>
      <c r="DL156" s="65">
        <f t="shared" si="352"/>
        <v>0</v>
      </c>
      <c r="DM156" s="210">
        <f t="shared" si="352"/>
        <v>0</v>
      </c>
      <c r="DN156" s="210">
        <f t="shared" si="352"/>
        <v>0</v>
      </c>
      <c r="DO156" s="210">
        <f t="shared" si="352"/>
        <v>0</v>
      </c>
      <c r="DP156" s="210">
        <f t="shared" si="352"/>
        <v>0</v>
      </c>
      <c r="DQ156" s="210">
        <f t="shared" si="369"/>
        <v>0</v>
      </c>
      <c r="DR156" s="210">
        <f t="shared" si="369"/>
        <v>0</v>
      </c>
      <c r="DS156" s="210">
        <f t="shared" si="369"/>
        <v>0</v>
      </c>
    </row>
    <row r="157" spans="1:124" s="201" customFormat="1" ht="26.25" hidden="1" customHeight="1" outlineLevel="1" x14ac:dyDescent="0.4">
      <c r="A157" s="347">
        <v>76</v>
      </c>
      <c r="B157" s="347" t="s">
        <v>45</v>
      </c>
      <c r="C157" s="347" t="s">
        <v>346</v>
      </c>
      <c r="D157" s="349"/>
      <c r="E157" s="349"/>
      <c r="F157" s="349"/>
      <c r="G157" s="371"/>
      <c r="H157" s="449">
        <f>SUM(CQ157:CW157)</f>
        <v>0</v>
      </c>
      <c r="I157" s="449">
        <f>SUM(CQ158:CW158)</f>
        <v>0</v>
      </c>
      <c r="J157" s="447"/>
      <c r="K157" s="445"/>
      <c r="L157" s="445"/>
      <c r="M157" s="428"/>
      <c r="N157" s="21" t="s">
        <v>24</v>
      </c>
      <c r="O157" s="190">
        <f t="shared" si="356"/>
        <v>0</v>
      </c>
      <c r="P157" s="190">
        <f t="shared" si="356"/>
        <v>0</v>
      </c>
      <c r="Q157" s="190">
        <f t="shared" si="356"/>
        <v>0</v>
      </c>
      <c r="R157" s="190">
        <f t="shared" si="356"/>
        <v>0</v>
      </c>
      <c r="S157" s="190">
        <f t="shared" si="356"/>
        <v>0</v>
      </c>
      <c r="T157" s="190">
        <f t="shared" si="356"/>
        <v>0</v>
      </c>
      <c r="U157" s="190">
        <f t="shared" si="356"/>
        <v>0</v>
      </c>
      <c r="V157" s="190">
        <f t="shared" si="356"/>
        <v>0</v>
      </c>
      <c r="W157" s="190">
        <f t="shared" si="356"/>
        <v>0</v>
      </c>
      <c r="X157" s="86">
        <f t="shared" si="356"/>
        <v>0</v>
      </c>
      <c r="Y157" s="190">
        <f t="shared" si="358"/>
        <v>0</v>
      </c>
      <c r="Z157" s="190">
        <f t="shared" si="358"/>
        <v>0</v>
      </c>
      <c r="AA157" s="190">
        <f t="shared" si="358"/>
        <v>0</v>
      </c>
      <c r="AB157" s="190">
        <f t="shared" si="358"/>
        <v>0</v>
      </c>
      <c r="AC157" s="190">
        <f t="shared" si="358"/>
        <v>0</v>
      </c>
      <c r="AD157" s="190">
        <f t="shared" si="358"/>
        <v>0</v>
      </c>
      <c r="AE157" s="190">
        <f t="shared" si="353"/>
        <v>0</v>
      </c>
      <c r="AF157" s="190"/>
      <c r="AG157" s="190">
        <f t="shared" si="353"/>
        <v>0</v>
      </c>
      <c r="AH157" s="190">
        <f t="shared" si="353"/>
        <v>0</v>
      </c>
      <c r="AI157" s="77">
        <f t="shared" si="353"/>
        <v>0</v>
      </c>
      <c r="AJ157" s="190">
        <f t="shared" si="353"/>
        <v>0</v>
      </c>
      <c r="AK157" s="190">
        <f t="shared" si="353"/>
        <v>0</v>
      </c>
      <c r="AL157" s="190">
        <f t="shared" si="353"/>
        <v>0</v>
      </c>
      <c r="AM157" s="190">
        <f t="shared" si="353"/>
        <v>0</v>
      </c>
      <c r="AN157" s="190">
        <f t="shared" si="353"/>
        <v>0</v>
      </c>
      <c r="AO157" s="190">
        <f t="shared" si="353"/>
        <v>0</v>
      </c>
      <c r="AP157" s="190">
        <f t="shared" si="353"/>
        <v>0</v>
      </c>
      <c r="AQ157" s="190">
        <f t="shared" si="353"/>
        <v>0</v>
      </c>
      <c r="AR157" s="225">
        <f t="shared" si="353"/>
        <v>0</v>
      </c>
      <c r="AS157" s="23">
        <f t="shared" si="355"/>
        <v>0</v>
      </c>
      <c r="AT157" s="190">
        <f t="shared" si="355"/>
        <v>0</v>
      </c>
      <c r="AU157" s="190">
        <f t="shared" si="355"/>
        <v>0</v>
      </c>
      <c r="AV157" s="190">
        <f t="shared" si="355"/>
        <v>0</v>
      </c>
      <c r="AW157" s="190">
        <f t="shared" si="355"/>
        <v>0</v>
      </c>
      <c r="AX157" s="190">
        <f t="shared" si="359"/>
        <v>0</v>
      </c>
      <c r="AY157" s="190">
        <f t="shared" si="359"/>
        <v>0</v>
      </c>
      <c r="AZ157" s="190">
        <f t="shared" si="359"/>
        <v>0</v>
      </c>
      <c r="BA157" s="190">
        <f t="shared" si="359"/>
        <v>0</v>
      </c>
      <c r="BB157" s="225">
        <f t="shared" si="359"/>
        <v>0</v>
      </c>
      <c r="BC157" s="77">
        <f t="shared" si="360"/>
        <v>0</v>
      </c>
      <c r="BD157" s="190">
        <f t="shared" si="360"/>
        <v>0</v>
      </c>
      <c r="BE157" s="190">
        <f t="shared" si="360"/>
        <v>0</v>
      </c>
      <c r="BF157" s="190">
        <f t="shared" si="360"/>
        <v>0</v>
      </c>
      <c r="BG157" s="190">
        <f t="shared" si="360"/>
        <v>0</v>
      </c>
      <c r="BH157" s="190">
        <f t="shared" si="360"/>
        <v>0</v>
      </c>
      <c r="BI157" s="190">
        <f t="shared" si="360"/>
        <v>0</v>
      </c>
      <c r="BJ157" s="190">
        <f t="shared" si="361"/>
        <v>0</v>
      </c>
      <c r="BK157" s="190">
        <f t="shared" si="361"/>
        <v>0</v>
      </c>
      <c r="BL157" s="190">
        <f t="shared" si="361"/>
        <v>0</v>
      </c>
      <c r="BM157" s="77">
        <f t="shared" si="357"/>
        <v>0</v>
      </c>
      <c r="BN157" s="190">
        <f t="shared" si="357"/>
        <v>0</v>
      </c>
      <c r="BO157" s="190">
        <f t="shared" si="357"/>
        <v>0</v>
      </c>
      <c r="BP157" s="190">
        <f t="shared" si="357"/>
        <v>0</v>
      </c>
      <c r="BQ157" s="190">
        <f t="shared" si="357"/>
        <v>0</v>
      </c>
      <c r="BR157" s="190">
        <f t="shared" si="357"/>
        <v>0</v>
      </c>
      <c r="BS157" s="190">
        <f t="shared" si="357"/>
        <v>0</v>
      </c>
      <c r="BT157" s="190"/>
      <c r="BU157" s="190"/>
      <c r="BV157" s="190">
        <f t="shared" si="357"/>
        <v>0</v>
      </c>
      <c r="BW157" s="23">
        <f t="shared" si="362"/>
        <v>0</v>
      </c>
      <c r="BX157" s="190">
        <f t="shared" si="362"/>
        <v>0</v>
      </c>
      <c r="BY157" s="190">
        <f t="shared" si="362"/>
        <v>0</v>
      </c>
      <c r="BZ157" s="190">
        <f t="shared" si="362"/>
        <v>0</v>
      </c>
      <c r="CA157" s="190">
        <f t="shared" si="362"/>
        <v>0</v>
      </c>
      <c r="CB157" s="190">
        <f t="shared" si="363"/>
        <v>0</v>
      </c>
      <c r="CC157" s="190">
        <f t="shared" si="363"/>
        <v>0</v>
      </c>
      <c r="CD157" s="190">
        <f t="shared" si="363"/>
        <v>0</v>
      </c>
      <c r="CE157" s="190">
        <f t="shared" si="363"/>
        <v>0</v>
      </c>
      <c r="CF157" s="190">
        <f t="shared" si="363"/>
        <v>0</v>
      </c>
      <c r="CG157" s="23">
        <f t="shared" si="350"/>
        <v>0</v>
      </c>
      <c r="CH157" s="190">
        <f t="shared" si="350"/>
        <v>0</v>
      </c>
      <c r="CI157" s="190">
        <f t="shared" si="350"/>
        <v>0</v>
      </c>
      <c r="CJ157" s="190">
        <f t="shared" si="350"/>
        <v>0</v>
      </c>
      <c r="CK157" s="190">
        <f t="shared" si="350"/>
        <v>0</v>
      </c>
      <c r="CL157" s="190">
        <f t="shared" si="364"/>
        <v>0</v>
      </c>
      <c r="CM157" s="190">
        <f t="shared" si="364"/>
        <v>0</v>
      </c>
      <c r="CN157" s="190">
        <f t="shared" si="364"/>
        <v>0</v>
      </c>
      <c r="CO157" s="190">
        <f t="shared" si="364"/>
        <v>0</v>
      </c>
      <c r="CP157" s="21">
        <f t="shared" si="364"/>
        <v>0</v>
      </c>
      <c r="CQ157" s="23">
        <f t="shared" si="354"/>
        <v>0</v>
      </c>
      <c r="CR157" s="190">
        <f t="shared" si="354"/>
        <v>0</v>
      </c>
      <c r="CS157" s="190">
        <f t="shared" si="354"/>
        <v>0</v>
      </c>
      <c r="CT157" s="190">
        <f t="shared" si="354"/>
        <v>0</v>
      </c>
      <c r="CU157" s="190">
        <f t="shared" si="354"/>
        <v>0</v>
      </c>
      <c r="CV157" s="190">
        <f t="shared" si="365"/>
        <v>0</v>
      </c>
      <c r="CW157" s="190">
        <f t="shared" si="365"/>
        <v>0</v>
      </c>
      <c r="CX157" s="77">
        <f t="shared" si="366"/>
        <v>0</v>
      </c>
      <c r="CY157" s="190">
        <f t="shared" si="366"/>
        <v>0</v>
      </c>
      <c r="CZ157" s="190">
        <f t="shared" si="366"/>
        <v>0</v>
      </c>
      <c r="DA157" s="190">
        <f t="shared" si="366"/>
        <v>0</v>
      </c>
      <c r="DB157" s="190">
        <f t="shared" si="366"/>
        <v>0</v>
      </c>
      <c r="DC157" s="190">
        <f t="shared" si="367"/>
        <v>0</v>
      </c>
      <c r="DD157" s="190">
        <f t="shared" si="367"/>
        <v>0</v>
      </c>
      <c r="DE157" s="23">
        <f t="shared" si="351"/>
        <v>0</v>
      </c>
      <c r="DF157" s="190">
        <f t="shared" si="351"/>
        <v>0</v>
      </c>
      <c r="DG157" s="190">
        <f t="shared" si="351"/>
        <v>0</v>
      </c>
      <c r="DH157" s="190">
        <f t="shared" si="351"/>
        <v>0</v>
      </c>
      <c r="DI157" s="190">
        <f t="shared" si="351"/>
        <v>0</v>
      </c>
      <c r="DJ157" s="190">
        <f t="shared" si="368"/>
        <v>0</v>
      </c>
      <c r="DK157" s="190">
        <f t="shared" si="368"/>
        <v>0</v>
      </c>
      <c r="DL157" s="23">
        <f t="shared" si="352"/>
        <v>0</v>
      </c>
      <c r="DM157" s="190">
        <f t="shared" si="352"/>
        <v>0</v>
      </c>
      <c r="DN157" s="190">
        <f t="shared" si="352"/>
        <v>0</v>
      </c>
      <c r="DO157" s="190">
        <f t="shared" si="352"/>
        <v>0</v>
      </c>
      <c r="DP157" s="190">
        <f t="shared" si="352"/>
        <v>0</v>
      </c>
      <c r="DQ157" s="190">
        <f t="shared" si="369"/>
        <v>0</v>
      </c>
      <c r="DR157" s="190">
        <f t="shared" si="369"/>
        <v>0</v>
      </c>
      <c r="DS157" s="190">
        <f t="shared" si="369"/>
        <v>0</v>
      </c>
      <c r="DT157" s="54"/>
    </row>
    <row r="158" spans="1:124" s="201" customFormat="1" ht="26.25" hidden="1" customHeight="1" outlineLevel="1" x14ac:dyDescent="0.4">
      <c r="A158" s="348"/>
      <c r="B158" s="348"/>
      <c r="C158" s="348"/>
      <c r="D158" s="350"/>
      <c r="E158" s="350"/>
      <c r="F158" s="350"/>
      <c r="G158" s="371"/>
      <c r="H158" s="450"/>
      <c r="I158" s="450"/>
      <c r="J158" s="448"/>
      <c r="K158" s="446"/>
      <c r="L158" s="446"/>
      <c r="M158" s="429"/>
      <c r="N158" s="209" t="s">
        <v>25</v>
      </c>
      <c r="O158" s="209">
        <f t="shared" si="356"/>
        <v>0</v>
      </c>
      <c r="P158" s="209">
        <f t="shared" si="356"/>
        <v>0</v>
      </c>
      <c r="Q158" s="209">
        <f t="shared" si="356"/>
        <v>0</v>
      </c>
      <c r="R158" s="209">
        <f t="shared" si="356"/>
        <v>0</v>
      </c>
      <c r="S158" s="209">
        <f t="shared" si="356"/>
        <v>0</v>
      </c>
      <c r="T158" s="209">
        <f t="shared" si="356"/>
        <v>0</v>
      </c>
      <c r="U158" s="209">
        <f t="shared" si="356"/>
        <v>0</v>
      </c>
      <c r="V158" s="209">
        <f t="shared" si="356"/>
        <v>0</v>
      </c>
      <c r="W158" s="209">
        <f t="shared" si="356"/>
        <v>0</v>
      </c>
      <c r="X158" s="53">
        <f t="shared" si="356"/>
        <v>0</v>
      </c>
      <c r="Y158" s="209">
        <f t="shared" si="358"/>
        <v>0</v>
      </c>
      <c r="Z158" s="209">
        <f t="shared" si="358"/>
        <v>0</v>
      </c>
      <c r="AA158" s="209">
        <f t="shared" si="358"/>
        <v>0</v>
      </c>
      <c r="AB158" s="209">
        <f t="shared" si="358"/>
        <v>0</v>
      </c>
      <c r="AC158" s="209">
        <f t="shared" si="358"/>
        <v>0</v>
      </c>
      <c r="AD158" s="209">
        <f t="shared" si="358"/>
        <v>0</v>
      </c>
      <c r="AE158" s="209">
        <f t="shared" si="353"/>
        <v>0</v>
      </c>
      <c r="AF158" s="209"/>
      <c r="AG158" s="209">
        <f t="shared" si="353"/>
        <v>0</v>
      </c>
      <c r="AH158" s="209">
        <f t="shared" si="353"/>
        <v>0</v>
      </c>
      <c r="AI158" s="58">
        <f t="shared" si="353"/>
        <v>0</v>
      </c>
      <c r="AJ158" s="209">
        <f t="shared" si="353"/>
        <v>0</v>
      </c>
      <c r="AK158" s="209">
        <f t="shared" si="353"/>
        <v>0</v>
      </c>
      <c r="AL158" s="209">
        <f t="shared" si="353"/>
        <v>0</v>
      </c>
      <c r="AM158" s="209">
        <f t="shared" si="353"/>
        <v>0</v>
      </c>
      <c r="AN158" s="209">
        <f t="shared" si="353"/>
        <v>0</v>
      </c>
      <c r="AO158" s="209">
        <f t="shared" si="353"/>
        <v>0</v>
      </c>
      <c r="AP158" s="209">
        <f t="shared" si="353"/>
        <v>0</v>
      </c>
      <c r="AQ158" s="209">
        <f t="shared" si="353"/>
        <v>0</v>
      </c>
      <c r="AR158" s="53">
        <f t="shared" si="353"/>
        <v>0</v>
      </c>
      <c r="AS158" s="65">
        <f t="shared" si="355"/>
        <v>0</v>
      </c>
      <c r="AT158" s="210">
        <f t="shared" si="355"/>
        <v>0</v>
      </c>
      <c r="AU158" s="210">
        <f t="shared" si="355"/>
        <v>0</v>
      </c>
      <c r="AV158" s="210">
        <f t="shared" si="355"/>
        <v>0</v>
      </c>
      <c r="AW158" s="280">
        <f t="shared" si="355"/>
        <v>0</v>
      </c>
      <c r="AX158" s="210">
        <f t="shared" si="359"/>
        <v>0</v>
      </c>
      <c r="AY158" s="210">
        <f t="shared" si="359"/>
        <v>0</v>
      </c>
      <c r="AZ158" s="210">
        <f t="shared" si="359"/>
        <v>0</v>
      </c>
      <c r="BA158" s="210">
        <f t="shared" si="359"/>
        <v>0</v>
      </c>
      <c r="BB158" s="53">
        <f t="shared" si="359"/>
        <v>0</v>
      </c>
      <c r="BC158" s="58">
        <f t="shared" si="360"/>
        <v>0</v>
      </c>
      <c r="BD158" s="209">
        <f t="shared" si="360"/>
        <v>0</v>
      </c>
      <c r="BE158" s="209">
        <f t="shared" si="360"/>
        <v>0</v>
      </c>
      <c r="BF158" s="209">
        <f t="shared" si="360"/>
        <v>0</v>
      </c>
      <c r="BG158" s="209">
        <f t="shared" si="360"/>
        <v>0</v>
      </c>
      <c r="BH158" s="209">
        <f t="shared" si="360"/>
        <v>0</v>
      </c>
      <c r="BI158" s="209">
        <f t="shared" si="360"/>
        <v>0</v>
      </c>
      <c r="BJ158" s="209">
        <f t="shared" si="361"/>
        <v>0</v>
      </c>
      <c r="BK158" s="209">
        <f t="shared" si="361"/>
        <v>0</v>
      </c>
      <c r="BL158" s="209">
        <f t="shared" si="361"/>
        <v>0</v>
      </c>
      <c r="BM158" s="58">
        <f t="shared" si="357"/>
        <v>0</v>
      </c>
      <c r="BN158" s="209">
        <f t="shared" si="357"/>
        <v>0</v>
      </c>
      <c r="BO158" s="209">
        <f t="shared" si="357"/>
        <v>0</v>
      </c>
      <c r="BP158" s="209">
        <f t="shared" si="357"/>
        <v>0</v>
      </c>
      <c r="BQ158" s="209">
        <f t="shared" si="357"/>
        <v>0</v>
      </c>
      <c r="BR158" s="209">
        <f t="shared" si="357"/>
        <v>0</v>
      </c>
      <c r="BS158" s="209">
        <f t="shared" si="357"/>
        <v>0</v>
      </c>
      <c r="BT158" s="209"/>
      <c r="BU158" s="209"/>
      <c r="BV158" s="209">
        <f t="shared" si="357"/>
        <v>0</v>
      </c>
      <c r="BW158" s="65">
        <f t="shared" si="362"/>
        <v>0</v>
      </c>
      <c r="BX158" s="209">
        <f t="shared" si="362"/>
        <v>0</v>
      </c>
      <c r="BY158" s="209">
        <f t="shared" si="362"/>
        <v>0</v>
      </c>
      <c r="BZ158" s="209">
        <f t="shared" si="362"/>
        <v>0</v>
      </c>
      <c r="CA158" s="209">
        <f t="shared" si="362"/>
        <v>0</v>
      </c>
      <c r="CB158" s="209">
        <f t="shared" si="363"/>
        <v>0</v>
      </c>
      <c r="CC158" s="209">
        <f t="shared" si="363"/>
        <v>0</v>
      </c>
      <c r="CD158" s="209">
        <f t="shared" si="363"/>
        <v>0</v>
      </c>
      <c r="CE158" s="209">
        <f t="shared" si="363"/>
        <v>0</v>
      </c>
      <c r="CF158" s="209">
        <f t="shared" si="363"/>
        <v>0</v>
      </c>
      <c r="CG158" s="65">
        <f t="shared" si="350"/>
        <v>0</v>
      </c>
      <c r="CH158" s="210">
        <f t="shared" si="350"/>
        <v>0</v>
      </c>
      <c r="CI158" s="210">
        <f t="shared" si="350"/>
        <v>0</v>
      </c>
      <c r="CJ158" s="210">
        <f t="shared" si="350"/>
        <v>0</v>
      </c>
      <c r="CK158" s="210">
        <f t="shared" si="350"/>
        <v>0</v>
      </c>
      <c r="CL158" s="210">
        <f t="shared" si="364"/>
        <v>0</v>
      </c>
      <c r="CM158" s="210">
        <f t="shared" si="364"/>
        <v>0</v>
      </c>
      <c r="CN158" s="210">
        <f t="shared" si="364"/>
        <v>0</v>
      </c>
      <c r="CO158" s="210">
        <f t="shared" si="364"/>
        <v>0</v>
      </c>
      <c r="CP158" s="66">
        <f t="shared" si="364"/>
        <v>0</v>
      </c>
      <c r="CQ158" s="65">
        <f t="shared" si="354"/>
        <v>0</v>
      </c>
      <c r="CR158" s="210">
        <f t="shared" si="354"/>
        <v>0</v>
      </c>
      <c r="CS158" s="210">
        <f t="shared" si="354"/>
        <v>0</v>
      </c>
      <c r="CT158" s="210">
        <f t="shared" si="354"/>
        <v>0</v>
      </c>
      <c r="CU158" s="210">
        <f t="shared" si="354"/>
        <v>0</v>
      </c>
      <c r="CV158" s="210">
        <f t="shared" si="365"/>
        <v>0</v>
      </c>
      <c r="CW158" s="210">
        <f t="shared" si="365"/>
        <v>0</v>
      </c>
      <c r="CX158" s="65">
        <f t="shared" si="366"/>
        <v>0</v>
      </c>
      <c r="CY158" s="210">
        <f t="shared" si="366"/>
        <v>0</v>
      </c>
      <c r="CZ158" s="210">
        <f t="shared" si="366"/>
        <v>0</v>
      </c>
      <c r="DA158" s="210">
        <f t="shared" si="366"/>
        <v>0</v>
      </c>
      <c r="DB158" s="210">
        <f t="shared" si="366"/>
        <v>0</v>
      </c>
      <c r="DC158" s="210">
        <f t="shared" si="367"/>
        <v>0</v>
      </c>
      <c r="DD158" s="209">
        <f t="shared" si="367"/>
        <v>0</v>
      </c>
      <c r="DE158" s="65">
        <f t="shared" si="351"/>
        <v>0</v>
      </c>
      <c r="DF158" s="210">
        <f t="shared" si="351"/>
        <v>0</v>
      </c>
      <c r="DG158" s="210">
        <f t="shared" si="351"/>
        <v>0</v>
      </c>
      <c r="DH158" s="210">
        <f t="shared" si="351"/>
        <v>0</v>
      </c>
      <c r="DI158" s="210">
        <f t="shared" si="351"/>
        <v>0</v>
      </c>
      <c r="DJ158" s="210">
        <f t="shared" si="368"/>
        <v>0</v>
      </c>
      <c r="DK158" s="210">
        <f t="shared" si="368"/>
        <v>0</v>
      </c>
      <c r="DL158" s="65">
        <f t="shared" si="352"/>
        <v>0</v>
      </c>
      <c r="DM158" s="210">
        <f t="shared" si="352"/>
        <v>0</v>
      </c>
      <c r="DN158" s="210">
        <f t="shared" si="352"/>
        <v>0</v>
      </c>
      <c r="DO158" s="210">
        <f t="shared" si="352"/>
        <v>0</v>
      </c>
      <c r="DP158" s="210">
        <f t="shared" si="352"/>
        <v>0</v>
      </c>
      <c r="DQ158" s="210">
        <f t="shared" si="369"/>
        <v>0</v>
      </c>
      <c r="DR158" s="210">
        <f t="shared" si="369"/>
        <v>0</v>
      </c>
      <c r="DS158" s="210">
        <f t="shared" si="369"/>
        <v>0</v>
      </c>
    </row>
    <row r="159" spans="1:124" s="201" customFormat="1" ht="26.25" hidden="1" customHeight="1" outlineLevel="1" collapsed="1" x14ac:dyDescent="0.4">
      <c r="A159" s="347">
        <v>77</v>
      </c>
      <c r="B159" s="347" t="s">
        <v>45</v>
      </c>
      <c r="C159" s="347" t="s">
        <v>346</v>
      </c>
      <c r="D159" s="349"/>
      <c r="E159" s="349"/>
      <c r="F159" s="349"/>
      <c r="G159" s="371"/>
      <c r="H159" s="449">
        <f>SUM(CQ159:CW159)</f>
        <v>0</v>
      </c>
      <c r="I159" s="449">
        <f>SUM(CQ160:CW160)</f>
        <v>0</v>
      </c>
      <c r="J159" s="447"/>
      <c r="K159" s="445"/>
      <c r="L159" s="445"/>
      <c r="M159" s="428"/>
      <c r="N159" s="21" t="s">
        <v>24</v>
      </c>
      <c r="O159" s="190">
        <f t="shared" si="356"/>
        <v>0</v>
      </c>
      <c r="P159" s="190">
        <f t="shared" si="356"/>
        <v>0</v>
      </c>
      <c r="Q159" s="190">
        <f t="shared" si="356"/>
        <v>0</v>
      </c>
      <c r="R159" s="190">
        <f t="shared" si="356"/>
        <v>0</v>
      </c>
      <c r="S159" s="190">
        <f t="shared" si="356"/>
        <v>0</v>
      </c>
      <c r="T159" s="190">
        <f t="shared" si="356"/>
        <v>0</v>
      </c>
      <c r="U159" s="190">
        <f t="shared" si="356"/>
        <v>0</v>
      </c>
      <c r="V159" s="190">
        <f t="shared" si="356"/>
        <v>0</v>
      </c>
      <c r="W159" s="190">
        <f t="shared" si="356"/>
        <v>0</v>
      </c>
      <c r="X159" s="86">
        <f t="shared" si="356"/>
        <v>0</v>
      </c>
      <c r="Y159" s="190">
        <f t="shared" si="358"/>
        <v>0</v>
      </c>
      <c r="Z159" s="190">
        <f t="shared" si="358"/>
        <v>0</v>
      </c>
      <c r="AA159" s="190">
        <f t="shared" si="358"/>
        <v>0</v>
      </c>
      <c r="AB159" s="190">
        <f t="shared" si="358"/>
        <v>0</v>
      </c>
      <c r="AC159" s="190">
        <f t="shared" si="358"/>
        <v>0</v>
      </c>
      <c r="AD159" s="190">
        <f t="shared" si="358"/>
        <v>0</v>
      </c>
      <c r="AE159" s="190">
        <f t="shared" si="353"/>
        <v>0</v>
      </c>
      <c r="AF159" s="190"/>
      <c r="AG159" s="190">
        <f t="shared" si="353"/>
        <v>0</v>
      </c>
      <c r="AH159" s="190">
        <f t="shared" si="353"/>
        <v>0</v>
      </c>
      <c r="AI159" s="77">
        <f t="shared" si="353"/>
        <v>0</v>
      </c>
      <c r="AJ159" s="190">
        <f t="shared" si="353"/>
        <v>0</v>
      </c>
      <c r="AK159" s="190">
        <f t="shared" si="353"/>
        <v>0</v>
      </c>
      <c r="AL159" s="190">
        <f t="shared" si="353"/>
        <v>0</v>
      </c>
      <c r="AM159" s="190">
        <f t="shared" si="353"/>
        <v>0</v>
      </c>
      <c r="AN159" s="190">
        <f t="shared" si="353"/>
        <v>0</v>
      </c>
      <c r="AO159" s="190">
        <f t="shared" si="353"/>
        <v>0</v>
      </c>
      <c r="AP159" s="190">
        <f t="shared" si="353"/>
        <v>0</v>
      </c>
      <c r="AQ159" s="190">
        <f t="shared" si="353"/>
        <v>0</v>
      </c>
      <c r="AR159" s="225">
        <f t="shared" si="353"/>
        <v>0</v>
      </c>
      <c r="AS159" s="23">
        <f t="shared" si="355"/>
        <v>0</v>
      </c>
      <c r="AT159" s="190">
        <f t="shared" si="355"/>
        <v>0</v>
      </c>
      <c r="AU159" s="190">
        <f t="shared" si="355"/>
        <v>0</v>
      </c>
      <c r="AV159" s="190">
        <f t="shared" si="355"/>
        <v>0</v>
      </c>
      <c r="AW159" s="190">
        <f t="shared" si="355"/>
        <v>0</v>
      </c>
      <c r="AX159" s="190">
        <f t="shared" si="359"/>
        <v>0</v>
      </c>
      <c r="AY159" s="190">
        <f t="shared" si="359"/>
        <v>0</v>
      </c>
      <c r="AZ159" s="190">
        <f t="shared" si="359"/>
        <v>0</v>
      </c>
      <c r="BA159" s="190">
        <f t="shared" si="359"/>
        <v>0</v>
      </c>
      <c r="BB159" s="225">
        <f t="shared" si="359"/>
        <v>0</v>
      </c>
      <c r="BC159" s="77">
        <f t="shared" si="360"/>
        <v>0</v>
      </c>
      <c r="BD159" s="190">
        <f t="shared" si="360"/>
        <v>0</v>
      </c>
      <c r="BE159" s="190">
        <f t="shared" si="360"/>
        <v>0</v>
      </c>
      <c r="BF159" s="190">
        <f t="shared" si="360"/>
        <v>0</v>
      </c>
      <c r="BG159" s="190">
        <f t="shared" si="360"/>
        <v>0</v>
      </c>
      <c r="BH159" s="190">
        <f t="shared" si="360"/>
        <v>0</v>
      </c>
      <c r="BI159" s="190">
        <f t="shared" si="360"/>
        <v>0</v>
      </c>
      <c r="BJ159" s="190">
        <f t="shared" si="361"/>
        <v>0</v>
      </c>
      <c r="BK159" s="190">
        <f t="shared" si="361"/>
        <v>0</v>
      </c>
      <c r="BL159" s="190">
        <f t="shared" si="361"/>
        <v>0</v>
      </c>
      <c r="BM159" s="77">
        <f t="shared" si="357"/>
        <v>0</v>
      </c>
      <c r="BN159" s="190">
        <f t="shared" si="357"/>
        <v>0</v>
      </c>
      <c r="BO159" s="190">
        <f t="shared" si="357"/>
        <v>0</v>
      </c>
      <c r="BP159" s="190">
        <f t="shared" si="357"/>
        <v>0</v>
      </c>
      <c r="BQ159" s="190">
        <f t="shared" si="357"/>
        <v>0</v>
      </c>
      <c r="BR159" s="190">
        <f t="shared" si="357"/>
        <v>0</v>
      </c>
      <c r="BS159" s="190">
        <f t="shared" si="357"/>
        <v>0</v>
      </c>
      <c r="BT159" s="190"/>
      <c r="BU159" s="190"/>
      <c r="BV159" s="190">
        <f t="shared" si="357"/>
        <v>0</v>
      </c>
      <c r="BW159" s="23">
        <f t="shared" si="362"/>
        <v>0</v>
      </c>
      <c r="BX159" s="190">
        <f t="shared" si="362"/>
        <v>0</v>
      </c>
      <c r="BY159" s="190">
        <f t="shared" si="362"/>
        <v>0</v>
      </c>
      <c r="BZ159" s="190">
        <f t="shared" si="362"/>
        <v>0</v>
      </c>
      <c r="CA159" s="190">
        <f t="shared" si="362"/>
        <v>0</v>
      </c>
      <c r="CB159" s="190">
        <f t="shared" si="363"/>
        <v>0</v>
      </c>
      <c r="CC159" s="190">
        <f t="shared" si="363"/>
        <v>0</v>
      </c>
      <c r="CD159" s="190">
        <f t="shared" si="363"/>
        <v>0</v>
      </c>
      <c r="CE159" s="190">
        <f t="shared" si="363"/>
        <v>0</v>
      </c>
      <c r="CF159" s="190">
        <f t="shared" si="363"/>
        <v>0</v>
      </c>
      <c r="CG159" s="23">
        <f t="shared" si="350"/>
        <v>0</v>
      </c>
      <c r="CH159" s="190">
        <f t="shared" si="350"/>
        <v>0</v>
      </c>
      <c r="CI159" s="190">
        <f t="shared" si="350"/>
        <v>0</v>
      </c>
      <c r="CJ159" s="190">
        <f t="shared" si="350"/>
        <v>0</v>
      </c>
      <c r="CK159" s="190">
        <f t="shared" si="350"/>
        <v>0</v>
      </c>
      <c r="CL159" s="190">
        <f t="shared" si="364"/>
        <v>0</v>
      </c>
      <c r="CM159" s="190">
        <f t="shared" si="364"/>
        <v>0</v>
      </c>
      <c r="CN159" s="190">
        <f t="shared" si="364"/>
        <v>0</v>
      </c>
      <c r="CO159" s="190">
        <f t="shared" si="364"/>
        <v>0</v>
      </c>
      <c r="CP159" s="21">
        <f t="shared" si="364"/>
        <v>0</v>
      </c>
      <c r="CQ159" s="23">
        <f t="shared" si="354"/>
        <v>0</v>
      </c>
      <c r="CR159" s="190">
        <f t="shared" si="354"/>
        <v>0</v>
      </c>
      <c r="CS159" s="190">
        <f t="shared" si="354"/>
        <v>0</v>
      </c>
      <c r="CT159" s="190">
        <f t="shared" si="354"/>
        <v>0</v>
      </c>
      <c r="CU159" s="190">
        <f t="shared" si="354"/>
        <v>0</v>
      </c>
      <c r="CV159" s="190">
        <f t="shared" si="365"/>
        <v>0</v>
      </c>
      <c r="CW159" s="190">
        <f t="shared" si="365"/>
        <v>0</v>
      </c>
      <c r="CX159" s="77">
        <f t="shared" si="366"/>
        <v>0</v>
      </c>
      <c r="CY159" s="190">
        <f t="shared" si="366"/>
        <v>0</v>
      </c>
      <c r="CZ159" s="190">
        <f t="shared" si="366"/>
        <v>0</v>
      </c>
      <c r="DA159" s="190">
        <f t="shared" si="366"/>
        <v>0</v>
      </c>
      <c r="DB159" s="190">
        <f t="shared" si="366"/>
        <v>0</v>
      </c>
      <c r="DC159" s="190">
        <f t="shared" si="367"/>
        <v>0</v>
      </c>
      <c r="DD159" s="190">
        <f t="shared" si="367"/>
        <v>0</v>
      </c>
      <c r="DE159" s="23">
        <f t="shared" si="351"/>
        <v>0</v>
      </c>
      <c r="DF159" s="190">
        <f t="shared" si="351"/>
        <v>0</v>
      </c>
      <c r="DG159" s="190">
        <f t="shared" si="351"/>
        <v>0</v>
      </c>
      <c r="DH159" s="190">
        <f t="shared" si="351"/>
        <v>0</v>
      </c>
      <c r="DI159" s="190">
        <f t="shared" si="351"/>
        <v>0</v>
      </c>
      <c r="DJ159" s="190">
        <f t="shared" si="368"/>
        <v>0</v>
      </c>
      <c r="DK159" s="190">
        <f t="shared" si="368"/>
        <v>0</v>
      </c>
      <c r="DL159" s="23">
        <f t="shared" si="352"/>
        <v>0</v>
      </c>
      <c r="DM159" s="190">
        <f t="shared" si="352"/>
        <v>0</v>
      </c>
      <c r="DN159" s="190">
        <f t="shared" si="352"/>
        <v>0</v>
      </c>
      <c r="DO159" s="190">
        <f t="shared" si="352"/>
        <v>0</v>
      </c>
      <c r="DP159" s="190">
        <f t="shared" si="352"/>
        <v>0</v>
      </c>
      <c r="DQ159" s="190">
        <f t="shared" si="369"/>
        <v>0</v>
      </c>
      <c r="DR159" s="190">
        <f t="shared" si="369"/>
        <v>0</v>
      </c>
      <c r="DS159" s="190">
        <f t="shared" si="369"/>
        <v>0</v>
      </c>
      <c r="DT159" s="54"/>
    </row>
    <row r="160" spans="1:124" s="201" customFormat="1" ht="26.25" hidden="1" customHeight="1" outlineLevel="1" x14ac:dyDescent="0.4">
      <c r="A160" s="348"/>
      <c r="B160" s="348"/>
      <c r="C160" s="348"/>
      <c r="D160" s="350"/>
      <c r="E160" s="350"/>
      <c r="F160" s="350"/>
      <c r="G160" s="371"/>
      <c r="H160" s="450"/>
      <c r="I160" s="450"/>
      <c r="J160" s="448"/>
      <c r="K160" s="446"/>
      <c r="L160" s="446"/>
      <c r="M160" s="429"/>
      <c r="N160" s="209" t="s">
        <v>25</v>
      </c>
      <c r="O160" s="209">
        <f t="shared" si="356"/>
        <v>0</v>
      </c>
      <c r="P160" s="209">
        <f t="shared" si="356"/>
        <v>0</v>
      </c>
      <c r="Q160" s="209">
        <f t="shared" si="356"/>
        <v>0</v>
      </c>
      <c r="R160" s="209">
        <f t="shared" si="356"/>
        <v>0</v>
      </c>
      <c r="S160" s="209">
        <f t="shared" si="356"/>
        <v>0</v>
      </c>
      <c r="T160" s="209">
        <f t="shared" si="356"/>
        <v>0</v>
      </c>
      <c r="U160" s="209">
        <f t="shared" si="356"/>
        <v>0</v>
      </c>
      <c r="V160" s="209">
        <f t="shared" si="356"/>
        <v>0</v>
      </c>
      <c r="W160" s="209">
        <f t="shared" si="356"/>
        <v>0</v>
      </c>
      <c r="X160" s="53">
        <f t="shared" si="356"/>
        <v>0</v>
      </c>
      <c r="Y160" s="209">
        <f t="shared" si="358"/>
        <v>0</v>
      </c>
      <c r="Z160" s="209">
        <f t="shared" si="358"/>
        <v>0</v>
      </c>
      <c r="AA160" s="209">
        <f t="shared" si="358"/>
        <v>0</v>
      </c>
      <c r="AB160" s="209">
        <f t="shared" si="358"/>
        <v>0</v>
      </c>
      <c r="AC160" s="209">
        <f t="shared" si="358"/>
        <v>0</v>
      </c>
      <c r="AD160" s="209">
        <f t="shared" si="358"/>
        <v>0</v>
      </c>
      <c r="AE160" s="209">
        <f t="shared" si="353"/>
        <v>0</v>
      </c>
      <c r="AF160" s="209"/>
      <c r="AG160" s="209">
        <f t="shared" si="353"/>
        <v>0</v>
      </c>
      <c r="AH160" s="209">
        <f t="shared" si="353"/>
        <v>0</v>
      </c>
      <c r="AI160" s="58">
        <f t="shared" si="353"/>
        <v>0</v>
      </c>
      <c r="AJ160" s="209">
        <f t="shared" si="353"/>
        <v>0</v>
      </c>
      <c r="AK160" s="209">
        <f t="shared" si="353"/>
        <v>0</v>
      </c>
      <c r="AL160" s="209">
        <f t="shared" si="353"/>
        <v>0</v>
      </c>
      <c r="AM160" s="209">
        <f t="shared" si="353"/>
        <v>0</v>
      </c>
      <c r="AN160" s="209">
        <f t="shared" si="353"/>
        <v>0</v>
      </c>
      <c r="AO160" s="209">
        <f t="shared" si="353"/>
        <v>0</v>
      </c>
      <c r="AP160" s="209">
        <f t="shared" si="353"/>
        <v>0</v>
      </c>
      <c r="AQ160" s="209">
        <f t="shared" si="353"/>
        <v>0</v>
      </c>
      <c r="AR160" s="53">
        <f t="shared" si="353"/>
        <v>0</v>
      </c>
      <c r="AS160" s="65">
        <f t="shared" si="355"/>
        <v>0</v>
      </c>
      <c r="AT160" s="210">
        <f t="shared" si="355"/>
        <v>0</v>
      </c>
      <c r="AU160" s="210">
        <f t="shared" si="355"/>
        <v>0</v>
      </c>
      <c r="AV160" s="210">
        <f t="shared" si="355"/>
        <v>0</v>
      </c>
      <c r="AW160" s="280">
        <f t="shared" si="355"/>
        <v>0</v>
      </c>
      <c r="AX160" s="210">
        <f t="shared" si="359"/>
        <v>0</v>
      </c>
      <c r="AY160" s="210">
        <f t="shared" si="359"/>
        <v>0</v>
      </c>
      <c r="AZ160" s="210">
        <f t="shared" si="359"/>
        <v>0</v>
      </c>
      <c r="BA160" s="210">
        <f t="shared" si="359"/>
        <v>0</v>
      </c>
      <c r="BB160" s="53">
        <f t="shared" si="359"/>
        <v>0</v>
      </c>
      <c r="BC160" s="58">
        <f t="shared" si="360"/>
        <v>0</v>
      </c>
      <c r="BD160" s="209">
        <f t="shared" si="360"/>
        <v>0</v>
      </c>
      <c r="BE160" s="209">
        <f t="shared" si="360"/>
        <v>0</v>
      </c>
      <c r="BF160" s="209">
        <f t="shared" si="360"/>
        <v>0</v>
      </c>
      <c r="BG160" s="209">
        <f t="shared" si="360"/>
        <v>0</v>
      </c>
      <c r="BH160" s="209">
        <f t="shared" si="360"/>
        <v>0</v>
      </c>
      <c r="BI160" s="209">
        <f t="shared" si="360"/>
        <v>0</v>
      </c>
      <c r="BJ160" s="209">
        <f t="shared" si="361"/>
        <v>0</v>
      </c>
      <c r="BK160" s="209">
        <f t="shared" si="361"/>
        <v>0</v>
      </c>
      <c r="BL160" s="209">
        <f t="shared" si="361"/>
        <v>0</v>
      </c>
      <c r="BM160" s="58">
        <f t="shared" si="357"/>
        <v>0</v>
      </c>
      <c r="BN160" s="209">
        <f t="shared" si="357"/>
        <v>0</v>
      </c>
      <c r="BO160" s="209">
        <f t="shared" si="357"/>
        <v>0</v>
      </c>
      <c r="BP160" s="209">
        <f t="shared" si="357"/>
        <v>0</v>
      </c>
      <c r="BQ160" s="209">
        <f t="shared" si="357"/>
        <v>0</v>
      </c>
      <c r="BR160" s="209">
        <f t="shared" si="357"/>
        <v>0</v>
      </c>
      <c r="BS160" s="209">
        <f t="shared" si="357"/>
        <v>0</v>
      </c>
      <c r="BT160" s="209"/>
      <c r="BU160" s="209"/>
      <c r="BV160" s="209">
        <f t="shared" si="357"/>
        <v>0</v>
      </c>
      <c r="BW160" s="65">
        <f t="shared" si="362"/>
        <v>0</v>
      </c>
      <c r="BX160" s="209">
        <f t="shared" si="362"/>
        <v>0</v>
      </c>
      <c r="BY160" s="209">
        <f t="shared" si="362"/>
        <v>0</v>
      </c>
      <c r="BZ160" s="209">
        <f t="shared" si="362"/>
        <v>0</v>
      </c>
      <c r="CA160" s="209">
        <f t="shared" si="362"/>
        <v>0</v>
      </c>
      <c r="CB160" s="209">
        <f t="shared" si="363"/>
        <v>0</v>
      </c>
      <c r="CC160" s="209">
        <f t="shared" si="363"/>
        <v>0</v>
      </c>
      <c r="CD160" s="209">
        <f t="shared" si="363"/>
        <v>0</v>
      </c>
      <c r="CE160" s="209">
        <f t="shared" si="363"/>
        <v>0</v>
      </c>
      <c r="CF160" s="209">
        <f t="shared" si="363"/>
        <v>0</v>
      </c>
      <c r="CG160" s="65">
        <f t="shared" si="350"/>
        <v>0</v>
      </c>
      <c r="CH160" s="210">
        <f t="shared" si="350"/>
        <v>0</v>
      </c>
      <c r="CI160" s="210">
        <f t="shared" si="350"/>
        <v>0</v>
      </c>
      <c r="CJ160" s="210">
        <f t="shared" si="350"/>
        <v>0</v>
      </c>
      <c r="CK160" s="210">
        <f t="shared" si="350"/>
        <v>0</v>
      </c>
      <c r="CL160" s="210">
        <f t="shared" si="364"/>
        <v>0</v>
      </c>
      <c r="CM160" s="210">
        <f t="shared" si="364"/>
        <v>0</v>
      </c>
      <c r="CN160" s="210">
        <f t="shared" si="364"/>
        <v>0</v>
      </c>
      <c r="CO160" s="210">
        <f t="shared" si="364"/>
        <v>0</v>
      </c>
      <c r="CP160" s="66">
        <f t="shared" si="364"/>
        <v>0</v>
      </c>
      <c r="CQ160" s="65">
        <f t="shared" si="354"/>
        <v>0</v>
      </c>
      <c r="CR160" s="210">
        <f t="shared" si="354"/>
        <v>0</v>
      </c>
      <c r="CS160" s="210">
        <f t="shared" si="354"/>
        <v>0</v>
      </c>
      <c r="CT160" s="210">
        <f t="shared" si="354"/>
        <v>0</v>
      </c>
      <c r="CU160" s="210">
        <f t="shared" si="354"/>
        <v>0</v>
      </c>
      <c r="CV160" s="210">
        <f t="shared" si="365"/>
        <v>0</v>
      </c>
      <c r="CW160" s="210">
        <f t="shared" si="365"/>
        <v>0</v>
      </c>
      <c r="CX160" s="65">
        <f t="shared" si="366"/>
        <v>0</v>
      </c>
      <c r="CY160" s="210">
        <f t="shared" si="366"/>
        <v>0</v>
      </c>
      <c r="CZ160" s="210">
        <f t="shared" si="366"/>
        <v>0</v>
      </c>
      <c r="DA160" s="210">
        <f t="shared" si="366"/>
        <v>0</v>
      </c>
      <c r="DB160" s="210">
        <f t="shared" si="366"/>
        <v>0</v>
      </c>
      <c r="DC160" s="210">
        <f t="shared" si="367"/>
        <v>0</v>
      </c>
      <c r="DD160" s="209">
        <f t="shared" si="367"/>
        <v>0</v>
      </c>
      <c r="DE160" s="65">
        <f t="shared" si="351"/>
        <v>0</v>
      </c>
      <c r="DF160" s="210">
        <f t="shared" si="351"/>
        <v>0</v>
      </c>
      <c r="DG160" s="210">
        <f t="shared" si="351"/>
        <v>0</v>
      </c>
      <c r="DH160" s="210">
        <f t="shared" si="351"/>
        <v>0</v>
      </c>
      <c r="DI160" s="210">
        <f t="shared" si="351"/>
        <v>0</v>
      </c>
      <c r="DJ160" s="210">
        <f t="shared" si="368"/>
        <v>0</v>
      </c>
      <c r="DK160" s="210">
        <f t="shared" si="368"/>
        <v>0</v>
      </c>
      <c r="DL160" s="65">
        <f t="shared" si="352"/>
        <v>0</v>
      </c>
      <c r="DM160" s="210">
        <f t="shared" si="352"/>
        <v>0</v>
      </c>
      <c r="DN160" s="210">
        <f t="shared" si="352"/>
        <v>0</v>
      </c>
      <c r="DO160" s="210">
        <f t="shared" si="352"/>
        <v>0</v>
      </c>
      <c r="DP160" s="210">
        <f t="shared" si="352"/>
        <v>0</v>
      </c>
      <c r="DQ160" s="210">
        <f t="shared" si="369"/>
        <v>0</v>
      </c>
      <c r="DR160" s="210">
        <f t="shared" si="369"/>
        <v>0</v>
      </c>
      <c r="DS160" s="210">
        <f t="shared" si="369"/>
        <v>0</v>
      </c>
    </row>
    <row r="161" spans="1:133" s="201" customFormat="1" ht="26.25" hidden="1" customHeight="1" outlineLevel="1" collapsed="1" x14ac:dyDescent="0.4">
      <c r="A161" s="347">
        <v>78</v>
      </c>
      <c r="B161" s="347" t="s">
        <v>45</v>
      </c>
      <c r="C161" s="347" t="s">
        <v>346</v>
      </c>
      <c r="D161" s="349"/>
      <c r="E161" s="349"/>
      <c r="F161" s="349"/>
      <c r="G161" s="371"/>
      <c r="H161" s="449">
        <f>SUM(CQ161:CW161)</f>
        <v>0</v>
      </c>
      <c r="I161" s="449">
        <f>SUM(CQ162:CW162)</f>
        <v>0</v>
      </c>
      <c r="J161" s="447"/>
      <c r="K161" s="445"/>
      <c r="L161" s="445"/>
      <c r="M161" s="428"/>
      <c r="N161" s="21" t="s">
        <v>24</v>
      </c>
      <c r="O161" s="190">
        <f t="shared" si="356"/>
        <v>0</v>
      </c>
      <c r="P161" s="190">
        <f t="shared" si="356"/>
        <v>0</v>
      </c>
      <c r="Q161" s="190">
        <f t="shared" si="356"/>
        <v>0</v>
      </c>
      <c r="R161" s="190">
        <f t="shared" si="356"/>
        <v>0</v>
      </c>
      <c r="S161" s="190">
        <f t="shared" si="356"/>
        <v>0</v>
      </c>
      <c r="T161" s="190">
        <f t="shared" si="356"/>
        <v>0</v>
      </c>
      <c r="U161" s="190">
        <f t="shared" si="356"/>
        <v>0</v>
      </c>
      <c r="V161" s="190">
        <f t="shared" si="356"/>
        <v>0</v>
      </c>
      <c r="W161" s="190">
        <f t="shared" si="356"/>
        <v>0</v>
      </c>
      <c r="X161" s="86">
        <f t="shared" si="356"/>
        <v>0</v>
      </c>
      <c r="Y161" s="190">
        <f t="shared" si="358"/>
        <v>0</v>
      </c>
      <c r="Z161" s="190">
        <f t="shared" si="358"/>
        <v>0</v>
      </c>
      <c r="AA161" s="190">
        <f t="shared" si="358"/>
        <v>0</v>
      </c>
      <c r="AB161" s="190">
        <f t="shared" si="358"/>
        <v>0</v>
      </c>
      <c r="AC161" s="190">
        <f t="shared" si="358"/>
        <v>0</v>
      </c>
      <c r="AD161" s="190">
        <f t="shared" si="358"/>
        <v>0</v>
      </c>
      <c r="AE161" s="190">
        <f t="shared" si="353"/>
        <v>0</v>
      </c>
      <c r="AF161" s="190"/>
      <c r="AG161" s="190">
        <f t="shared" si="353"/>
        <v>0</v>
      </c>
      <c r="AH161" s="190">
        <f t="shared" si="353"/>
        <v>0</v>
      </c>
      <c r="AI161" s="77">
        <f t="shared" si="353"/>
        <v>0</v>
      </c>
      <c r="AJ161" s="190">
        <f t="shared" si="353"/>
        <v>0</v>
      </c>
      <c r="AK161" s="190">
        <f t="shared" si="353"/>
        <v>0</v>
      </c>
      <c r="AL161" s="190">
        <f t="shared" si="353"/>
        <v>0</v>
      </c>
      <c r="AM161" s="190">
        <f t="shared" si="353"/>
        <v>0</v>
      </c>
      <c r="AN161" s="190">
        <f t="shared" si="353"/>
        <v>0</v>
      </c>
      <c r="AO161" s="190">
        <f t="shared" si="353"/>
        <v>0</v>
      </c>
      <c r="AP161" s="190">
        <f t="shared" si="353"/>
        <v>0</v>
      </c>
      <c r="AQ161" s="190">
        <f t="shared" si="353"/>
        <v>0</v>
      </c>
      <c r="AR161" s="225">
        <f t="shared" si="353"/>
        <v>0</v>
      </c>
      <c r="AS161" s="23">
        <f t="shared" si="355"/>
        <v>0</v>
      </c>
      <c r="AT161" s="190">
        <f t="shared" si="355"/>
        <v>0</v>
      </c>
      <c r="AU161" s="190">
        <f t="shared" si="355"/>
        <v>0</v>
      </c>
      <c r="AV161" s="190">
        <f t="shared" si="355"/>
        <v>0</v>
      </c>
      <c r="AW161" s="190">
        <f t="shared" si="355"/>
        <v>0</v>
      </c>
      <c r="AX161" s="190">
        <f t="shared" si="359"/>
        <v>0</v>
      </c>
      <c r="AY161" s="190">
        <f t="shared" si="359"/>
        <v>0</v>
      </c>
      <c r="AZ161" s="190">
        <f t="shared" si="359"/>
        <v>0</v>
      </c>
      <c r="BA161" s="190">
        <f t="shared" si="359"/>
        <v>0</v>
      </c>
      <c r="BB161" s="225">
        <f t="shared" si="359"/>
        <v>0</v>
      </c>
      <c r="BC161" s="77">
        <f t="shared" si="360"/>
        <v>0</v>
      </c>
      <c r="BD161" s="190">
        <f t="shared" si="360"/>
        <v>0</v>
      </c>
      <c r="BE161" s="190">
        <f t="shared" si="360"/>
        <v>0</v>
      </c>
      <c r="BF161" s="190">
        <f t="shared" si="360"/>
        <v>0</v>
      </c>
      <c r="BG161" s="190">
        <f t="shared" si="360"/>
        <v>0</v>
      </c>
      <c r="BH161" s="190">
        <f t="shared" si="360"/>
        <v>0</v>
      </c>
      <c r="BI161" s="190">
        <f t="shared" si="360"/>
        <v>0</v>
      </c>
      <c r="BJ161" s="190">
        <f t="shared" si="361"/>
        <v>0</v>
      </c>
      <c r="BK161" s="190">
        <f t="shared" si="361"/>
        <v>0</v>
      </c>
      <c r="BL161" s="190">
        <f t="shared" si="361"/>
        <v>0</v>
      </c>
      <c r="BM161" s="77">
        <f t="shared" si="357"/>
        <v>0</v>
      </c>
      <c r="BN161" s="190">
        <f t="shared" si="357"/>
        <v>0</v>
      </c>
      <c r="BO161" s="190">
        <f t="shared" si="357"/>
        <v>0</v>
      </c>
      <c r="BP161" s="190">
        <f t="shared" si="357"/>
        <v>0</v>
      </c>
      <c r="BQ161" s="190">
        <f t="shared" si="357"/>
        <v>0</v>
      </c>
      <c r="BR161" s="190">
        <f t="shared" si="357"/>
        <v>0</v>
      </c>
      <c r="BS161" s="190">
        <f t="shared" si="357"/>
        <v>0</v>
      </c>
      <c r="BT161" s="190"/>
      <c r="BU161" s="190"/>
      <c r="BV161" s="190">
        <f t="shared" si="357"/>
        <v>0</v>
      </c>
      <c r="BW161" s="23">
        <f t="shared" si="362"/>
        <v>0</v>
      </c>
      <c r="BX161" s="190">
        <f t="shared" si="362"/>
        <v>0</v>
      </c>
      <c r="BY161" s="190">
        <f t="shared" si="362"/>
        <v>0</v>
      </c>
      <c r="BZ161" s="190">
        <f t="shared" si="362"/>
        <v>0</v>
      </c>
      <c r="CA161" s="190">
        <f t="shared" si="362"/>
        <v>0</v>
      </c>
      <c r="CB161" s="190">
        <f t="shared" si="363"/>
        <v>0</v>
      </c>
      <c r="CC161" s="190">
        <f t="shared" si="363"/>
        <v>0</v>
      </c>
      <c r="CD161" s="190">
        <f t="shared" si="363"/>
        <v>0</v>
      </c>
      <c r="CE161" s="190">
        <f t="shared" si="363"/>
        <v>0</v>
      </c>
      <c r="CF161" s="190">
        <f t="shared" si="363"/>
        <v>0</v>
      </c>
      <c r="CG161" s="23">
        <f t="shared" ref="CG161:CK166" si="370">0/142.5</f>
        <v>0</v>
      </c>
      <c r="CH161" s="190">
        <f t="shared" si="370"/>
        <v>0</v>
      </c>
      <c r="CI161" s="190">
        <f t="shared" si="370"/>
        <v>0</v>
      </c>
      <c r="CJ161" s="190">
        <f t="shared" si="370"/>
        <v>0</v>
      </c>
      <c r="CK161" s="190">
        <f t="shared" si="370"/>
        <v>0</v>
      </c>
      <c r="CL161" s="190">
        <f t="shared" si="364"/>
        <v>0</v>
      </c>
      <c r="CM161" s="190">
        <f t="shared" si="364"/>
        <v>0</v>
      </c>
      <c r="CN161" s="190">
        <f t="shared" si="364"/>
        <v>0</v>
      </c>
      <c r="CO161" s="190">
        <f t="shared" si="364"/>
        <v>0</v>
      </c>
      <c r="CP161" s="21">
        <f t="shared" si="364"/>
        <v>0</v>
      </c>
      <c r="CQ161" s="23">
        <f t="shared" si="354"/>
        <v>0</v>
      </c>
      <c r="CR161" s="190">
        <f t="shared" si="354"/>
        <v>0</v>
      </c>
      <c r="CS161" s="190">
        <f t="shared" si="354"/>
        <v>0</v>
      </c>
      <c r="CT161" s="190">
        <f t="shared" si="354"/>
        <v>0</v>
      </c>
      <c r="CU161" s="190">
        <f t="shared" si="354"/>
        <v>0</v>
      </c>
      <c r="CV161" s="190">
        <f t="shared" si="365"/>
        <v>0</v>
      </c>
      <c r="CW161" s="190">
        <f t="shared" si="365"/>
        <v>0</v>
      </c>
      <c r="CX161" s="77">
        <f t="shared" si="366"/>
        <v>0</v>
      </c>
      <c r="CY161" s="190">
        <f t="shared" si="366"/>
        <v>0</v>
      </c>
      <c r="CZ161" s="190">
        <f t="shared" si="366"/>
        <v>0</v>
      </c>
      <c r="DA161" s="190">
        <f t="shared" si="366"/>
        <v>0</v>
      </c>
      <c r="DB161" s="190">
        <f t="shared" si="366"/>
        <v>0</v>
      </c>
      <c r="DC161" s="190">
        <f t="shared" si="367"/>
        <v>0</v>
      </c>
      <c r="DD161" s="190">
        <f t="shared" si="367"/>
        <v>0</v>
      </c>
      <c r="DE161" s="23">
        <f t="shared" ref="DE161:DI166" si="371">0/157.5</f>
        <v>0</v>
      </c>
      <c r="DF161" s="190">
        <f t="shared" si="371"/>
        <v>0</v>
      </c>
      <c r="DG161" s="190">
        <f t="shared" si="371"/>
        <v>0</v>
      </c>
      <c r="DH161" s="190">
        <f t="shared" si="371"/>
        <v>0</v>
      </c>
      <c r="DI161" s="190">
        <f t="shared" si="371"/>
        <v>0</v>
      </c>
      <c r="DJ161" s="190">
        <f t="shared" si="368"/>
        <v>0</v>
      </c>
      <c r="DK161" s="190">
        <f t="shared" si="368"/>
        <v>0</v>
      </c>
      <c r="DL161" s="23">
        <f t="shared" ref="DL161:DP166" si="372">0/142.5</f>
        <v>0</v>
      </c>
      <c r="DM161" s="190">
        <f t="shared" si="372"/>
        <v>0</v>
      </c>
      <c r="DN161" s="190">
        <f t="shared" si="372"/>
        <v>0</v>
      </c>
      <c r="DO161" s="190">
        <f t="shared" si="372"/>
        <v>0</v>
      </c>
      <c r="DP161" s="190">
        <f t="shared" si="372"/>
        <v>0</v>
      </c>
      <c r="DQ161" s="190">
        <f t="shared" si="369"/>
        <v>0</v>
      </c>
      <c r="DR161" s="190">
        <f t="shared" si="369"/>
        <v>0</v>
      </c>
      <c r="DS161" s="190">
        <f t="shared" si="369"/>
        <v>0</v>
      </c>
      <c r="DT161" s="54"/>
    </row>
    <row r="162" spans="1:133" s="201" customFormat="1" ht="26.25" hidden="1" customHeight="1" outlineLevel="1" x14ac:dyDescent="0.4">
      <c r="A162" s="348"/>
      <c r="B162" s="348"/>
      <c r="C162" s="348"/>
      <c r="D162" s="350"/>
      <c r="E162" s="350"/>
      <c r="F162" s="350"/>
      <c r="G162" s="371"/>
      <c r="H162" s="450"/>
      <c r="I162" s="450"/>
      <c r="J162" s="448"/>
      <c r="K162" s="446"/>
      <c r="L162" s="446"/>
      <c r="M162" s="429"/>
      <c r="N162" s="209" t="s">
        <v>25</v>
      </c>
      <c r="O162" s="209">
        <f t="shared" si="356"/>
        <v>0</v>
      </c>
      <c r="P162" s="209">
        <f t="shared" si="356"/>
        <v>0</v>
      </c>
      <c r="Q162" s="209">
        <f t="shared" si="356"/>
        <v>0</v>
      </c>
      <c r="R162" s="209">
        <f t="shared" si="356"/>
        <v>0</v>
      </c>
      <c r="S162" s="209">
        <f t="shared" si="356"/>
        <v>0</v>
      </c>
      <c r="T162" s="209">
        <f t="shared" si="356"/>
        <v>0</v>
      </c>
      <c r="U162" s="209">
        <f t="shared" si="356"/>
        <v>0</v>
      </c>
      <c r="V162" s="209">
        <f t="shared" si="356"/>
        <v>0</v>
      </c>
      <c r="W162" s="209">
        <f t="shared" si="356"/>
        <v>0</v>
      </c>
      <c r="X162" s="53">
        <f t="shared" si="356"/>
        <v>0</v>
      </c>
      <c r="Y162" s="209">
        <f t="shared" si="358"/>
        <v>0</v>
      </c>
      <c r="Z162" s="209">
        <f t="shared" si="358"/>
        <v>0</v>
      </c>
      <c r="AA162" s="209">
        <f t="shared" si="358"/>
        <v>0</v>
      </c>
      <c r="AB162" s="209">
        <f t="shared" si="358"/>
        <v>0</v>
      </c>
      <c r="AC162" s="209">
        <f t="shared" si="358"/>
        <v>0</v>
      </c>
      <c r="AD162" s="209">
        <f t="shared" si="358"/>
        <v>0</v>
      </c>
      <c r="AE162" s="209">
        <f t="shared" si="353"/>
        <v>0</v>
      </c>
      <c r="AF162" s="209"/>
      <c r="AG162" s="209">
        <f t="shared" si="353"/>
        <v>0</v>
      </c>
      <c r="AH162" s="209">
        <f t="shared" si="353"/>
        <v>0</v>
      </c>
      <c r="AI162" s="58">
        <f t="shared" si="353"/>
        <v>0</v>
      </c>
      <c r="AJ162" s="209">
        <f t="shared" si="353"/>
        <v>0</v>
      </c>
      <c r="AK162" s="209">
        <f t="shared" si="353"/>
        <v>0</v>
      </c>
      <c r="AL162" s="209">
        <f t="shared" si="353"/>
        <v>0</v>
      </c>
      <c r="AM162" s="209">
        <f t="shared" si="353"/>
        <v>0</v>
      </c>
      <c r="AN162" s="209">
        <f t="shared" si="353"/>
        <v>0</v>
      </c>
      <c r="AO162" s="209">
        <f t="shared" si="353"/>
        <v>0</v>
      </c>
      <c r="AP162" s="209">
        <f t="shared" si="353"/>
        <v>0</v>
      </c>
      <c r="AQ162" s="209">
        <f t="shared" si="353"/>
        <v>0</v>
      </c>
      <c r="AR162" s="53">
        <f t="shared" si="353"/>
        <v>0</v>
      </c>
      <c r="AS162" s="65">
        <f t="shared" si="355"/>
        <v>0</v>
      </c>
      <c r="AT162" s="210">
        <f t="shared" si="355"/>
        <v>0</v>
      </c>
      <c r="AU162" s="210">
        <f t="shared" si="355"/>
        <v>0</v>
      </c>
      <c r="AV162" s="210">
        <f t="shared" si="355"/>
        <v>0</v>
      </c>
      <c r="AW162" s="280">
        <f t="shared" si="355"/>
        <v>0</v>
      </c>
      <c r="AX162" s="210">
        <f t="shared" si="359"/>
        <v>0</v>
      </c>
      <c r="AY162" s="210">
        <f t="shared" si="359"/>
        <v>0</v>
      </c>
      <c r="AZ162" s="210">
        <f t="shared" si="359"/>
        <v>0</v>
      </c>
      <c r="BA162" s="210">
        <f t="shared" si="359"/>
        <v>0</v>
      </c>
      <c r="BB162" s="53">
        <f t="shared" si="359"/>
        <v>0</v>
      </c>
      <c r="BC162" s="58">
        <f t="shared" si="360"/>
        <v>0</v>
      </c>
      <c r="BD162" s="209">
        <f t="shared" si="360"/>
        <v>0</v>
      </c>
      <c r="BE162" s="209">
        <f t="shared" si="360"/>
        <v>0</v>
      </c>
      <c r="BF162" s="209">
        <f t="shared" si="360"/>
        <v>0</v>
      </c>
      <c r="BG162" s="209">
        <f t="shared" si="360"/>
        <v>0</v>
      </c>
      <c r="BH162" s="209">
        <f t="shared" si="360"/>
        <v>0</v>
      </c>
      <c r="BI162" s="209">
        <f t="shared" si="360"/>
        <v>0</v>
      </c>
      <c r="BJ162" s="209">
        <f t="shared" si="361"/>
        <v>0</v>
      </c>
      <c r="BK162" s="209">
        <f t="shared" si="361"/>
        <v>0</v>
      </c>
      <c r="BL162" s="209">
        <f t="shared" si="361"/>
        <v>0</v>
      </c>
      <c r="BM162" s="58">
        <f t="shared" si="357"/>
        <v>0</v>
      </c>
      <c r="BN162" s="209">
        <f t="shared" si="357"/>
        <v>0</v>
      </c>
      <c r="BO162" s="209">
        <f t="shared" si="357"/>
        <v>0</v>
      </c>
      <c r="BP162" s="209">
        <f t="shared" si="357"/>
        <v>0</v>
      </c>
      <c r="BQ162" s="209">
        <f t="shared" si="357"/>
        <v>0</v>
      </c>
      <c r="BR162" s="209">
        <f t="shared" si="357"/>
        <v>0</v>
      </c>
      <c r="BS162" s="209">
        <f t="shared" si="357"/>
        <v>0</v>
      </c>
      <c r="BT162" s="209"/>
      <c r="BU162" s="209"/>
      <c r="BV162" s="209">
        <f t="shared" si="357"/>
        <v>0</v>
      </c>
      <c r="BW162" s="65">
        <f t="shared" si="362"/>
        <v>0</v>
      </c>
      <c r="BX162" s="209">
        <f t="shared" si="362"/>
        <v>0</v>
      </c>
      <c r="BY162" s="209">
        <f t="shared" si="362"/>
        <v>0</v>
      </c>
      <c r="BZ162" s="209">
        <f t="shared" si="362"/>
        <v>0</v>
      </c>
      <c r="CA162" s="209">
        <f t="shared" si="362"/>
        <v>0</v>
      </c>
      <c r="CB162" s="209">
        <f t="shared" si="363"/>
        <v>0</v>
      </c>
      <c r="CC162" s="209">
        <f t="shared" si="363"/>
        <v>0</v>
      </c>
      <c r="CD162" s="209">
        <f t="shared" si="363"/>
        <v>0</v>
      </c>
      <c r="CE162" s="209">
        <f t="shared" si="363"/>
        <v>0</v>
      </c>
      <c r="CF162" s="209">
        <f t="shared" si="363"/>
        <v>0</v>
      </c>
      <c r="CG162" s="65">
        <f t="shared" si="370"/>
        <v>0</v>
      </c>
      <c r="CH162" s="210">
        <f t="shared" si="370"/>
        <v>0</v>
      </c>
      <c r="CI162" s="210">
        <f t="shared" si="370"/>
        <v>0</v>
      </c>
      <c r="CJ162" s="210">
        <f t="shared" si="370"/>
        <v>0</v>
      </c>
      <c r="CK162" s="210">
        <f t="shared" si="370"/>
        <v>0</v>
      </c>
      <c r="CL162" s="210">
        <f t="shared" si="364"/>
        <v>0</v>
      </c>
      <c r="CM162" s="210">
        <f t="shared" si="364"/>
        <v>0</v>
      </c>
      <c r="CN162" s="210">
        <f t="shared" si="364"/>
        <v>0</v>
      </c>
      <c r="CO162" s="210">
        <f t="shared" si="364"/>
        <v>0</v>
      </c>
      <c r="CP162" s="66">
        <f t="shared" si="364"/>
        <v>0</v>
      </c>
      <c r="CQ162" s="65">
        <f t="shared" si="354"/>
        <v>0</v>
      </c>
      <c r="CR162" s="210">
        <f t="shared" si="354"/>
        <v>0</v>
      </c>
      <c r="CS162" s="210">
        <f t="shared" si="354"/>
        <v>0</v>
      </c>
      <c r="CT162" s="210">
        <f t="shared" si="354"/>
        <v>0</v>
      </c>
      <c r="CU162" s="210">
        <f t="shared" si="354"/>
        <v>0</v>
      </c>
      <c r="CV162" s="210">
        <f t="shared" si="365"/>
        <v>0</v>
      </c>
      <c r="CW162" s="210">
        <f t="shared" si="365"/>
        <v>0</v>
      </c>
      <c r="CX162" s="65">
        <f t="shared" si="366"/>
        <v>0</v>
      </c>
      <c r="CY162" s="210">
        <f t="shared" si="366"/>
        <v>0</v>
      </c>
      <c r="CZ162" s="210">
        <f t="shared" si="366"/>
        <v>0</v>
      </c>
      <c r="DA162" s="210">
        <f t="shared" si="366"/>
        <v>0</v>
      </c>
      <c r="DB162" s="210">
        <f t="shared" si="366"/>
        <v>0</v>
      </c>
      <c r="DC162" s="210">
        <f t="shared" si="367"/>
        <v>0</v>
      </c>
      <c r="DD162" s="209">
        <f t="shared" si="367"/>
        <v>0</v>
      </c>
      <c r="DE162" s="65">
        <f t="shared" si="371"/>
        <v>0</v>
      </c>
      <c r="DF162" s="210">
        <f t="shared" si="371"/>
        <v>0</v>
      </c>
      <c r="DG162" s="210">
        <f t="shared" si="371"/>
        <v>0</v>
      </c>
      <c r="DH162" s="210">
        <f t="shared" si="371"/>
        <v>0</v>
      </c>
      <c r="DI162" s="210">
        <f t="shared" si="371"/>
        <v>0</v>
      </c>
      <c r="DJ162" s="210">
        <f t="shared" si="368"/>
        <v>0</v>
      </c>
      <c r="DK162" s="210">
        <f t="shared" si="368"/>
        <v>0</v>
      </c>
      <c r="DL162" s="65">
        <f t="shared" si="372"/>
        <v>0</v>
      </c>
      <c r="DM162" s="210">
        <f t="shared" si="372"/>
        <v>0</v>
      </c>
      <c r="DN162" s="210">
        <f t="shared" si="372"/>
        <v>0</v>
      </c>
      <c r="DO162" s="210">
        <f t="shared" si="372"/>
        <v>0</v>
      </c>
      <c r="DP162" s="210">
        <f t="shared" si="372"/>
        <v>0</v>
      </c>
      <c r="DQ162" s="210">
        <f t="shared" si="369"/>
        <v>0</v>
      </c>
      <c r="DR162" s="210">
        <f t="shared" si="369"/>
        <v>0</v>
      </c>
      <c r="DS162" s="210">
        <f t="shared" si="369"/>
        <v>0</v>
      </c>
    </row>
    <row r="163" spans="1:133" s="201" customFormat="1" ht="26.25" hidden="1" customHeight="1" outlineLevel="1" collapsed="1" x14ac:dyDescent="0.4">
      <c r="A163" s="347">
        <v>79</v>
      </c>
      <c r="B163" s="347" t="s">
        <v>45</v>
      </c>
      <c r="C163" s="347" t="s">
        <v>346</v>
      </c>
      <c r="D163" s="349"/>
      <c r="E163" s="349"/>
      <c r="F163" s="349"/>
      <c r="G163" s="371"/>
      <c r="H163" s="449">
        <f>SUM(CQ163:CW163)</f>
        <v>0</v>
      </c>
      <c r="I163" s="449">
        <f>SUM(CQ164:CW164)</f>
        <v>0</v>
      </c>
      <c r="J163" s="447"/>
      <c r="K163" s="445"/>
      <c r="L163" s="445"/>
      <c r="M163" s="428"/>
      <c r="N163" s="21" t="s">
        <v>24</v>
      </c>
      <c r="O163" s="190">
        <f t="shared" si="356"/>
        <v>0</v>
      </c>
      <c r="P163" s="190">
        <f t="shared" si="356"/>
        <v>0</v>
      </c>
      <c r="Q163" s="190">
        <f t="shared" si="356"/>
        <v>0</v>
      </c>
      <c r="R163" s="190">
        <f t="shared" si="356"/>
        <v>0</v>
      </c>
      <c r="S163" s="190">
        <f t="shared" si="356"/>
        <v>0</v>
      </c>
      <c r="T163" s="190">
        <f t="shared" si="356"/>
        <v>0</v>
      </c>
      <c r="U163" s="190">
        <f t="shared" si="356"/>
        <v>0</v>
      </c>
      <c r="V163" s="190">
        <f t="shared" si="356"/>
        <v>0</v>
      </c>
      <c r="W163" s="190">
        <f t="shared" si="356"/>
        <v>0</v>
      </c>
      <c r="X163" s="86">
        <f t="shared" si="356"/>
        <v>0</v>
      </c>
      <c r="Y163" s="190">
        <f t="shared" si="358"/>
        <v>0</v>
      </c>
      <c r="Z163" s="190">
        <f t="shared" si="358"/>
        <v>0</v>
      </c>
      <c r="AA163" s="190">
        <f t="shared" si="358"/>
        <v>0</v>
      </c>
      <c r="AB163" s="190">
        <f t="shared" si="358"/>
        <v>0</v>
      </c>
      <c r="AC163" s="190">
        <f t="shared" si="358"/>
        <v>0</v>
      </c>
      <c r="AD163" s="190">
        <f t="shared" si="358"/>
        <v>0</v>
      </c>
      <c r="AE163" s="190">
        <f t="shared" si="353"/>
        <v>0</v>
      </c>
      <c r="AF163" s="190"/>
      <c r="AG163" s="190">
        <f t="shared" si="353"/>
        <v>0</v>
      </c>
      <c r="AH163" s="190">
        <f t="shared" si="353"/>
        <v>0</v>
      </c>
      <c r="AI163" s="77">
        <f t="shared" si="353"/>
        <v>0</v>
      </c>
      <c r="AJ163" s="190">
        <f t="shared" si="353"/>
        <v>0</v>
      </c>
      <c r="AK163" s="190">
        <f t="shared" si="353"/>
        <v>0</v>
      </c>
      <c r="AL163" s="190">
        <f t="shared" si="353"/>
        <v>0</v>
      </c>
      <c r="AM163" s="190">
        <f t="shared" si="353"/>
        <v>0</v>
      </c>
      <c r="AN163" s="190">
        <f t="shared" si="353"/>
        <v>0</v>
      </c>
      <c r="AO163" s="190">
        <f t="shared" si="353"/>
        <v>0</v>
      </c>
      <c r="AP163" s="190">
        <f t="shared" si="353"/>
        <v>0</v>
      </c>
      <c r="AQ163" s="190">
        <f t="shared" si="353"/>
        <v>0</v>
      </c>
      <c r="AR163" s="225">
        <f t="shared" si="353"/>
        <v>0</v>
      </c>
      <c r="AS163" s="23">
        <f t="shared" si="355"/>
        <v>0</v>
      </c>
      <c r="AT163" s="190">
        <f t="shared" si="355"/>
        <v>0</v>
      </c>
      <c r="AU163" s="190">
        <f t="shared" si="355"/>
        <v>0</v>
      </c>
      <c r="AV163" s="190">
        <f t="shared" si="355"/>
        <v>0</v>
      </c>
      <c r="AW163" s="190">
        <f t="shared" si="355"/>
        <v>0</v>
      </c>
      <c r="AX163" s="190">
        <f t="shared" si="359"/>
        <v>0</v>
      </c>
      <c r="AY163" s="190">
        <f t="shared" si="359"/>
        <v>0</v>
      </c>
      <c r="AZ163" s="190">
        <f t="shared" si="359"/>
        <v>0</v>
      </c>
      <c r="BA163" s="190">
        <f t="shared" si="359"/>
        <v>0</v>
      </c>
      <c r="BB163" s="225">
        <f t="shared" si="359"/>
        <v>0</v>
      </c>
      <c r="BC163" s="77">
        <f t="shared" si="360"/>
        <v>0</v>
      </c>
      <c r="BD163" s="190">
        <f t="shared" si="360"/>
        <v>0</v>
      </c>
      <c r="BE163" s="190">
        <f t="shared" si="360"/>
        <v>0</v>
      </c>
      <c r="BF163" s="190">
        <f t="shared" si="360"/>
        <v>0</v>
      </c>
      <c r="BG163" s="190">
        <f t="shared" si="360"/>
        <v>0</v>
      </c>
      <c r="BH163" s="190">
        <f t="shared" si="360"/>
        <v>0</v>
      </c>
      <c r="BI163" s="190">
        <f t="shared" si="360"/>
        <v>0</v>
      </c>
      <c r="BJ163" s="190">
        <f t="shared" si="361"/>
        <v>0</v>
      </c>
      <c r="BK163" s="190">
        <f t="shared" si="361"/>
        <v>0</v>
      </c>
      <c r="BL163" s="190">
        <f t="shared" si="361"/>
        <v>0</v>
      </c>
      <c r="BM163" s="77">
        <f t="shared" si="357"/>
        <v>0</v>
      </c>
      <c r="BN163" s="190">
        <f t="shared" si="357"/>
        <v>0</v>
      </c>
      <c r="BO163" s="190">
        <f t="shared" si="357"/>
        <v>0</v>
      </c>
      <c r="BP163" s="190">
        <f t="shared" si="357"/>
        <v>0</v>
      </c>
      <c r="BQ163" s="190">
        <f t="shared" si="357"/>
        <v>0</v>
      </c>
      <c r="BR163" s="190">
        <f t="shared" si="357"/>
        <v>0</v>
      </c>
      <c r="BS163" s="190">
        <f t="shared" si="357"/>
        <v>0</v>
      </c>
      <c r="BT163" s="190"/>
      <c r="BU163" s="190"/>
      <c r="BV163" s="190">
        <f t="shared" si="357"/>
        <v>0</v>
      </c>
      <c r="BW163" s="23">
        <f t="shared" si="362"/>
        <v>0</v>
      </c>
      <c r="BX163" s="190">
        <f t="shared" si="362"/>
        <v>0</v>
      </c>
      <c r="BY163" s="190">
        <f t="shared" si="362"/>
        <v>0</v>
      </c>
      <c r="BZ163" s="190">
        <f t="shared" si="362"/>
        <v>0</v>
      </c>
      <c r="CA163" s="190">
        <f t="shared" si="362"/>
        <v>0</v>
      </c>
      <c r="CB163" s="190">
        <f t="shared" si="363"/>
        <v>0</v>
      </c>
      <c r="CC163" s="190">
        <f t="shared" si="363"/>
        <v>0</v>
      </c>
      <c r="CD163" s="190">
        <f t="shared" si="363"/>
        <v>0</v>
      </c>
      <c r="CE163" s="190">
        <f t="shared" si="363"/>
        <v>0</v>
      </c>
      <c r="CF163" s="190">
        <f t="shared" si="363"/>
        <v>0</v>
      </c>
      <c r="CG163" s="23">
        <f t="shared" si="370"/>
        <v>0</v>
      </c>
      <c r="CH163" s="190">
        <f t="shared" si="370"/>
        <v>0</v>
      </c>
      <c r="CI163" s="190">
        <f t="shared" si="370"/>
        <v>0</v>
      </c>
      <c r="CJ163" s="190">
        <f t="shared" si="370"/>
        <v>0</v>
      </c>
      <c r="CK163" s="190">
        <f t="shared" si="370"/>
        <v>0</v>
      </c>
      <c r="CL163" s="190">
        <f t="shared" si="364"/>
        <v>0</v>
      </c>
      <c r="CM163" s="190">
        <f t="shared" si="364"/>
        <v>0</v>
      </c>
      <c r="CN163" s="190">
        <f t="shared" si="364"/>
        <v>0</v>
      </c>
      <c r="CO163" s="190">
        <f t="shared" si="364"/>
        <v>0</v>
      </c>
      <c r="CP163" s="21">
        <f t="shared" si="364"/>
        <v>0</v>
      </c>
      <c r="CQ163" s="23">
        <f t="shared" ref="CQ163:CU166" si="373">0/157.5</f>
        <v>0</v>
      </c>
      <c r="CR163" s="190">
        <f t="shared" si="373"/>
        <v>0</v>
      </c>
      <c r="CS163" s="190">
        <f t="shared" si="373"/>
        <v>0</v>
      </c>
      <c r="CT163" s="190">
        <f t="shared" si="373"/>
        <v>0</v>
      </c>
      <c r="CU163" s="190">
        <f t="shared" si="373"/>
        <v>0</v>
      </c>
      <c r="CV163" s="190">
        <f t="shared" si="365"/>
        <v>0</v>
      </c>
      <c r="CW163" s="190">
        <f t="shared" si="365"/>
        <v>0</v>
      </c>
      <c r="CX163" s="77">
        <f t="shared" si="366"/>
        <v>0</v>
      </c>
      <c r="CY163" s="190">
        <f t="shared" si="366"/>
        <v>0</v>
      </c>
      <c r="CZ163" s="190">
        <f t="shared" si="366"/>
        <v>0</v>
      </c>
      <c r="DA163" s="190">
        <f t="shared" si="366"/>
        <v>0</v>
      </c>
      <c r="DB163" s="190">
        <f t="shared" si="366"/>
        <v>0</v>
      </c>
      <c r="DC163" s="190">
        <f t="shared" si="367"/>
        <v>0</v>
      </c>
      <c r="DD163" s="190">
        <f t="shared" si="367"/>
        <v>0</v>
      </c>
      <c r="DE163" s="23">
        <f t="shared" si="371"/>
        <v>0</v>
      </c>
      <c r="DF163" s="190">
        <f t="shared" si="371"/>
        <v>0</v>
      </c>
      <c r="DG163" s="190">
        <f t="shared" si="371"/>
        <v>0</v>
      </c>
      <c r="DH163" s="190">
        <f t="shared" si="371"/>
        <v>0</v>
      </c>
      <c r="DI163" s="190">
        <f t="shared" si="371"/>
        <v>0</v>
      </c>
      <c r="DJ163" s="190">
        <f t="shared" si="368"/>
        <v>0</v>
      </c>
      <c r="DK163" s="190">
        <f t="shared" si="368"/>
        <v>0</v>
      </c>
      <c r="DL163" s="23">
        <f t="shared" si="372"/>
        <v>0</v>
      </c>
      <c r="DM163" s="190">
        <f t="shared" si="372"/>
        <v>0</v>
      </c>
      <c r="DN163" s="190">
        <f t="shared" si="372"/>
        <v>0</v>
      </c>
      <c r="DO163" s="190">
        <f t="shared" si="372"/>
        <v>0</v>
      </c>
      <c r="DP163" s="190">
        <f t="shared" si="372"/>
        <v>0</v>
      </c>
      <c r="DQ163" s="190">
        <f t="shared" si="369"/>
        <v>0</v>
      </c>
      <c r="DR163" s="190">
        <f t="shared" si="369"/>
        <v>0</v>
      </c>
      <c r="DS163" s="190">
        <f t="shared" si="369"/>
        <v>0</v>
      </c>
      <c r="DT163" s="54"/>
    </row>
    <row r="164" spans="1:133" s="201" customFormat="1" ht="26.25" hidden="1" customHeight="1" outlineLevel="1" x14ac:dyDescent="0.4">
      <c r="A164" s="348"/>
      <c r="B164" s="348"/>
      <c r="C164" s="348"/>
      <c r="D164" s="350"/>
      <c r="E164" s="350"/>
      <c r="F164" s="350"/>
      <c r="G164" s="371"/>
      <c r="H164" s="450"/>
      <c r="I164" s="450"/>
      <c r="J164" s="448"/>
      <c r="K164" s="446"/>
      <c r="L164" s="446"/>
      <c r="M164" s="429"/>
      <c r="N164" s="209" t="s">
        <v>25</v>
      </c>
      <c r="O164" s="209">
        <f t="shared" si="356"/>
        <v>0</v>
      </c>
      <c r="P164" s="209">
        <f t="shared" si="356"/>
        <v>0</v>
      </c>
      <c r="Q164" s="209">
        <f t="shared" si="356"/>
        <v>0</v>
      </c>
      <c r="R164" s="209">
        <f t="shared" si="356"/>
        <v>0</v>
      </c>
      <c r="S164" s="209">
        <f t="shared" si="356"/>
        <v>0</v>
      </c>
      <c r="T164" s="209">
        <f t="shared" si="356"/>
        <v>0</v>
      </c>
      <c r="U164" s="209">
        <f t="shared" si="356"/>
        <v>0</v>
      </c>
      <c r="V164" s="209">
        <f t="shared" si="356"/>
        <v>0</v>
      </c>
      <c r="W164" s="209">
        <f t="shared" si="356"/>
        <v>0</v>
      </c>
      <c r="X164" s="53">
        <f t="shared" si="356"/>
        <v>0</v>
      </c>
      <c r="Y164" s="209">
        <f t="shared" si="358"/>
        <v>0</v>
      </c>
      <c r="Z164" s="209">
        <f t="shared" si="358"/>
        <v>0</v>
      </c>
      <c r="AA164" s="209">
        <f t="shared" si="358"/>
        <v>0</v>
      </c>
      <c r="AB164" s="209">
        <f t="shared" si="358"/>
        <v>0</v>
      </c>
      <c r="AC164" s="209">
        <f t="shared" si="358"/>
        <v>0</v>
      </c>
      <c r="AD164" s="209">
        <f t="shared" si="358"/>
        <v>0</v>
      </c>
      <c r="AE164" s="209">
        <f t="shared" si="353"/>
        <v>0</v>
      </c>
      <c r="AF164" s="209"/>
      <c r="AG164" s="209">
        <f t="shared" si="353"/>
        <v>0</v>
      </c>
      <c r="AH164" s="209">
        <f t="shared" si="353"/>
        <v>0</v>
      </c>
      <c r="AI164" s="58">
        <f t="shared" si="353"/>
        <v>0</v>
      </c>
      <c r="AJ164" s="209">
        <f t="shared" si="353"/>
        <v>0</v>
      </c>
      <c r="AK164" s="209">
        <f t="shared" si="353"/>
        <v>0</v>
      </c>
      <c r="AL164" s="209">
        <f t="shared" si="353"/>
        <v>0</v>
      </c>
      <c r="AM164" s="209">
        <f t="shared" si="353"/>
        <v>0</v>
      </c>
      <c r="AN164" s="209">
        <f t="shared" si="353"/>
        <v>0</v>
      </c>
      <c r="AO164" s="209">
        <f t="shared" ref="AN164:AO166" si="374">0/165</f>
        <v>0</v>
      </c>
      <c r="AP164" s="209">
        <f t="shared" si="353"/>
        <v>0</v>
      </c>
      <c r="AQ164" s="209">
        <f t="shared" si="353"/>
        <v>0</v>
      </c>
      <c r="AR164" s="53">
        <f t="shared" si="353"/>
        <v>0</v>
      </c>
      <c r="AS164" s="65">
        <f t="shared" si="355"/>
        <v>0</v>
      </c>
      <c r="AT164" s="210">
        <f t="shared" si="355"/>
        <v>0</v>
      </c>
      <c r="AU164" s="210">
        <f t="shared" si="355"/>
        <v>0</v>
      </c>
      <c r="AV164" s="210">
        <f t="shared" si="355"/>
        <v>0</v>
      </c>
      <c r="AW164" s="280">
        <f t="shared" si="355"/>
        <v>0</v>
      </c>
      <c r="AX164" s="210">
        <f t="shared" si="359"/>
        <v>0</v>
      </c>
      <c r="AY164" s="210">
        <f t="shared" si="359"/>
        <v>0</v>
      </c>
      <c r="AZ164" s="210">
        <f t="shared" si="359"/>
        <v>0</v>
      </c>
      <c r="BA164" s="210">
        <f t="shared" si="359"/>
        <v>0</v>
      </c>
      <c r="BB164" s="53">
        <f t="shared" si="359"/>
        <v>0</v>
      </c>
      <c r="BC164" s="58">
        <f t="shared" si="360"/>
        <v>0</v>
      </c>
      <c r="BD164" s="209">
        <f t="shared" si="360"/>
        <v>0</v>
      </c>
      <c r="BE164" s="209">
        <f t="shared" si="360"/>
        <v>0</v>
      </c>
      <c r="BF164" s="209">
        <f t="shared" si="360"/>
        <v>0</v>
      </c>
      <c r="BG164" s="209">
        <f t="shared" si="360"/>
        <v>0</v>
      </c>
      <c r="BH164" s="209">
        <f t="shared" si="360"/>
        <v>0</v>
      </c>
      <c r="BI164" s="209">
        <f t="shared" si="360"/>
        <v>0</v>
      </c>
      <c r="BJ164" s="209">
        <f t="shared" si="361"/>
        <v>0</v>
      </c>
      <c r="BK164" s="209">
        <f t="shared" si="361"/>
        <v>0</v>
      </c>
      <c r="BL164" s="209">
        <f t="shared" si="361"/>
        <v>0</v>
      </c>
      <c r="BM164" s="58">
        <f t="shared" si="357"/>
        <v>0</v>
      </c>
      <c r="BN164" s="209">
        <f t="shared" si="357"/>
        <v>0</v>
      </c>
      <c r="BO164" s="209">
        <f t="shared" si="357"/>
        <v>0</v>
      </c>
      <c r="BP164" s="209">
        <f t="shared" si="357"/>
        <v>0</v>
      </c>
      <c r="BQ164" s="209">
        <f t="shared" si="357"/>
        <v>0</v>
      </c>
      <c r="BR164" s="209">
        <f t="shared" si="357"/>
        <v>0</v>
      </c>
      <c r="BS164" s="209">
        <f t="shared" si="357"/>
        <v>0</v>
      </c>
      <c r="BT164" s="209"/>
      <c r="BU164" s="209"/>
      <c r="BV164" s="209">
        <f t="shared" si="357"/>
        <v>0</v>
      </c>
      <c r="BW164" s="65">
        <f t="shared" si="362"/>
        <v>0</v>
      </c>
      <c r="BX164" s="209">
        <f t="shared" si="362"/>
        <v>0</v>
      </c>
      <c r="BY164" s="209">
        <f t="shared" si="362"/>
        <v>0</v>
      </c>
      <c r="BZ164" s="209">
        <f t="shared" si="362"/>
        <v>0</v>
      </c>
      <c r="CA164" s="209">
        <f t="shared" si="362"/>
        <v>0</v>
      </c>
      <c r="CB164" s="209">
        <f t="shared" si="363"/>
        <v>0</v>
      </c>
      <c r="CC164" s="209">
        <f t="shared" si="363"/>
        <v>0</v>
      </c>
      <c r="CD164" s="209">
        <f t="shared" si="363"/>
        <v>0</v>
      </c>
      <c r="CE164" s="209">
        <f t="shared" si="363"/>
        <v>0</v>
      </c>
      <c r="CF164" s="209">
        <f t="shared" si="363"/>
        <v>0</v>
      </c>
      <c r="CG164" s="65">
        <f t="shared" si="370"/>
        <v>0</v>
      </c>
      <c r="CH164" s="210">
        <f t="shared" si="370"/>
        <v>0</v>
      </c>
      <c r="CI164" s="210">
        <f t="shared" si="370"/>
        <v>0</v>
      </c>
      <c r="CJ164" s="210">
        <f t="shared" si="370"/>
        <v>0</v>
      </c>
      <c r="CK164" s="210">
        <f t="shared" si="370"/>
        <v>0</v>
      </c>
      <c r="CL164" s="210">
        <f t="shared" si="364"/>
        <v>0</v>
      </c>
      <c r="CM164" s="210">
        <f t="shared" si="364"/>
        <v>0</v>
      </c>
      <c r="CN164" s="210">
        <f t="shared" si="364"/>
        <v>0</v>
      </c>
      <c r="CO164" s="210">
        <f t="shared" si="364"/>
        <v>0</v>
      </c>
      <c r="CP164" s="66">
        <f t="shared" si="364"/>
        <v>0</v>
      </c>
      <c r="CQ164" s="65">
        <f t="shared" si="373"/>
        <v>0</v>
      </c>
      <c r="CR164" s="210">
        <f t="shared" si="373"/>
        <v>0</v>
      </c>
      <c r="CS164" s="210">
        <f t="shared" si="373"/>
        <v>0</v>
      </c>
      <c r="CT164" s="210">
        <f t="shared" si="373"/>
        <v>0</v>
      </c>
      <c r="CU164" s="210">
        <f t="shared" si="373"/>
        <v>0</v>
      </c>
      <c r="CV164" s="210">
        <f t="shared" si="365"/>
        <v>0</v>
      </c>
      <c r="CW164" s="210">
        <f t="shared" si="365"/>
        <v>0</v>
      </c>
      <c r="CX164" s="65">
        <f t="shared" si="366"/>
        <v>0</v>
      </c>
      <c r="CY164" s="210">
        <f t="shared" si="366"/>
        <v>0</v>
      </c>
      <c r="CZ164" s="210">
        <f t="shared" si="366"/>
        <v>0</v>
      </c>
      <c r="DA164" s="210">
        <f t="shared" si="366"/>
        <v>0</v>
      </c>
      <c r="DB164" s="210">
        <f t="shared" si="366"/>
        <v>0</v>
      </c>
      <c r="DC164" s="210">
        <f t="shared" si="367"/>
        <v>0</v>
      </c>
      <c r="DD164" s="209">
        <f t="shared" si="367"/>
        <v>0</v>
      </c>
      <c r="DE164" s="65">
        <f t="shared" si="371"/>
        <v>0</v>
      </c>
      <c r="DF164" s="210">
        <f t="shared" si="371"/>
        <v>0</v>
      </c>
      <c r="DG164" s="210">
        <f t="shared" si="371"/>
        <v>0</v>
      </c>
      <c r="DH164" s="210">
        <f t="shared" si="371"/>
        <v>0</v>
      </c>
      <c r="DI164" s="210">
        <f t="shared" si="371"/>
        <v>0</v>
      </c>
      <c r="DJ164" s="210">
        <f t="shared" si="368"/>
        <v>0</v>
      </c>
      <c r="DK164" s="210">
        <f t="shared" si="368"/>
        <v>0</v>
      </c>
      <c r="DL164" s="65">
        <f t="shared" si="372"/>
        <v>0</v>
      </c>
      <c r="DM164" s="210">
        <f t="shared" si="372"/>
        <v>0</v>
      </c>
      <c r="DN164" s="210">
        <f t="shared" si="372"/>
        <v>0</v>
      </c>
      <c r="DO164" s="210">
        <f t="shared" si="372"/>
        <v>0</v>
      </c>
      <c r="DP164" s="210">
        <f t="shared" si="372"/>
        <v>0</v>
      </c>
      <c r="DQ164" s="210">
        <f t="shared" si="369"/>
        <v>0</v>
      </c>
      <c r="DR164" s="210">
        <f t="shared" si="369"/>
        <v>0</v>
      </c>
      <c r="DS164" s="210">
        <f t="shared" si="369"/>
        <v>0</v>
      </c>
    </row>
    <row r="165" spans="1:133" s="201" customFormat="1" ht="26.25" hidden="1" customHeight="1" outlineLevel="1" collapsed="1" x14ac:dyDescent="0.4">
      <c r="A165" s="347">
        <v>80</v>
      </c>
      <c r="B165" s="347" t="s">
        <v>45</v>
      </c>
      <c r="C165" s="347" t="s">
        <v>346</v>
      </c>
      <c r="D165" s="349"/>
      <c r="E165" s="349"/>
      <c r="F165" s="349"/>
      <c r="G165" s="371"/>
      <c r="H165" s="449">
        <f>SUM(CQ165:CW165)</f>
        <v>0</v>
      </c>
      <c r="I165" s="449">
        <f>SUM(CQ166:CW166)</f>
        <v>0</v>
      </c>
      <c r="J165" s="447"/>
      <c r="K165" s="445"/>
      <c r="L165" s="445"/>
      <c r="M165" s="428"/>
      <c r="N165" s="21" t="s">
        <v>24</v>
      </c>
      <c r="O165" s="190">
        <f t="shared" si="356"/>
        <v>0</v>
      </c>
      <c r="P165" s="190">
        <f t="shared" si="356"/>
        <v>0</v>
      </c>
      <c r="Q165" s="190">
        <f t="shared" si="356"/>
        <v>0</v>
      </c>
      <c r="R165" s="190">
        <f t="shared" si="356"/>
        <v>0</v>
      </c>
      <c r="S165" s="190">
        <f t="shared" si="356"/>
        <v>0</v>
      </c>
      <c r="T165" s="190">
        <f t="shared" si="356"/>
        <v>0</v>
      </c>
      <c r="U165" s="190">
        <f t="shared" si="356"/>
        <v>0</v>
      </c>
      <c r="V165" s="190">
        <f t="shared" si="356"/>
        <v>0</v>
      </c>
      <c r="W165" s="190">
        <f t="shared" si="356"/>
        <v>0</v>
      </c>
      <c r="X165" s="86">
        <f t="shared" si="356"/>
        <v>0</v>
      </c>
      <c r="Y165" s="190">
        <f t="shared" si="358"/>
        <v>0</v>
      </c>
      <c r="Z165" s="190">
        <f t="shared" si="358"/>
        <v>0</v>
      </c>
      <c r="AA165" s="190">
        <f t="shared" si="358"/>
        <v>0</v>
      </c>
      <c r="AB165" s="190">
        <f t="shared" si="358"/>
        <v>0</v>
      </c>
      <c r="AC165" s="190">
        <f t="shared" si="358"/>
        <v>0</v>
      </c>
      <c r="AD165" s="190">
        <f t="shared" si="358"/>
        <v>0</v>
      </c>
      <c r="AE165" s="190">
        <f t="shared" si="353"/>
        <v>0</v>
      </c>
      <c r="AF165" s="190"/>
      <c r="AG165" s="190">
        <f t="shared" si="353"/>
        <v>0</v>
      </c>
      <c r="AH165" s="190">
        <f t="shared" si="353"/>
        <v>0</v>
      </c>
      <c r="AI165" s="77">
        <f t="shared" si="353"/>
        <v>0</v>
      </c>
      <c r="AJ165" s="190">
        <f t="shared" si="353"/>
        <v>0</v>
      </c>
      <c r="AK165" s="190">
        <f t="shared" si="353"/>
        <v>0</v>
      </c>
      <c r="AL165" s="190">
        <f t="shared" si="353"/>
        <v>0</v>
      </c>
      <c r="AM165" s="190">
        <f t="shared" si="353"/>
        <v>0</v>
      </c>
      <c r="AN165" s="190">
        <f t="shared" si="374"/>
        <v>0</v>
      </c>
      <c r="AO165" s="190">
        <f t="shared" si="374"/>
        <v>0</v>
      </c>
      <c r="AP165" s="190">
        <f t="shared" si="353"/>
        <v>0</v>
      </c>
      <c r="AQ165" s="190">
        <f t="shared" si="353"/>
        <v>0</v>
      </c>
      <c r="AR165" s="225">
        <f t="shared" si="353"/>
        <v>0</v>
      </c>
      <c r="AS165" s="23">
        <f t="shared" si="355"/>
        <v>0</v>
      </c>
      <c r="AT165" s="190">
        <f t="shared" si="355"/>
        <v>0</v>
      </c>
      <c r="AU165" s="190">
        <f t="shared" si="355"/>
        <v>0</v>
      </c>
      <c r="AV165" s="190">
        <f t="shared" si="355"/>
        <v>0</v>
      </c>
      <c r="AW165" s="190">
        <f t="shared" si="355"/>
        <v>0</v>
      </c>
      <c r="AX165" s="190">
        <f t="shared" si="359"/>
        <v>0</v>
      </c>
      <c r="AY165" s="190">
        <f t="shared" si="359"/>
        <v>0</v>
      </c>
      <c r="AZ165" s="190">
        <f t="shared" si="359"/>
        <v>0</v>
      </c>
      <c r="BA165" s="190">
        <f t="shared" si="359"/>
        <v>0</v>
      </c>
      <c r="BB165" s="225">
        <f t="shared" si="359"/>
        <v>0</v>
      </c>
      <c r="BC165" s="77">
        <f t="shared" si="360"/>
        <v>0</v>
      </c>
      <c r="BD165" s="190">
        <f t="shared" si="360"/>
        <v>0</v>
      </c>
      <c r="BE165" s="190">
        <f t="shared" si="360"/>
        <v>0</v>
      </c>
      <c r="BF165" s="190">
        <f t="shared" si="360"/>
        <v>0</v>
      </c>
      <c r="BG165" s="190">
        <f t="shared" si="360"/>
        <v>0</v>
      </c>
      <c r="BH165" s="190">
        <f t="shared" si="360"/>
        <v>0</v>
      </c>
      <c r="BI165" s="190">
        <f t="shared" si="360"/>
        <v>0</v>
      </c>
      <c r="BJ165" s="190">
        <f t="shared" si="361"/>
        <v>0</v>
      </c>
      <c r="BK165" s="190">
        <f t="shared" si="361"/>
        <v>0</v>
      </c>
      <c r="BL165" s="190">
        <f t="shared" si="361"/>
        <v>0</v>
      </c>
      <c r="BM165" s="77">
        <f t="shared" si="357"/>
        <v>0</v>
      </c>
      <c r="BN165" s="190">
        <f t="shared" si="357"/>
        <v>0</v>
      </c>
      <c r="BO165" s="190">
        <f t="shared" si="357"/>
        <v>0</v>
      </c>
      <c r="BP165" s="190">
        <f t="shared" si="357"/>
        <v>0</v>
      </c>
      <c r="BQ165" s="190">
        <f t="shared" si="357"/>
        <v>0</v>
      </c>
      <c r="BR165" s="190">
        <f t="shared" si="357"/>
        <v>0</v>
      </c>
      <c r="BS165" s="190">
        <f t="shared" si="357"/>
        <v>0</v>
      </c>
      <c r="BT165" s="190"/>
      <c r="BU165" s="190"/>
      <c r="BV165" s="190">
        <f t="shared" si="357"/>
        <v>0</v>
      </c>
      <c r="BW165" s="23">
        <f t="shared" si="362"/>
        <v>0</v>
      </c>
      <c r="BX165" s="190">
        <f t="shared" si="362"/>
        <v>0</v>
      </c>
      <c r="BY165" s="190">
        <f t="shared" si="362"/>
        <v>0</v>
      </c>
      <c r="BZ165" s="190">
        <f t="shared" si="362"/>
        <v>0</v>
      </c>
      <c r="CA165" s="190">
        <f t="shared" si="362"/>
        <v>0</v>
      </c>
      <c r="CB165" s="190">
        <f t="shared" si="363"/>
        <v>0</v>
      </c>
      <c r="CC165" s="190">
        <f t="shared" si="363"/>
        <v>0</v>
      </c>
      <c r="CD165" s="190">
        <f t="shared" si="363"/>
        <v>0</v>
      </c>
      <c r="CE165" s="190">
        <f t="shared" si="363"/>
        <v>0</v>
      </c>
      <c r="CF165" s="190">
        <f t="shared" si="363"/>
        <v>0</v>
      </c>
      <c r="CG165" s="23">
        <f t="shared" si="370"/>
        <v>0</v>
      </c>
      <c r="CH165" s="190">
        <f t="shared" si="370"/>
        <v>0</v>
      </c>
      <c r="CI165" s="190">
        <f t="shared" si="370"/>
        <v>0</v>
      </c>
      <c r="CJ165" s="190">
        <f t="shared" si="370"/>
        <v>0</v>
      </c>
      <c r="CK165" s="190">
        <f t="shared" si="370"/>
        <v>0</v>
      </c>
      <c r="CL165" s="190">
        <f t="shared" si="364"/>
        <v>0</v>
      </c>
      <c r="CM165" s="190">
        <f t="shared" si="364"/>
        <v>0</v>
      </c>
      <c r="CN165" s="190">
        <f t="shared" si="364"/>
        <v>0</v>
      </c>
      <c r="CO165" s="190">
        <f t="shared" si="364"/>
        <v>0</v>
      </c>
      <c r="CP165" s="21">
        <f t="shared" si="364"/>
        <v>0</v>
      </c>
      <c r="CQ165" s="23">
        <f t="shared" si="373"/>
        <v>0</v>
      </c>
      <c r="CR165" s="190">
        <f t="shared" si="373"/>
        <v>0</v>
      </c>
      <c r="CS165" s="190">
        <f t="shared" si="373"/>
        <v>0</v>
      </c>
      <c r="CT165" s="190">
        <f t="shared" si="373"/>
        <v>0</v>
      </c>
      <c r="CU165" s="190">
        <f t="shared" si="373"/>
        <v>0</v>
      </c>
      <c r="CV165" s="190">
        <f t="shared" si="365"/>
        <v>0</v>
      </c>
      <c r="CW165" s="190">
        <f t="shared" si="365"/>
        <v>0</v>
      </c>
      <c r="CX165" s="77">
        <f t="shared" si="366"/>
        <v>0</v>
      </c>
      <c r="CY165" s="190">
        <f t="shared" si="366"/>
        <v>0</v>
      </c>
      <c r="CZ165" s="190">
        <f t="shared" si="366"/>
        <v>0</v>
      </c>
      <c r="DA165" s="190">
        <f t="shared" si="366"/>
        <v>0</v>
      </c>
      <c r="DB165" s="190">
        <f t="shared" si="366"/>
        <v>0</v>
      </c>
      <c r="DC165" s="190">
        <f t="shared" si="367"/>
        <v>0</v>
      </c>
      <c r="DD165" s="190">
        <f t="shared" si="367"/>
        <v>0</v>
      </c>
      <c r="DE165" s="23">
        <f t="shared" si="371"/>
        <v>0</v>
      </c>
      <c r="DF165" s="190">
        <f t="shared" si="371"/>
        <v>0</v>
      </c>
      <c r="DG165" s="190">
        <f t="shared" si="371"/>
        <v>0</v>
      </c>
      <c r="DH165" s="190">
        <f t="shared" si="371"/>
        <v>0</v>
      </c>
      <c r="DI165" s="190">
        <f t="shared" si="371"/>
        <v>0</v>
      </c>
      <c r="DJ165" s="190">
        <f t="shared" si="368"/>
        <v>0</v>
      </c>
      <c r="DK165" s="190">
        <f t="shared" si="368"/>
        <v>0</v>
      </c>
      <c r="DL165" s="23">
        <f t="shared" si="372"/>
        <v>0</v>
      </c>
      <c r="DM165" s="190">
        <f t="shared" si="372"/>
        <v>0</v>
      </c>
      <c r="DN165" s="190">
        <f t="shared" si="372"/>
        <v>0</v>
      </c>
      <c r="DO165" s="190">
        <f t="shared" si="372"/>
        <v>0</v>
      </c>
      <c r="DP165" s="190">
        <f t="shared" si="372"/>
        <v>0</v>
      </c>
      <c r="DQ165" s="190">
        <f t="shared" si="369"/>
        <v>0</v>
      </c>
      <c r="DR165" s="190">
        <f t="shared" si="369"/>
        <v>0</v>
      </c>
      <c r="DS165" s="190">
        <f t="shared" si="369"/>
        <v>0</v>
      </c>
      <c r="DT165" s="54"/>
    </row>
    <row r="166" spans="1:133" s="201" customFormat="1" ht="26.25" hidden="1" customHeight="1" outlineLevel="1" x14ac:dyDescent="0.4">
      <c r="A166" s="348"/>
      <c r="B166" s="348"/>
      <c r="C166" s="348"/>
      <c r="D166" s="350"/>
      <c r="E166" s="350"/>
      <c r="F166" s="350"/>
      <c r="G166" s="371"/>
      <c r="H166" s="450"/>
      <c r="I166" s="450"/>
      <c r="J166" s="448"/>
      <c r="K166" s="446"/>
      <c r="L166" s="446"/>
      <c r="M166" s="429"/>
      <c r="N166" s="209" t="s">
        <v>25</v>
      </c>
      <c r="O166" s="209">
        <f t="shared" si="356"/>
        <v>0</v>
      </c>
      <c r="P166" s="209">
        <f t="shared" si="356"/>
        <v>0</v>
      </c>
      <c r="Q166" s="209">
        <f t="shared" si="356"/>
        <v>0</v>
      </c>
      <c r="R166" s="209">
        <f t="shared" si="356"/>
        <v>0</v>
      </c>
      <c r="S166" s="209">
        <f t="shared" si="356"/>
        <v>0</v>
      </c>
      <c r="T166" s="209">
        <f t="shared" si="356"/>
        <v>0</v>
      </c>
      <c r="U166" s="209">
        <f t="shared" si="356"/>
        <v>0</v>
      </c>
      <c r="V166" s="209">
        <f t="shared" si="356"/>
        <v>0</v>
      </c>
      <c r="W166" s="209">
        <f t="shared" si="356"/>
        <v>0</v>
      </c>
      <c r="X166" s="53">
        <f t="shared" si="356"/>
        <v>0</v>
      </c>
      <c r="Y166" s="209">
        <f t="shared" si="358"/>
        <v>0</v>
      </c>
      <c r="Z166" s="209">
        <f t="shared" si="358"/>
        <v>0</v>
      </c>
      <c r="AA166" s="209">
        <f t="shared" si="358"/>
        <v>0</v>
      </c>
      <c r="AB166" s="209">
        <f t="shared" si="358"/>
        <v>0</v>
      </c>
      <c r="AC166" s="209">
        <f t="shared" si="358"/>
        <v>0</v>
      </c>
      <c r="AD166" s="209">
        <f t="shared" si="358"/>
        <v>0</v>
      </c>
      <c r="AE166" s="209">
        <f t="shared" si="353"/>
        <v>0</v>
      </c>
      <c r="AF166" s="209"/>
      <c r="AG166" s="209">
        <f t="shared" si="353"/>
        <v>0</v>
      </c>
      <c r="AH166" s="209">
        <f t="shared" si="353"/>
        <v>0</v>
      </c>
      <c r="AI166" s="58">
        <f t="shared" si="353"/>
        <v>0</v>
      </c>
      <c r="AJ166" s="209">
        <f t="shared" si="353"/>
        <v>0</v>
      </c>
      <c r="AK166" s="209">
        <f t="shared" si="353"/>
        <v>0</v>
      </c>
      <c r="AL166" s="209">
        <f t="shared" si="353"/>
        <v>0</v>
      </c>
      <c r="AM166" s="209">
        <f t="shared" si="353"/>
        <v>0</v>
      </c>
      <c r="AN166" s="209">
        <f t="shared" si="374"/>
        <v>0</v>
      </c>
      <c r="AO166" s="209">
        <f t="shared" si="374"/>
        <v>0</v>
      </c>
      <c r="AP166" s="209">
        <f t="shared" si="353"/>
        <v>0</v>
      </c>
      <c r="AQ166" s="209">
        <f t="shared" si="353"/>
        <v>0</v>
      </c>
      <c r="AR166" s="53">
        <f t="shared" si="353"/>
        <v>0</v>
      </c>
      <c r="AS166" s="65">
        <f t="shared" si="355"/>
        <v>0</v>
      </c>
      <c r="AT166" s="210">
        <f t="shared" si="355"/>
        <v>0</v>
      </c>
      <c r="AU166" s="210">
        <f t="shared" si="355"/>
        <v>0</v>
      </c>
      <c r="AV166" s="210">
        <f t="shared" si="355"/>
        <v>0</v>
      </c>
      <c r="AW166" s="280">
        <f t="shared" si="355"/>
        <v>0</v>
      </c>
      <c r="AX166" s="210">
        <f t="shared" si="359"/>
        <v>0</v>
      </c>
      <c r="AY166" s="210">
        <f t="shared" si="359"/>
        <v>0</v>
      </c>
      <c r="AZ166" s="210">
        <f t="shared" si="359"/>
        <v>0</v>
      </c>
      <c r="BA166" s="210">
        <f t="shared" si="359"/>
        <v>0</v>
      </c>
      <c r="BB166" s="53">
        <f t="shared" si="359"/>
        <v>0</v>
      </c>
      <c r="BC166" s="58">
        <f t="shared" si="360"/>
        <v>0</v>
      </c>
      <c r="BD166" s="209">
        <f t="shared" si="360"/>
        <v>0</v>
      </c>
      <c r="BE166" s="209">
        <f t="shared" si="360"/>
        <v>0</v>
      </c>
      <c r="BF166" s="209">
        <f t="shared" si="360"/>
        <v>0</v>
      </c>
      <c r="BG166" s="209">
        <f t="shared" si="360"/>
        <v>0</v>
      </c>
      <c r="BH166" s="209">
        <f t="shared" si="360"/>
        <v>0</v>
      </c>
      <c r="BI166" s="209">
        <f t="shared" si="360"/>
        <v>0</v>
      </c>
      <c r="BJ166" s="209">
        <f t="shared" si="361"/>
        <v>0</v>
      </c>
      <c r="BK166" s="209">
        <f t="shared" si="361"/>
        <v>0</v>
      </c>
      <c r="BL166" s="209">
        <f t="shared" si="361"/>
        <v>0</v>
      </c>
      <c r="BM166" s="58">
        <f t="shared" si="357"/>
        <v>0</v>
      </c>
      <c r="BN166" s="209">
        <f t="shared" si="357"/>
        <v>0</v>
      </c>
      <c r="BO166" s="209">
        <f t="shared" si="357"/>
        <v>0</v>
      </c>
      <c r="BP166" s="209">
        <f t="shared" si="357"/>
        <v>0</v>
      </c>
      <c r="BQ166" s="209">
        <f t="shared" si="357"/>
        <v>0</v>
      </c>
      <c r="BR166" s="209">
        <f t="shared" si="357"/>
        <v>0</v>
      </c>
      <c r="BS166" s="209">
        <f t="shared" si="357"/>
        <v>0</v>
      </c>
      <c r="BT166" s="209"/>
      <c r="BU166" s="209"/>
      <c r="BV166" s="209">
        <f t="shared" si="357"/>
        <v>0</v>
      </c>
      <c r="BW166" s="65">
        <f t="shared" si="362"/>
        <v>0</v>
      </c>
      <c r="BX166" s="209">
        <f t="shared" si="362"/>
        <v>0</v>
      </c>
      <c r="BY166" s="209">
        <f t="shared" si="362"/>
        <v>0</v>
      </c>
      <c r="BZ166" s="209">
        <f t="shared" si="362"/>
        <v>0</v>
      </c>
      <c r="CA166" s="209">
        <f t="shared" si="362"/>
        <v>0</v>
      </c>
      <c r="CB166" s="209">
        <f t="shared" si="363"/>
        <v>0</v>
      </c>
      <c r="CC166" s="209">
        <f t="shared" si="363"/>
        <v>0</v>
      </c>
      <c r="CD166" s="209">
        <f t="shared" si="363"/>
        <v>0</v>
      </c>
      <c r="CE166" s="209">
        <f t="shared" si="363"/>
        <v>0</v>
      </c>
      <c r="CF166" s="209">
        <f t="shared" si="363"/>
        <v>0</v>
      </c>
      <c r="CG166" s="65">
        <f t="shared" si="370"/>
        <v>0</v>
      </c>
      <c r="CH166" s="210">
        <f t="shared" si="370"/>
        <v>0</v>
      </c>
      <c r="CI166" s="210">
        <f t="shared" si="370"/>
        <v>0</v>
      </c>
      <c r="CJ166" s="210">
        <f t="shared" si="370"/>
        <v>0</v>
      </c>
      <c r="CK166" s="210">
        <f t="shared" si="370"/>
        <v>0</v>
      </c>
      <c r="CL166" s="210">
        <f t="shared" si="364"/>
        <v>0</v>
      </c>
      <c r="CM166" s="210">
        <f t="shared" si="364"/>
        <v>0</v>
      </c>
      <c r="CN166" s="210">
        <f t="shared" si="364"/>
        <v>0</v>
      </c>
      <c r="CO166" s="210">
        <f t="shared" si="364"/>
        <v>0</v>
      </c>
      <c r="CP166" s="66">
        <f t="shared" si="364"/>
        <v>0</v>
      </c>
      <c r="CQ166" s="65">
        <f t="shared" si="373"/>
        <v>0</v>
      </c>
      <c r="CR166" s="210">
        <f t="shared" si="373"/>
        <v>0</v>
      </c>
      <c r="CS166" s="210">
        <f t="shared" si="373"/>
        <v>0</v>
      </c>
      <c r="CT166" s="210">
        <f t="shared" si="373"/>
        <v>0</v>
      </c>
      <c r="CU166" s="210">
        <f t="shared" si="373"/>
        <v>0</v>
      </c>
      <c r="CV166" s="210">
        <f t="shared" si="365"/>
        <v>0</v>
      </c>
      <c r="CW166" s="210">
        <f t="shared" si="365"/>
        <v>0</v>
      </c>
      <c r="CX166" s="65">
        <f t="shared" si="366"/>
        <v>0</v>
      </c>
      <c r="CY166" s="210">
        <f t="shared" si="366"/>
        <v>0</v>
      </c>
      <c r="CZ166" s="210">
        <f t="shared" si="366"/>
        <v>0</v>
      </c>
      <c r="DA166" s="210">
        <f t="shared" si="366"/>
        <v>0</v>
      </c>
      <c r="DB166" s="210">
        <f t="shared" si="366"/>
        <v>0</v>
      </c>
      <c r="DC166" s="210">
        <f t="shared" si="367"/>
        <v>0</v>
      </c>
      <c r="DD166" s="209">
        <f t="shared" si="367"/>
        <v>0</v>
      </c>
      <c r="DE166" s="65">
        <f t="shared" si="371"/>
        <v>0</v>
      </c>
      <c r="DF166" s="210">
        <f t="shared" si="371"/>
        <v>0</v>
      </c>
      <c r="DG166" s="210">
        <f t="shared" si="371"/>
        <v>0</v>
      </c>
      <c r="DH166" s="210">
        <f t="shared" si="371"/>
        <v>0</v>
      </c>
      <c r="DI166" s="210">
        <f t="shared" si="371"/>
        <v>0</v>
      </c>
      <c r="DJ166" s="210">
        <f t="shared" si="368"/>
        <v>0</v>
      </c>
      <c r="DK166" s="210">
        <f t="shared" si="368"/>
        <v>0</v>
      </c>
      <c r="DL166" s="65">
        <f t="shared" si="372"/>
        <v>0</v>
      </c>
      <c r="DM166" s="210">
        <f t="shared" si="372"/>
        <v>0</v>
      </c>
      <c r="DN166" s="210">
        <f t="shared" si="372"/>
        <v>0</v>
      </c>
      <c r="DO166" s="210">
        <f t="shared" si="372"/>
        <v>0</v>
      </c>
      <c r="DP166" s="210">
        <f t="shared" si="372"/>
        <v>0</v>
      </c>
      <c r="DQ166" s="210">
        <f t="shared" si="369"/>
        <v>0</v>
      </c>
      <c r="DR166" s="210">
        <f t="shared" si="369"/>
        <v>0</v>
      </c>
      <c r="DS166" s="228">
        <f t="shared" si="369"/>
        <v>0</v>
      </c>
    </row>
    <row r="167" spans="1:133" ht="26.25" customHeight="1" collapsed="1" x14ac:dyDescent="0.4">
      <c r="A167" s="498"/>
      <c r="B167" s="499"/>
      <c r="C167" s="499"/>
      <c r="D167" s="499"/>
      <c r="E167" s="499"/>
      <c r="F167" s="499"/>
      <c r="G167" s="500"/>
      <c r="H167" s="491">
        <f>SUM(H7,H9,H11,H13,H15,H17,H19,H21,H23,H25,H27,H29,H31,H33,H35,H37,H39,H41,H43,H45,H47,H49,H51,H53,H55,H57,H59,H61,H63,H65,H67,H69,H71,H73,H75,H77,H79,H81,H83,H85,H87,H89,H91,H93,H95,H97,H99,H101,H103,H105,H107,H109,H111,H113,H115,H117)</f>
        <v>3.2784313725490195</v>
      </c>
      <c r="I167" s="491">
        <f>SUM(I7,I9,I11,I13,I15,I17,I19,I21,I23,I25,I27,I29,I31,I33,I35,I37,I39,I41,I43,I45,I47,I49,I51,I53,I55,I57,I59,I61,I63,I65,I67,I69,I71,I73,I75,I77,I79,I81,I83,I85,I87,I89,I91,I93,I95,I97,I99,I101,I103,I105,I107,I109,I111,I113,I115,I117)</f>
        <v>4.5607843137254909</v>
      </c>
      <c r="J167" s="433" t="s">
        <v>91</v>
      </c>
      <c r="K167" s="434"/>
      <c r="L167" s="434"/>
      <c r="M167" s="435"/>
      <c r="N167" s="21" t="s">
        <v>24</v>
      </c>
      <c r="O167" s="190">
        <f>SUM(O7,O9,O11,O13,O15,O17,O19,O21,O23,O25,O27,O29,O31,O33,O35,O37,O39,O41,O43,O45,O47,O49,O51,O53,O55,O57,O59,O61,O63,O65,O67,O69,O71,O73,O75,O77,O79,O81,O83,O85,O87,O89,O91,O93,O95,O97,O99,O101,O103,O105)</f>
        <v>0</v>
      </c>
      <c r="P167" s="190">
        <f>SUM(P7,P9,P11,P13,P15,P17,P19,P21,P23,P25,P27,P29,P31,P33,P35,P37,P39,P41,P43,P45,P47,P49,P51,P53,P55,P57,P59,P61,P63,P65,P67,P69,P71,P73,P75,P77,P79,P81,P83,P85,P87,P89,P91,P93,P95,P97,P99,P101,P103,P105)</f>
        <v>1.3458333333333334</v>
      </c>
      <c r="Q167" s="190">
        <f>SUM(Q7,Q9,Q11,Q13,Q15,Q17,Q19,Q21,Q23,Q25,Q27,Q29,Q31,Q33,Q35,Q37,Q39,Q41,Q43,Q45,Q47,Q49,Q51,Q53,Q55,Q57,Q59,Q61,Q63,Q65,Q67,Q69,Q71,Q73,Q75,Q77,Q79,Q81,Q83,Q85,Q87,Q89,Q91,Q93,Q95,Q97,Q99,Q101,Q103,Q105)</f>
        <v>0.78541666666666665</v>
      </c>
      <c r="R167" s="190">
        <f>SUM(R7,R9,R11,R13,R15,R17,R19,R21,R23,R25,R27,R29,R31,R33,R35,R37,R39,R41,R43,R45,R47,R49,R51,R53,R55,R57,R59,R61,R63,R65,R67,R69,R71,R73,R75,R77,R79,R81,R83,R85,R87,R89,R91,R93,R95,R97,R99,R101,R103,R105)</f>
        <v>0.92708333333333326</v>
      </c>
      <c r="S167" s="190">
        <f t="shared" ref="S167:X167" si="375">SUM(S7,S9,S11,S13,S15,S17,S19,S21,S23,S25,S27,S29,S31,S33,S35,S37,S39,S41,S43,S45,S47,S49,S51,S53,S55,S57,S59,S61,S63,S65,S67,S69,S71,S73,S75,S77,S79,S81,S83,S85,S87,S89,S91,S93,S95,S97,S99,S101,S103,S105)</f>
        <v>0.84583333333333333</v>
      </c>
      <c r="T167" s="190">
        <f t="shared" si="375"/>
        <v>0.75</v>
      </c>
      <c r="U167" s="190">
        <f t="shared" si="375"/>
        <v>0.70208333333333339</v>
      </c>
      <c r="V167" s="190">
        <f t="shared" ref="V167:W167" si="376">SUM(V7,V9,V11,V13,V15,V17,V19,V21,V23,V25,V27,V29,V31,V33,V35,V37,V39,V41,V43,V45,V47,V49,V51,V53,V55,V57,V59,V61,V63,V65,V67,V69,V71,V73,V75,V77,V79,V81,V83,V85,V87,V89,V91,V93,V95,V97,V99,V101,V103,V105)</f>
        <v>0.9458333333333333</v>
      </c>
      <c r="W167" s="190">
        <f t="shared" si="376"/>
        <v>0.99791666666666656</v>
      </c>
      <c r="X167" s="86">
        <f t="shared" si="375"/>
        <v>0.125</v>
      </c>
      <c r="Y167" s="190">
        <f>SUM(Y7,Y9,Y11,Y13,Y15,Y17,Y19,Y21,Y23,Y25,Y27,Y29,Y31,Y33,Y35,Y37,Y39,Y41,Y43,Y45,Y47,Y49,Y51,Y53,Y55,Y57,Y59,Y61,Y63,Y65,Y67,Y69,Y71,Y73,Y75,Y77,Y79,Y81,Y83,Y85,Y87,Y89,Y91,Y93,Y95,Y97,Y99,Y101,Y103,Y105)</f>
        <v>0.22222222222222221</v>
      </c>
      <c r="Z167" s="190">
        <f>SUM(Z7,Z9,Z11,Z13,Z15,Z17,Z19,Z21,Z23,Z25,Z27,Z29,Z31,Z33,Z35,Z37,Z39,Z41,Z43,Z45,Z47,Z49,Z51,Z53,Z55,Z57,Z59,Z61,Z63,Z65,Z67,Z69,Z71,Z73,Z75,Z77,Z79,Z81,Z83,Z85,Z87,Z89,Z91,Z93,Z95,Z97,Z99,Z101,Z103,Z105)</f>
        <v>1.0031746031746032</v>
      </c>
      <c r="AA167" s="190">
        <f>SUM(AA7,AA9,AA11,AA13,AA15,AA17,AA19,AA21,AA23,AA25,AA27,AA29,AA31,AA33,AA35,AA37,AA39,AA41,AA43,AA45,AA47,AA49,AA51,AA53,AA55,AA57,AA59,AA61,AA63,AA65,AA67,AA69,AA71,AA73,AA75,AA77,AA79,AA81,AA83,AA85,AA87,AA89,AA91,AA93,AA95,AA97,AA99,AA101,AA103,AA105)</f>
        <v>0.25396825396825395</v>
      </c>
      <c r="AB167" s="190">
        <f>SUM(AB7,AB9,AB11,AB13,AB15,AB17,AB19,AB21,AB23,AB25,AB27,AB29,AB31,AB33,AB35,AB37,AB39,AB41,AB43,AB45,AB47,AB49,AB51,AB53,AB55,AB57,AB59,AB61,AB63,AB65,AB67,AB69,AB71,AB73,AB75,AB77,AB79,AB81,AB83,AB85,AB87,AB89,AB91,AB93,AB95,AB97,AB99,AB101,AB103,AB105)</f>
        <v>0.81269841269841259</v>
      </c>
      <c r="AC167" s="190">
        <f t="shared" ref="AC167:AH167" si="377">SUM(AC7,AC9,AC11,AC13,AC15,AC17,AC19,AC21,AC23,AC25,AC27,AC29,AC31,AC33,AC35,AC37,AC39,AC41,AC43,AC45,AC47,AC49,AC51,AC53,AC55,AC57,AC59,AC61,AC63,AC65,AC67,AC69,AC71,AC73,AC75,AC77,AC79,AC81,AC83,AC85,AC87,AC89,AC91,AC93,AC95,AC97,AC99,AC101,AC103,AC105)</f>
        <v>0.52063492063492056</v>
      </c>
      <c r="AD167" s="190">
        <f t="shared" si="377"/>
        <v>0.8571428571428571</v>
      </c>
      <c r="AE167" s="190">
        <f t="shared" si="377"/>
        <v>0.50793650793650791</v>
      </c>
      <c r="AF167" s="190">
        <f t="shared" si="377"/>
        <v>0.92063492063492058</v>
      </c>
      <c r="AG167" s="190">
        <f t="shared" si="377"/>
        <v>0.65396825396825398</v>
      </c>
      <c r="AH167" s="190">
        <f t="shared" si="377"/>
        <v>0.5714285714285714</v>
      </c>
      <c r="AI167" s="77">
        <f t="shared" ref="AI167:AR167" si="378">SUM(AI7,AI9,AI11,AI13,AI15,AI17,AI19,AI21,AI23,AI25,AI27,AI29,AI31,AI33,AI35,AI37,AI39,AI41,AI43,AI45,AI47,AI49,AI51,AI53,AI55,AI57,AI59,AI61,AI63,AI65,AI67,AI69,AI71,AI73,AI75,AI77,AI79,AI81,AI83,AI85,AI87,AI89,AI91,AI93,AI95,AI97,AI99,AI101,AI103,AI105)</f>
        <v>0</v>
      </c>
      <c r="AJ167" s="190">
        <f t="shared" si="378"/>
        <v>0.97726984126984129</v>
      </c>
      <c r="AK167" s="190">
        <f t="shared" si="378"/>
        <v>0.62063492063492065</v>
      </c>
      <c r="AL167" s="190">
        <f t="shared" si="378"/>
        <v>0.87492063492063488</v>
      </c>
      <c r="AM167" s="190">
        <f t="shared" si="378"/>
        <v>0.70044444444444443</v>
      </c>
      <c r="AN167" s="190">
        <f t="shared" si="378"/>
        <v>0.58603174603174601</v>
      </c>
      <c r="AO167" s="190">
        <f t="shared" si="378"/>
        <v>0.91841269841269835</v>
      </c>
      <c r="AP167" s="190">
        <f t="shared" si="378"/>
        <v>0.95333333333333337</v>
      </c>
      <c r="AQ167" s="190">
        <f t="shared" si="378"/>
        <v>0.5755555555555556</v>
      </c>
      <c r="AR167" s="225">
        <f t="shared" si="378"/>
        <v>0.83631746031746035</v>
      </c>
      <c r="AS167" s="23">
        <f t="shared" ref="AS167" si="379">SUM(AS7,AS9,AS11,AS13,AS15,AS17,AS19,AS21,AS23,AS25,AS27,AS29,AS31,AS33,AS35,AS37,AS39,AS41,AS43,AS45,AS47,AS49,AS51,AS53,AS55,AS57,AS59,AS61,AS63,AS65,AS67,AS69,AS71,AS73,AS75,AS77,AS79,AS81,AS83,AS85,AS87,AS89,AS91,AS93,AS95,AS97,AS99,AS101,AS103,AS105)</f>
        <v>0</v>
      </c>
      <c r="AT167" s="190">
        <f t="shared" ref="AT167:BL167" si="380">SUM(AT7,AT9,AT11,AT13,AT15,AT17,AT19,AT21,AT23,AT25,AT27,AT29,AT31,AT33,AT35,AT37,AT39,AT41,AT43,AT45,AT47,AT49,AT51,AT53,AT55,AT57,AT59,AT61,AT63,AT65,AT67,AT69,AT71,AT73,AT75,AT77,AT79,AT81,AT83,AT85,AT87,AT89,AT91,AT93,AT95,AT97,AT99,AT101,AT103,AT105)</f>
        <v>1.0424242424242425</v>
      </c>
      <c r="AU167" s="190">
        <f t="shared" si="380"/>
        <v>0.86666666666666659</v>
      </c>
      <c r="AV167" s="190">
        <f t="shared" si="380"/>
        <v>0.71212121212121215</v>
      </c>
      <c r="AW167" s="190">
        <f t="shared" si="380"/>
        <v>0.65151515151515149</v>
      </c>
      <c r="AX167" s="190">
        <f t="shared" si="380"/>
        <v>0.95757575757575752</v>
      </c>
      <c r="AY167" s="190">
        <f t="shared" ref="AY167:AZ167" si="381">SUM(AY7,AY9,AY11,AY13,AY15,AY17,AY19,AY21,AY23,AY25,AY27,AY29,AY31,AY33,AY35,AY37,AY39,AY41,AY43,AY45,AY47,AY49,AY51,AY53,AY55,AY57,AY59,AY61,AY63,AY65,AY67,AY69,AY71,AY73,AY75,AY77,AY79,AY81,AY83,AY85,AY87,AY89,AY91,AY93,AY95,AY97,AY99,AY101,AY103,AY105)</f>
        <v>0.8</v>
      </c>
      <c r="AZ167" s="190">
        <f t="shared" si="381"/>
        <v>0.72424242424242424</v>
      </c>
      <c r="BA167" s="190">
        <f t="shared" si="380"/>
        <v>0.75454545454545463</v>
      </c>
      <c r="BB167" s="225">
        <f t="shared" si="380"/>
        <v>0.88484848484848477</v>
      </c>
      <c r="BC167" s="77">
        <f>SUM(BC7,BC9,BC11,BC13,BC15,BC17,BC19,BC21,BC23,BC25,BC27,BC29,BC31,BC33,BC35,BC37,BC39,BC41,BC43,BC45,BC47,BC49,BC51,BC53,BC55,BC57,BC59,BC61,BC63,BC65,BC67,BC69,BC71,BC73,BC75,BC77,BC79,BC81,BC83,BC85,BC87,BC89,BC91,BC93,BC95,BC97,BC99,BC101,BC103,BC105)</f>
        <v>0.46349206349206346</v>
      </c>
      <c r="BD167" s="190">
        <f t="shared" si="380"/>
        <v>0.71746031746031746</v>
      </c>
      <c r="BE167" s="190">
        <f t="shared" si="380"/>
        <v>1.1904761904761905</v>
      </c>
      <c r="BF167" s="190">
        <f t="shared" ref="BF167:BG167" si="382">SUM(BF7,BF9,BF11,BF13,BF15,BF17,BF19,BF21,BF23,BF25,BF27,BF29,BF31,BF33,BF35,BF37,BF39,BF41,BF43,BF45,BF47,BF49,BF51,BF53,BF55,BF57,BF59,BF61,BF63,BF65,BF67,BF69,BF71,BF73,BF75,BF77,BF79,BF81,BF83,BF85,BF87,BF89,BF91,BF93,BF95,BF97,BF99,BF101,BF103,BF105)</f>
        <v>0.79365079365079361</v>
      </c>
      <c r="BG167" s="190">
        <f t="shared" si="382"/>
        <v>0.91428571428571426</v>
      </c>
      <c r="BH167" s="190">
        <f t="shared" si="380"/>
        <v>0.69841269841269837</v>
      </c>
      <c r="BI167" s="190">
        <f t="shared" si="380"/>
        <v>0.85079365079365077</v>
      </c>
      <c r="BJ167" s="190">
        <f t="shared" si="380"/>
        <v>0.66666666666666663</v>
      </c>
      <c r="BK167" s="190">
        <f t="shared" si="380"/>
        <v>0.96190476190476193</v>
      </c>
      <c r="BL167" s="190">
        <f t="shared" si="380"/>
        <v>0.63492063492063489</v>
      </c>
      <c r="BM167" s="77">
        <f t="shared" ref="BM167" si="383">SUM(BM7,BM9,BM11,BM13,BM15,BM17,BM19,BM21,BM23,BM25,BM27,BM29,BM31,BM33,BM35,BM37,BM39,BM41,BM43,BM45,BM47,BM49,BM51,BM53,BM55,BM57,BM59,BM61,BM63,BM65,BM67,BM69,BM71,BM73,BM75,BM77,BM79,BM81,BM83,BM85,BM87,BM89,BM91,BM93,BM95,BM97,BM99,BM101,BM103,BM105)</f>
        <v>0.69696969696969679</v>
      </c>
      <c r="BN167" s="190">
        <f>SUM(BN7,BN9,BN11,BN13,BN15,BN17,BN19,BN21,BN23,BN25,BN27,BN29,BN31,BN33,BN35,BN37,BN39,BN41,BN43,BN45,BN47,BN49,BN51,BN53,BN55,BN57,BN59,BN61,BN63,BN65,BN67,BN69,BN71,BN73,BN75,BN77,BN79,BN81,BN83,BN85,BN87,BN89,BN91,BN93,BN95,BN97,BN99,BN101,BN103,BN105)</f>
        <v>0.78787878787878785</v>
      </c>
      <c r="BO167" s="190">
        <f t="shared" ref="BO167:BW167" si="384">SUM(BO7,BO9,BO11,BO13,BO15,BO17,BO19,BO21,BO23,BO25,BO27,BO29,BO31,BO33,BO35,BO37,BO39,BO41,BO43,BO45,BO47,BO49,BO51,BO53,BO55,BO57,BO59,BO61,BO63,BO65,BO67,BO69,BO71,BO73,BO75,BO77,BO79,BO81,BO83,BO85,BO87,BO89,BO91,BO93,BO95,BO97,BO99,BO101,BO103,BO105)</f>
        <v>1.0666666666666667</v>
      </c>
      <c r="BP167" s="190">
        <f t="shared" si="384"/>
        <v>1</v>
      </c>
      <c r="BQ167" s="190">
        <f t="shared" si="384"/>
        <v>0.75757575757575757</v>
      </c>
      <c r="BR167" s="190">
        <f>SUM(BR7,BR9,BR11,BR13,BR15,BR17,BR19,BR21,BR23,BR25,BR27,BR29,BR31,BR33,BR35,BR37,BR39,BR41,BR43,BR45,BR47,BR49,BR51,BR53,BR55,BR57,BR59,BR61,BR63,BR65,BR67,BR69,BR71,BR73,BR75,BR77,BR79,BR81,BR83,BR85,BR87,BR89,BR91,BR93,BR95,BR97,BR99,BR101,BR103,BR105)</f>
        <v>0.86666666666666659</v>
      </c>
      <c r="BS167" s="190">
        <f t="shared" ref="BS167:BU167" si="385">SUM(BS7,BS9,BS11,BS13,BS15,BS17,BS19,BS21,BS23,BS25,BS27,BS29,BS31,BS33,BS35,BS37,BS39,BS41,BS43,BS45,BS47,BS49,BS51,BS53,BS55,BS57,BS59,BS61,BS63,BS65,BS67,BS69,BS71,BS73,BS75,BS77,BS79,BS81,BS83,BS85,BS87,BS89,BS91,BS93,BS95,BS97,BS99,BS101,BS103,BS105)</f>
        <v>0.84848484848484851</v>
      </c>
      <c r="BT167" s="190">
        <f t="shared" si="385"/>
        <v>1.0303030303030303</v>
      </c>
      <c r="BU167" s="190">
        <f t="shared" si="385"/>
        <v>1.1515151515151514</v>
      </c>
      <c r="BV167" s="190">
        <f t="shared" si="384"/>
        <v>0.84848484848484851</v>
      </c>
      <c r="BW167" s="23">
        <f t="shared" si="384"/>
        <v>0.76</v>
      </c>
      <c r="BX167" s="190">
        <f>SUM(BX7,BX9,BX11,BX13,BX15,BX17,BX19,BX21,BX23,BX25,BX27,BX29,BX31,BX33,BX35,BX37,BX39,BX41,BX43,BX45,BX47,BX49,BX51,BX53,BX55,BX57,BX59,BX61,BX63,BX65,BX67,BX69,BX71,BX73,BX75,BX77,BX79,BX81,BX83,BX85,BX87,BX89,BX91,BX93,BX95,BX97,BX99,BX101,BX103,BX105)</f>
        <v>0.58000000000000007</v>
      </c>
      <c r="BY167" s="190">
        <f t="shared" ref="BY167:CA167" si="386">SUM(BY7,BY9,BY11,BY13,BY15,BY17,BY19,BY21,BY23,BY25,BY27,BY29,BY31,BY33,BY35,BY37,BY39,BY41,BY43,BY45,BY47,BY49,BY51,BY53,BY55,BY57,BY59,BY61,BY63,BY65,BY67,BY69,BY71,BY73,BY75,BY77,BY79,BY81,BY83,BY85,BY87,BY89,BY91,BY93,BY95,BY97,BY99,BY101,BY103,BY105)</f>
        <v>0.8899999999999999</v>
      </c>
      <c r="BZ167" s="190">
        <f t="shared" si="386"/>
        <v>0.91999999999999993</v>
      </c>
      <c r="CA167" s="190">
        <f t="shared" si="386"/>
        <v>0.87</v>
      </c>
      <c r="CB167" s="190">
        <f>SUM(CB7,CB9,CB11,CB13,CB15,CB17,CB19,CB21,CB23,CB25,CB27,CB29,CB31,CB33,CB35,CB37,CB39,CB41,CB43,CB45,CB47,CB49,CB51,CB53,CB55,CB57,CB59,CB61,CB63,CB65,CB67,CB69,CB71,CB73,CB75,CB77,CB79,CB81,CB83,CB85,CB87,CB89,CB91,CB93,CB95,CB97,CB99,CB101,CB103,CB105)</f>
        <v>0.88666666666666649</v>
      </c>
      <c r="CC167" s="190">
        <f t="shared" ref="CC167:CG167" si="387">SUM(CC7,CC9,CC11,CC13,CC15,CC17,CC19,CC21,CC23,CC25,CC27,CC29,CC31,CC33,CC35,CC37,CC39,CC41,CC43,CC45,CC47,CC49,CC51,CC53,CC55,CC57,CC59,CC61,CC63,CC65,CC67,CC69,CC71,CC73,CC75,CC77,CC79,CC81,CC83,CC85,CC87,CC89,CC91,CC93,CC95,CC97,CC99,CC101,CC103,CC105)</f>
        <v>0.72666666666666668</v>
      </c>
      <c r="CD167" s="190">
        <f t="shared" si="387"/>
        <v>0.74</v>
      </c>
      <c r="CE167" s="190">
        <f t="shared" si="387"/>
        <v>0.89999999999999991</v>
      </c>
      <c r="CF167" s="190">
        <f t="shared" si="387"/>
        <v>0.79333333333333322</v>
      </c>
      <c r="CG167" s="23">
        <f t="shared" si="387"/>
        <v>0.29629629629629628</v>
      </c>
      <c r="CH167" s="190">
        <f>SUM(CH7,CH9,CH11,CH13,CH15,CH17,CH19,CH21,CH23,CH25,CH27,CH29,CH31,CH33,CH35,CH37,CH39,CH41,CH43,CH45,CH47,CH49,CH51,CH53,CH55,CH57,CH59,CH61,CH63,CH65,CH67,CH69,CH71,CH73,CH75,CH77,CH79,CH81,CH83,CH85,CH87,CH89,CH91,CH93,CH95,CH97,CH99,CH101,CH103,CH105)</f>
        <v>0.48148148148148145</v>
      </c>
      <c r="CI167" s="190">
        <f t="shared" ref="CI167:CK167" si="388">SUM(CI7,CI9,CI11,CI13,CI15,CI17,CI19,CI21,CI23,CI25,CI27,CI29,CI31,CI33,CI35,CI37,CI39,CI41,CI43,CI45,CI47,CI49,CI51,CI53,CI55,CI57,CI59,CI61,CI63,CI65,CI67,CI69,CI71,CI73,CI75,CI77,CI79,CI81,CI83,CI85,CI87,CI89,CI91,CI93,CI95,CI97,CI99,CI101,CI103,CI105)</f>
        <v>0.33333333333333331</v>
      </c>
      <c r="CJ167" s="190">
        <f t="shared" si="388"/>
        <v>0.44444444444444442</v>
      </c>
      <c r="CK167" s="190">
        <f t="shared" si="388"/>
        <v>7.407407407407407E-2</v>
      </c>
      <c r="CL167" s="190">
        <f>SUM(CL7,CL9,CL11,CL13,CL15,CL17,CL19,CL21,CL23,CL25,CL27,CL29,CL31,CL33,CL35,CL37,CL39,CL41,CL43,CL45,CL47,CL49,CL51,CL53,CL55,CL57,CL59,CL61,CL63,CL65,CL67,CL69,CL71,CL73,CL75,CL77,CL79,CL81,CL83,CL85,CL87,CL89,CL91,CL93,CL95,CL97,CL99,CL101,CL103,CL105)</f>
        <v>0.40740740740740738</v>
      </c>
      <c r="CM167" s="190">
        <f t="shared" ref="CM167:CP167" si="389">SUM(CM7,CM9,CM11,CM13,CM15,CM17,CM19,CM21,CM23,CM25,CM27,CM29,CM31,CM33,CM35,CM37,CM39,CM41,CM43,CM45,CM47,CM49,CM51,CM53,CM55,CM57,CM59,CM61,CM63,CM65,CM67,CM69,CM71,CM73,CM75,CM77,CM79,CM81,CM83,CM85,CM87,CM89,CM91,CM93,CM95,CM97,CM99,CM101,CM103,CM105)</f>
        <v>0.14814814814814814</v>
      </c>
      <c r="CN167" s="190">
        <f t="shared" si="389"/>
        <v>0.44444444444444442</v>
      </c>
      <c r="CO167" s="190">
        <f t="shared" si="389"/>
        <v>0.55555555555555558</v>
      </c>
      <c r="CP167" s="190">
        <f t="shared" si="389"/>
        <v>0.25925925925925924</v>
      </c>
      <c r="CQ167" s="23">
        <f t="shared" ref="CQ167:DS167" si="390">SUM(CQ7,CQ9,CQ11,CQ13,CQ15,CQ17,CQ19,CQ21,CQ23,CQ25,CQ27,CQ29,CQ31,CQ33,CQ35,CQ37,CQ39,CQ41,CQ43,CQ45,CQ47,CQ49,CQ51,CQ53,CQ55,CQ57,CQ59,CQ61,CQ63,CQ65,CQ67,CQ69,CQ71,CQ73,CQ75,CQ77,CQ79,CQ81,CQ83,CQ85,CQ87,CQ89,CQ91,CQ93,CQ95,CQ97,CQ99,CQ101,CQ103,CQ105)</f>
        <v>0.39999999999999991</v>
      </c>
      <c r="CR167" s="190">
        <f t="shared" si="390"/>
        <v>0.7466666666666667</v>
      </c>
      <c r="CS167" s="190">
        <f t="shared" si="390"/>
        <v>0.6</v>
      </c>
      <c r="CT167" s="190">
        <f t="shared" si="390"/>
        <v>0.6333333333333333</v>
      </c>
      <c r="CU167" s="190">
        <f t="shared" si="390"/>
        <v>0.80666666666666664</v>
      </c>
      <c r="CV167" s="190">
        <f t="shared" si="390"/>
        <v>0.84666666666666668</v>
      </c>
      <c r="CW167" s="190">
        <f t="shared" si="390"/>
        <v>0.71333333333333326</v>
      </c>
      <c r="CX167" s="77">
        <f>SUM(CX7,CX9,CX11,CX13,CX15,CX17,CX19,CX21,CX23,CX25,CX27,CX29,CX31,CX33,CX35,CX37,CX39,CX41,CX43,CX45,CX47,CX49,CX51,CX53,CX55,CX57,CX59,CX61,CX63,CX65,CX67,CX69,CX71,CX73,CX75,CX77,CX79,CX81,CX83,CX85,CX87,CX89,CX91,CX93,CX95,CX97,CX99,CX101,CX103,CX105,CX107,CX109,CX111,CX113)</f>
        <v>0.46349206349206346</v>
      </c>
      <c r="CY167" s="190">
        <f>SUM(CY7,CY9,CY11,CY13,CY15,CY17,CY19,CY21,CY23,CY25,CY27,CY29,CY31,CY33,CY35,CY37,CY39,CY41,CY43,CY45,CY47,CY49,CY51,CY53,CY55,CY57,CY59,CY61,CY63,CY65,CY67,CY69,CY71,CY73,CY75,CY77,CY79,CY81,CY83,CY85,CY87,CY89,CY91,CY93,CY95,CY97,CY99,CY101,CY103,CY105,CY107,CY109,CY111,CY113)</f>
        <v>0.83174603174603168</v>
      </c>
      <c r="CZ167" s="190">
        <f t="shared" ref="CZ167:DD167" si="391">SUM(CZ7,CZ9,CZ11,CZ13,CZ15,CZ17,CZ19,CZ21,CZ23,CZ25,CZ27,CZ29,CZ31,CZ33,CZ35,CZ37,CZ39,CZ41,CZ43,CZ45,CZ47,CZ49,CZ51,CZ53,CZ55,CZ57,CZ59,CZ61,CZ63,CZ65,CZ67,CZ69,CZ71,CZ73,CZ75,CZ77,CZ79,CZ81,CZ83,CZ85,CZ87,CZ89,CZ91,CZ93,CZ95,CZ97,CZ99,CZ101,CZ103,CZ105,CZ107,CZ109,CZ111,CZ113)</f>
        <v>0.68571428571428572</v>
      </c>
      <c r="DA167" s="190">
        <f t="shared" si="391"/>
        <v>0.69841269841269837</v>
      </c>
      <c r="DB167" s="190">
        <f t="shared" si="391"/>
        <v>0.43174603174603177</v>
      </c>
      <c r="DC167" s="190">
        <f t="shared" si="391"/>
        <v>0.70158730158730154</v>
      </c>
      <c r="DD167" s="190">
        <f t="shared" si="391"/>
        <v>0.71428571428571419</v>
      </c>
      <c r="DE167" s="77">
        <f>SUM(DE7,DE9,DE11,DE13,DE15,DE17,DE19,DE21,DE23,DE25,DE27,DE29,DE31,DE33,DE35,DE37,DE39,DE41,DE43,DE45,DE47,DE49,DE51,DE53,DE55,DE57,DE59,DE61,DE63,DE65,DE67,DE69,DE71,DE73,DE75,DE77,DE79,DE81,DE83,DE85,DE87,DE89,DE91,DE93,DE95,DE97,DE99,DE101,DE103,DE105,DE107,DE109,DE111,DE113,DE115,DE117)</f>
        <v>0.31372549019607843</v>
      </c>
      <c r="DF167" s="190">
        <f>SUM(DF7,DF9,DF11,DF13,DF15,DF17,DF19,DF21,DF23,DF25,DF27,DF29,DF31,DF33,DF35,DF37,DF39,DF41,DF43,DF45,DF47,DF49,DF51,DF53,DF55,DF57,DF59,DF61,DF63,DF65,DF67,DF69,DF71,DF73,DF75,DF77,DF79,DF81,DF83,DF85,DF87,DF89,DF91,DF93,DF95,DF97,DF99,DF101,DF103,DF105,DF107,DF109,DF111,DF113,DF115,DF117)</f>
        <v>0.61176470588235299</v>
      </c>
      <c r="DG167" s="190">
        <f t="shared" ref="DG167:DK167" si="392">SUM(DG7,DG9,DG11,DG13,DG15,DG17,DG19,DG21,DG23,DG25,DG27,DG29,DG31,DG33,DG35,DG37,DG39,DG41,DG43,DG45,DG47,DG49,DG51,DG53,DG55,DG57,DG59,DG61,DG63,DG65,DG67,DG69,DG71,DG73,DG75,DG77,DG79,DG81,DG83,DG85,DG87,DG89,DG91,DG93,DG95,DG97,DG99,DG101,DG103,DG105,DG107,DG109,DG111,DG113,DG115,DG117)</f>
        <v>0.5490196078431373</v>
      </c>
      <c r="DH167" s="190">
        <f t="shared" si="392"/>
        <v>0.47058823529411764</v>
      </c>
      <c r="DI167" s="190">
        <f t="shared" si="392"/>
        <v>0.47058823529411764</v>
      </c>
      <c r="DJ167" s="190">
        <f t="shared" si="392"/>
        <v>0.47058823529411764</v>
      </c>
      <c r="DK167" s="190">
        <f t="shared" si="392"/>
        <v>0.39215686274509803</v>
      </c>
      <c r="DL167" s="23">
        <f t="shared" si="390"/>
        <v>0</v>
      </c>
      <c r="DM167" s="190">
        <f t="shared" si="390"/>
        <v>0</v>
      </c>
      <c r="DN167" s="23">
        <f t="shared" si="390"/>
        <v>0</v>
      </c>
      <c r="DO167" s="190">
        <f t="shared" si="390"/>
        <v>0</v>
      </c>
      <c r="DP167" s="23">
        <f t="shared" si="390"/>
        <v>0</v>
      </c>
      <c r="DQ167" s="190">
        <f t="shared" si="390"/>
        <v>0</v>
      </c>
      <c r="DR167" s="23">
        <f t="shared" si="390"/>
        <v>0</v>
      </c>
      <c r="DS167" s="190">
        <f t="shared" si="390"/>
        <v>0</v>
      </c>
      <c r="DT167" s="23">
        <f>SUM(CX167:DD167)</f>
        <v>4.5269841269841269</v>
      </c>
    </row>
    <row r="168" spans="1:133" ht="26.25" customHeight="1" x14ac:dyDescent="0.4">
      <c r="A168" s="501"/>
      <c r="B168" s="502"/>
      <c r="C168" s="502"/>
      <c r="D168" s="502"/>
      <c r="E168" s="502"/>
      <c r="F168" s="502"/>
      <c r="G168" s="503"/>
      <c r="H168" s="492"/>
      <c r="I168" s="492"/>
      <c r="J168" s="436" t="s">
        <v>91</v>
      </c>
      <c r="K168" s="437"/>
      <c r="L168" s="437"/>
      <c r="M168" s="438"/>
      <c r="N168" s="209" t="s">
        <v>25</v>
      </c>
      <c r="O168" s="209">
        <f>SUM(O8,O10,O12,O14,O16,O18,O20,O22,O24,O26,O28,O30,O32,O34,O36,O38,O40,O42,O44,O46,O48,O50,O52,O54,O56,O58,O60,O62,O64,O66,O68,O70,O72,O74,O76,O78,O80,O82,O84,O86,O88,O90,O92,O94,O96,O98,O100,O102,O104,O106)</f>
        <v>0</v>
      </c>
      <c r="P168" s="209">
        <f>SUM(P8,P10,P12,P14,P16,P18,P20,P22,P24,P26,P28,P30,P32,P34,P36,P38,P40,P42,P44,P46,P48,P50,P52,P54,P56,P58,P60,P62,P64,P66,P68,P70,P72,P74,P76,P78,P80,P82,P84,P86,P88,P90,P92,P94,P96,P98,P100,P102,P104,P106)</f>
        <v>0.74583333333333346</v>
      </c>
      <c r="Q168" s="209">
        <f t="shared" ref="Q168:X168" si="393">SUM(Q8,Q10,Q12,Q14,Q16,Q18,Q20,Q22,Q24,Q26,Q28,Q30,Q32,Q34,Q36,Q38,Q40,Q42,Q44,Q46,Q48,Q50,Q52,Q54,Q56,Q58,Q60,Q62,Q64,Q66,Q68,Q70,Q72,Q74,Q76,Q78,Q80,Q82,Q84,Q86,Q88,Q90,Q92,Q94,Q96,Q98,Q100,Q102,Q104,Q106)</f>
        <v>0.86250000000000004</v>
      </c>
      <c r="R168" s="209">
        <f t="shared" si="393"/>
        <v>0.92083333333333339</v>
      </c>
      <c r="S168" s="209">
        <f t="shared" si="393"/>
        <v>0.66666666666666674</v>
      </c>
      <c r="T168" s="209">
        <f t="shared" si="393"/>
        <v>0.92083333333333328</v>
      </c>
      <c r="U168" s="209">
        <f t="shared" si="393"/>
        <v>0.8208333333333333</v>
      </c>
      <c r="V168" s="209">
        <f t="shared" ref="V168:W168" si="394">SUM(V8,V10,V12,V14,V16,V18,V20,V22,V24,V26,V28,V30,V32,V34,V36,V38,V40,V42,V44,V46,V48,V50,V52,V54,V56,V58,V60,V62,V64,V66,V68,V70,V72,V74,V76,V78,V80,V82,V84,V86,V88,V90,V92,V94,V96,V98,V100,V102,V104,V106)</f>
        <v>0.66249999999999998</v>
      </c>
      <c r="W168" s="209">
        <f t="shared" si="394"/>
        <v>0.92083333333333328</v>
      </c>
      <c r="X168" s="53">
        <f t="shared" si="393"/>
        <v>0.63333333333333341</v>
      </c>
      <c r="Y168" s="209">
        <f>SUM(Y8,Y10,Y12,Y14,Y16,Y18,Y20,Y22,Y24,Y26,Y28,Y30,Y32,Y34,Y36,Y38,Y40,Y42,Y44,Y46,Y48,Y50,Y52,Y54,Y56,Y58,Y60,Y62,Y64,Y66,Y68,Y70,Y72,Y74,Y76,Y78,Y80,Y82,Y84,Y86,Y88,Y90,Y92,Y94,Y96,Y98,Y100,Y102,Y104,Y106)</f>
        <v>0.13650793650793652</v>
      </c>
      <c r="Z168" s="209">
        <f>SUM(Z8,Z10,Z12,Z14,Z16,Z18,Z20,Z22,Z24,Z26,Z28,Z30,Z32,Z34,Z36,Z38,Z40,Z42,Z44,Z46,Z48,Z50,Z52,Z54,Z56,Z58,Z60,Z62,Z64,Z66,Z68,Z70,Z72,Z74,Z76,Z78,Z80,Z82,Z84,Z86,Z88,Z90,Z92,Z94,Z96,Z98,Z100,Z102,Z104,Z106)</f>
        <v>0.71746031746031735</v>
      </c>
      <c r="AA168" s="209">
        <f t="shared" ref="AA168:AH168" si="395">SUM(AA8,AA10,AA12,AA14,AA16,AA18,AA20,AA22,AA24,AA26,AA28,AA30,AA32,AA34,AA36,AA38,AA40,AA42,AA44,AA46,AA48,AA50,AA52,AA54,AA56,AA58,AA60,AA62,AA64,AA66,AA68,AA70,AA72,AA74,AA76,AA78,AA80,AA82,AA84,AA86,AA88,AA90,AA92,AA94,AA96,AA98,AA100,AA102,AA104,AA106)</f>
        <v>0.60952380952380947</v>
      </c>
      <c r="AB168" s="209">
        <f t="shared" si="395"/>
        <v>0.74920634920634921</v>
      </c>
      <c r="AC168" s="209">
        <f t="shared" si="395"/>
        <v>0.47936507936507938</v>
      </c>
      <c r="AD168" s="209">
        <f t="shared" si="395"/>
        <v>0.83174603174603168</v>
      </c>
      <c r="AE168" s="209">
        <f t="shared" si="395"/>
        <v>0.61904761904761896</v>
      </c>
      <c r="AF168" s="209">
        <f t="shared" si="395"/>
        <v>0.53333333333333333</v>
      </c>
      <c r="AG168" s="209">
        <f t="shared" si="395"/>
        <v>0.68571428571428561</v>
      </c>
      <c r="AH168" s="209">
        <f t="shared" si="395"/>
        <v>0.67936507936507939</v>
      </c>
      <c r="AI168" s="58">
        <f t="shared" ref="AI168:AR168" si="396">SUM(AI8,AI10,AI12,AI14,AI16,AI18,AI20,AI22,AI24,AI26,AI28,AI30,AI32,AI34,AI36,AI38,AI40,AI42,AI44,AI46,AI48,AI50,AI52,AI54,AI56,AI58,AI60,AI62,AI64,AI66,AI68,AI70,AI72,AI74,AI76,AI78,AI80,AI82,AI84,AI86,AI88,AI90,AI92,AI94,AI96,AI98,AI100,AI102,AI104,AI106)</f>
        <v>0</v>
      </c>
      <c r="AJ168" s="209">
        <f t="shared" si="396"/>
        <v>0.8571428571428571</v>
      </c>
      <c r="AK168" s="209">
        <f t="shared" si="396"/>
        <v>0.71746031746031746</v>
      </c>
      <c r="AL168" s="209">
        <f t="shared" si="396"/>
        <v>0.85714285714285721</v>
      </c>
      <c r="AM168" s="209">
        <f t="shared" si="396"/>
        <v>0.73650793650793656</v>
      </c>
      <c r="AN168" s="209">
        <f t="shared" si="396"/>
        <v>0.74920634920634921</v>
      </c>
      <c r="AO168" s="209">
        <f t="shared" si="396"/>
        <v>0.73015873015873001</v>
      </c>
      <c r="AP168" s="209">
        <f t="shared" si="396"/>
        <v>0.83492063492063484</v>
      </c>
      <c r="AQ168" s="209">
        <f t="shared" si="396"/>
        <v>0.75555555555555554</v>
      </c>
      <c r="AR168" s="53">
        <f t="shared" si="396"/>
        <v>0.73650793650793656</v>
      </c>
      <c r="AS168" s="65">
        <f>SUM(AS8,AS10,AS12,AS14,AS16,AS18,AS20,AS22,AS24,AS26,AS28,AS30,AS32,AS34,AS36,AS38,AS40,AS42,AS44,AS46,AS48,AS50,AS52,AS54,AS56,AS58,AS60,AS62,AS64,AS66,AS68,AS70,AS72,AS74,AS76,AS78,AS80,AS82,AS84,AS86,AS88,AS90,AS92,AS94,AS96,AS98,AS100,AS102,AS104,AS106)</f>
        <v>0</v>
      </c>
      <c r="AT168" s="210">
        <f t="shared" ref="AT168:BL168" si="397">SUM(AT8,AT10,AT12,AT14,AT16,AT18,AT20,AT22,AT24,AT26,AT28,AT30,AT32,AT34,AT36,AT38,AT40,AT42,AT44,AT46,AT48,AT50,AT52,AT54,AT56,AT58,AT60,AT62,AT64,AT66,AT68,AT70,AT72,AT74,AT76,AT78,AT80,AT82,AT84,AT86,AT88,AT90,AT92,AT94,AT96,AT98,AT100,AT102,AT104,AT106)</f>
        <v>0.83636363636363642</v>
      </c>
      <c r="AU168" s="210">
        <f t="shared" si="397"/>
        <v>0.74545454545454548</v>
      </c>
      <c r="AV168" s="210">
        <f t="shared" si="397"/>
        <v>0.90606060606060601</v>
      </c>
      <c r="AW168" s="280">
        <f t="shared" si="397"/>
        <v>0.69090909090909092</v>
      </c>
      <c r="AX168" s="210">
        <f t="shared" si="397"/>
        <v>0.81212121212121213</v>
      </c>
      <c r="AY168" s="210">
        <f t="shared" ref="AY168:AZ168" si="398">SUM(AY8,AY10,AY12,AY14,AY16,AY18,AY20,AY22,AY24,AY26,AY28,AY30,AY32,AY34,AY36,AY38,AY40,AY42,AY44,AY46,AY48,AY50,AY52,AY54,AY56,AY58,AY60,AY62,AY64,AY66,AY68,AY70,AY72,AY74,AY76,AY78,AY80,AY82,AY84,AY86,AY88,AY90,AY92,AY94,AY96,AY98,AY100,AY102,AY104,AY106)</f>
        <v>0.77575757575757576</v>
      </c>
      <c r="AZ168" s="210">
        <f t="shared" si="398"/>
        <v>0.8</v>
      </c>
      <c r="BA168" s="210">
        <f t="shared" si="397"/>
        <v>0.82424242424242422</v>
      </c>
      <c r="BB168" s="53">
        <f t="shared" si="397"/>
        <v>0.78181818181818186</v>
      </c>
      <c r="BC168" s="58">
        <f t="shared" si="397"/>
        <v>0.28571428571428575</v>
      </c>
      <c r="BD168" s="209">
        <f t="shared" si="397"/>
        <v>0.70793650793650797</v>
      </c>
      <c r="BE168" s="209">
        <f t="shared" si="397"/>
        <v>0.92063492063492047</v>
      </c>
      <c r="BF168" s="209">
        <f t="shared" ref="BF168:BG168" si="399">SUM(BF8,BF10,BF12,BF14,BF16,BF18,BF20,BF22,BF24,BF26,BF28,BF30,BF32,BF34,BF36,BF38,BF40,BF42,BF44,BF46,BF48,BF50,BF52,BF54,BF56,BF58,BF60,BF62,BF64,BF66,BF68,BF70,BF72,BF74,BF76,BF78,BF80,BF82,BF84,BF86,BF88,BF90,BF92,BF94,BF96,BF98,BF100,BF102,BF104,BF106)</f>
        <v>0.83492063492063484</v>
      </c>
      <c r="BG168" s="209">
        <f t="shared" si="399"/>
        <v>0.91746031746031742</v>
      </c>
      <c r="BH168" s="209">
        <f t="shared" si="397"/>
        <v>0.72063492063492063</v>
      </c>
      <c r="BI168" s="209">
        <f t="shared" si="397"/>
        <v>0.84126984126984128</v>
      </c>
      <c r="BJ168" s="209">
        <f t="shared" si="397"/>
        <v>0.73650793650793656</v>
      </c>
      <c r="BK168" s="209">
        <f t="shared" si="397"/>
        <v>0.92380952380952386</v>
      </c>
      <c r="BL168" s="209">
        <f t="shared" si="397"/>
        <v>0.77142857142857146</v>
      </c>
      <c r="BM168" s="58">
        <f>SUM(BM8,BM10,BM12,BM14,BM16,BM18,BM20,BM22,BM24,BM26,BM28,BM30,BM32,BM34,BM36,BM38,BM40,BM42,BM44,BM46,BM48,BM50,BM52,BM54,BM56,BM58,BM60,BM62,BM64,BM66,BM68,BM70,BM72,BM74,BM76,BM78,BM80,BM82,BM84,BM86,BM88,BM90,BM92,BM94,BM96,BM98,BM100,BM102,BM104,BM106)</f>
        <v>0.64090909090909098</v>
      </c>
      <c r="BN168" s="209">
        <f>SUM(BN8,BN10,BN12,BN14,BN16,BN18,BN20,BN22,BN24,BN26,BN28,BN30,BN32,BN34,BN36,BN38,BN40,BN42,BN44,BN46,BN48,BN50,BN52,BN54,BN56,BN58,BN60,BN62,BN64,BN66,BN68,BN70,BN72,BN74,BN76,BN78,BN80,BN82,BN84,BN86,BN88,BN90,BN92,BN94,BN96,BN98,BN100,BN102,BN104,BN106)</f>
        <v>0.87878787878787878</v>
      </c>
      <c r="BO168" s="209">
        <f t="shared" ref="BO168:BV168" si="400">SUM(BO8,BO10,BO12,BO14,BO16,BO18,BO20,BO22,BO24,BO26,BO28,BO30,BO32,BO34,BO36,BO38,BO40,BO42,BO44,BO46,BO48,BO50,BO52,BO54,BO56,BO58,BO60,BO62,BO64,BO66,BO68,BO70,BO72,BO74,BO76,BO78,BO80,BO82,BO84,BO86,BO88,BO90,BO92,BO94,BO96,BO98,BO100,BO102,BO104,BO106)</f>
        <v>0.87272727272727257</v>
      </c>
      <c r="BP168" s="209">
        <f t="shared" si="400"/>
        <v>0.92121212121212115</v>
      </c>
      <c r="BQ168" s="209">
        <f t="shared" si="400"/>
        <v>0.87575757575757573</v>
      </c>
      <c r="BR168" s="209">
        <f t="shared" si="400"/>
        <v>0.91212121212121222</v>
      </c>
      <c r="BS168" s="209">
        <f t="shared" ref="BS168:BU168" si="401">SUM(BS8,BS10,BS12,BS14,BS16,BS18,BS20,BS22,BS24,BS26,BS28,BS30,BS32,BS34,BS36,BS38,BS40,BS42,BS44,BS46,BS48,BS50,BS52,BS54,BS56,BS58,BS60,BS62,BS64,BS66,BS68,BS70,BS72,BS74,BS76,BS78,BS80,BS82,BS84,BS86,BS88,BS90,BS92,BS94,BS96,BS98,BS100,BS102,BS104,BS106)</f>
        <v>0.87878787878787867</v>
      </c>
      <c r="BT168" s="209">
        <f t="shared" si="401"/>
        <v>0.87272727272727268</v>
      </c>
      <c r="BU168" s="209">
        <f t="shared" si="401"/>
        <v>0.91818181818181821</v>
      </c>
      <c r="BV168" s="209">
        <f t="shared" si="400"/>
        <v>0.87878787878787867</v>
      </c>
      <c r="BW168" s="65">
        <f>SUM(BW8,BW10,BW12,BW14,BW16,BW18,BW20,BW22,BW24,BW26,BW28,BW30,BW32,BW34,BW36,BW38,BW40,BW42,BW44,BW46,BW48,BW50,BW52,BW54,BW56,BW58,BW60,BW62,BW64,BW66,BW68,BW70,BW72,BW74,BW76,BW78,BW80,BW82,BW84,BW86,BW88,BW90,BW92,BW94,BW96,BW98,BW100,BW102,BW104,BW106)</f>
        <v>0.48666666666666669</v>
      </c>
      <c r="BX168" s="209">
        <f>SUM(BX8,BX10,BX12,BX14,BX16,BX18,BX20,BX22,BX24,BX26,BX28,BX30,BX32,BX34,BX36,BX38,BX40,BX42,BX44,BX46,BX48,BX50,BX52,BX54,BX56,BX58,BX60,BX62,BX64,BX66,BX68,BX70,BX72,BX74,BX76,BX78,BX80,BX82,BX84,BX86,BX88,BX90,BX92,BX94,BX96,BX98,BX100,BX102,BX104,BX106)</f>
        <v>0.72333333333333327</v>
      </c>
      <c r="BY168" s="209">
        <f t="shared" ref="BY168:CF168" si="402">SUM(BY8,BY10,BY12,BY14,BY16,BY18,BY20,BY22,BY24,BY26,BY28,BY30,BY32,BY34,BY36,BY38,BY40,BY42,BY44,BY46,BY48,BY50,BY52,BY54,BY56,BY58,BY60,BY62,BY64,BY66,BY68,BY70,BY72,BY74,BY76,BY78,BY80,BY82,BY84,BY86,BY88,BY90,BY92,BY94,BY96,BY98,BY100,BY102,BY104,BY106)</f>
        <v>0.91333333333333322</v>
      </c>
      <c r="BZ168" s="209">
        <f t="shared" si="402"/>
        <v>0.87333333333333329</v>
      </c>
      <c r="CA168" s="209">
        <f t="shared" si="402"/>
        <v>0.78333333333333333</v>
      </c>
      <c r="CB168" s="209">
        <f t="shared" si="402"/>
        <v>0.89999999999999991</v>
      </c>
      <c r="CC168" s="209">
        <f t="shared" si="402"/>
        <v>0.69333333333333336</v>
      </c>
      <c r="CD168" s="209">
        <f t="shared" si="402"/>
        <v>0.77666666666666662</v>
      </c>
      <c r="CE168" s="209">
        <f t="shared" si="402"/>
        <v>0.87666666666666659</v>
      </c>
      <c r="CF168" s="209">
        <f t="shared" si="402"/>
        <v>0.85</v>
      </c>
      <c r="CG168" s="24">
        <f>SUM(CG8,CG10,CG12,CG14,CG16,CG18,CG20,CG22,CG24,CG26,CG28,CG30,CG32,CG34,CG36,CG38,CG40,CG42,CG44,CG46,CG48,CG50,CG52,CG54,CG56,CG58,CG60,CG62,CG64,CG66,CG68,CG70,CG72,CG74,CG76,CG78,CG80,CG82,CG84,CG86,CG88,CG90,CG92,CG94,CG96,CG98,CG100,CG102,CG104,CG106)</f>
        <v>0.26296296296296295</v>
      </c>
      <c r="CH168" s="209">
        <f>SUM(CH8,CH10,CH12,CH14,CH16,CH18,CH20,CH22,CH24,CH26,CH28,CH30,CH32,CH34,CH36,CH38,CH40,CH42,CH44,CH46,CH48,CH50,CH52,CH54,CH56,CH58,CH60,CH62,CH64,CH66,CH68,CH70,CH72,CH74,CH76,CH78,CH80,CH82,CH84,CH86,CH88,CH90,CH92,CH94,CH96,CH98,CH100,CH102,CH104,CH106)</f>
        <v>0.41851851851851851</v>
      </c>
      <c r="CI168" s="209">
        <f t="shared" ref="CI168:CP168" si="403">SUM(CI8,CI10,CI12,CI14,CI16,CI18,CI20,CI22,CI24,CI26,CI28,CI30,CI32,CI34,CI36,CI38,CI40,CI42,CI44,CI46,CI48,CI50,CI52,CI54,CI56,CI58,CI60,CI62,CI64,CI66,CI68,CI70,CI72,CI74,CI76,CI78,CI80,CI82,CI84,CI86,CI88,CI90,CI92,CI94,CI96,CI98,CI100,CI102,CI104,CI106)</f>
        <v>0.46296296296296297</v>
      </c>
      <c r="CJ168" s="209">
        <f t="shared" si="403"/>
        <v>0.37037037037037035</v>
      </c>
      <c r="CK168" s="209">
        <f t="shared" si="403"/>
        <v>5.185185185185185E-2</v>
      </c>
      <c r="CL168" s="209">
        <f t="shared" si="403"/>
        <v>0.31481481481481483</v>
      </c>
      <c r="CM168" s="209">
        <f t="shared" si="403"/>
        <v>0.13703703703703704</v>
      </c>
      <c r="CN168" s="209">
        <f t="shared" si="403"/>
        <v>0.38888888888888884</v>
      </c>
      <c r="CO168" s="209">
        <f t="shared" si="403"/>
        <v>0.51851851851851849</v>
      </c>
      <c r="CP168" s="209">
        <f t="shared" si="403"/>
        <v>0.12592592592592594</v>
      </c>
      <c r="CQ168" s="24">
        <f>SUM(CQ8,CQ10,CQ12,CQ14,CQ16,CQ18,CQ20,CQ22,CQ24,CQ26,CQ28,CQ30,CQ32,CQ34,CQ36,CQ38,CQ40,CQ42,CQ44,CQ46,CQ48,CQ50,CQ52,CQ54,CQ56,CQ58,CQ60,CQ62,CQ64,CQ66,CQ68,CQ70,CQ72,CQ74,CQ76,CQ78,CQ80,CQ82,CQ84,CQ86,CQ88,CQ90,CQ92,CQ94,CQ96,CQ98,CQ100,CQ102,CQ104,CQ106)</f>
        <v>0.39666666666666672</v>
      </c>
      <c r="CR168" s="209">
        <f>SUM(CR8,CR10,CR12,CR14,CR16,CR18,CR20,CR22,CR24,CR26,CR28,CR30,CR32,CR34,CR36,CR38,CR40,CR42,CR44,CR46,CR48,CR50,CR52,CR54,CR56,CR58,CR60,CR62,CR64,CR66,CR68,CR70,CR72,CR74,CR76,CR78,CR80,CR82,CR84,CR86,CR88,CR90,CR92,CR94,CR96,CR98,CR100,CR102,CR104,CR106)</f>
        <v>0.68</v>
      </c>
      <c r="CS168" s="209">
        <f t="shared" ref="CS168:DS168" si="404">SUM(CS8,CS10,CS12,CS14,CS16,CS18,CS20,CS22,CS24,CS26,CS28,CS30,CS32,CS34,CS36,CS38,CS40,CS42,CS44,CS46,CS48,CS50,CS52,CS54,CS56,CS58,CS60,CS62,CS64,CS66,CS68,CS70,CS72,CS74,CS76,CS78,CS80,CS82,CS84,CS86,CS88,CS90,CS92,CS94,CS96,CS98,CS100,CS102,CS104,CS106)</f>
        <v>0.62333333333333341</v>
      </c>
      <c r="CT168" s="209">
        <f t="shared" si="404"/>
        <v>0.63</v>
      </c>
      <c r="CU168" s="209">
        <f t="shared" si="404"/>
        <v>0.74333333333333329</v>
      </c>
      <c r="CV168" s="209">
        <f t="shared" si="404"/>
        <v>0.84666666666666657</v>
      </c>
      <c r="CW168" s="209">
        <f t="shared" si="404"/>
        <v>0.62666666666666671</v>
      </c>
      <c r="CX168" s="24">
        <f>SUM(CX8,CX10,CX12,CX14,CX16,CX18,CX20,CX22,CX24,CX26,CX28,CX30,CX32,CX34,CX36,CX38,CX40,CX42,CX44,CX46,CX48,CX50,CX52,CX54,CX56,CX58,CX60,CX62,CX64,CX66,CX68,CX70,CX72,CX74,CX76,CX78,CX80,CX82,CX84,CX86,CX88,CX90,CX92,CX94,CX96,CX98,CX100,CX102,CX104,CX106,CX108,CX110,CX112,CX114)</f>
        <v>0.44444444444444453</v>
      </c>
      <c r="CY168" s="209">
        <f>SUM(CY8,CY10,CY12,CY14,CY16,CY18,CY20,CY22,CY24,CY26,CY28,CY30,CY32,CY34,CY36,CY38,CY40,CY42,CY44,CY46,CY48,CY50,CY52,CY54,CY56,CY58,CY60,CY62,CY64,CY66,CY68,CY70,CY72,CY74,CY76,CY78,CY80,CY82,CY84,CY86,CY88,CY90,CY92,CY94,CY96,CY98,CY100,CY102,CY104,CY106,CY108,CY110,CY112,CY114)</f>
        <v>0.80634920634920637</v>
      </c>
      <c r="CZ168" s="209">
        <f t="shared" ref="CZ168:DD168" si="405">SUM(CZ8,CZ10,CZ12,CZ14,CZ16,CZ18,CZ20,CZ22,CZ24,CZ26,CZ28,CZ30,CZ32,CZ34,CZ36,CZ38,CZ40,CZ42,CZ44,CZ46,CZ48,CZ50,CZ52,CZ54,CZ56,CZ58,CZ60,CZ62,CZ64,CZ66,CZ68,CZ70,CZ72,CZ74,CZ76,CZ78,CZ80,CZ82,CZ84,CZ86,CZ88,CZ90,CZ92,CZ94,CZ96,CZ98,CZ100,CZ102,CZ104,CZ106,CZ108,CZ110,CZ112,CZ114)</f>
        <v>0.55873015873015863</v>
      </c>
      <c r="DA168" s="209">
        <f t="shared" si="405"/>
        <v>0.73650793650793656</v>
      </c>
      <c r="DB168" s="209">
        <f t="shared" si="405"/>
        <v>0.6</v>
      </c>
      <c r="DC168" s="209">
        <f t="shared" si="405"/>
        <v>0.65396825396825398</v>
      </c>
      <c r="DD168" s="209">
        <f t="shared" si="405"/>
        <v>0.6253968253968254</v>
      </c>
      <c r="DE168" s="24">
        <f>SUM(DE8,DE10,DE12,DE14,DE16,DE18,DE20,DE22,DE24,DE26,DE28,DE30,DE32,DE34,DE36,DE38,DE40,DE42,DE44,DE46,DE48,DE50,DE52,DE54,DE56,DE58,DE60,DE62,DE64,DE66,DE68,DE70,DE72,DE74,DE76,DE78,DE80,DE82,DE84,DE86,DE88,DE90,DE92,DE94,DE96,DE98,DE100,DE102,DE104,DE106,DE108,DE110,DE112,DE114,DE116,DE118)</f>
        <v>0.36470588235294121</v>
      </c>
      <c r="DF168" s="209">
        <f>SUM(DF8,DF10,DF12,DF14,DF16,DF18,DF20,DF22,DF24,DF26,DF28,DF30,DF32,DF34,DF36,DF38,DF40,DF42,DF44,DF46,DF48,DF50,DF52,DF54,DF56,DF58,DF60,DF62,DF64,DF66,DF68,DF70,DF72,DF74,DF76,DF78,DF80,DF82,DF84,DF86,DF88,DF90,DF92,DF94,DF96,DF98,DF100,DF102,DF104,DF106,DF108,DF110,DF112,DF114,DF116,DF118)</f>
        <v>0.79607843137254908</v>
      </c>
      <c r="DG168" s="209">
        <f t="shared" ref="DG168:DJ168" si="406">SUM(DG8,DG10,DG12,DG14,DG16,DG18,DG20,DG22,DG24,DG26,DG28,DG30,DG32,DG34,DG36,DG38,DG40,DG42,DG44,DG46,DG48,DG50,DG52,DG54,DG56,DG58,DG60,DG62,DG64,DG66,DG68,DG70,DG72,DG74,DG76,DG78,DG80,DG82,DG84,DG86,DG88,DG90,DG92,DG94,DG96,DG98,DG100,DG102,DG104,DG106,DG108,DG110,DG112,DG114,DG116,DG118)</f>
        <v>0.73725490196078436</v>
      </c>
      <c r="DH168" s="209">
        <f t="shared" si="406"/>
        <v>0.6705882352941176</v>
      </c>
      <c r="DI168" s="209">
        <f t="shared" si="406"/>
        <v>0.70980392156862737</v>
      </c>
      <c r="DJ168" s="209">
        <f t="shared" si="406"/>
        <v>0.58431372549019611</v>
      </c>
      <c r="DK168" s="209">
        <f>SUM(DK8,DK10,DK12,DK14,DK16,DK18,DK20,DK22,DK24,DK26,DK28,DK30,DK32,DK34,DK36,DK38,DK40,DK42,DK44,DK46,DK48,DK50,DK52,DK54,DK56,DK58,DK60,DK62,DK64,DK66,DK68,DK70,DK72,DK74,DK76,DK78,DK80,DK82,DK84,DK86,DK88,DK90,DK92,DK94,DK96,DK98,DK100,DK102,DK104,DK106,DK108,DK110,DK112,DK114,DK116,DK118)</f>
        <v>0.69803921568627447</v>
      </c>
      <c r="DL168" s="24">
        <f t="shared" si="404"/>
        <v>0</v>
      </c>
      <c r="DM168" s="209">
        <f t="shared" si="404"/>
        <v>0</v>
      </c>
      <c r="DN168" s="24">
        <f t="shared" si="404"/>
        <v>0</v>
      </c>
      <c r="DO168" s="209">
        <f t="shared" si="404"/>
        <v>0</v>
      </c>
      <c r="DP168" s="24">
        <f t="shared" si="404"/>
        <v>0</v>
      </c>
      <c r="DQ168" s="209">
        <f t="shared" si="404"/>
        <v>0</v>
      </c>
      <c r="DR168" s="24">
        <f t="shared" si="404"/>
        <v>0</v>
      </c>
      <c r="DS168" s="209">
        <f t="shared" si="404"/>
        <v>0</v>
      </c>
      <c r="DT168" s="24">
        <f>SUM(CX168:DD168)</f>
        <v>4.4253968253968257</v>
      </c>
    </row>
    <row r="170" spans="1:133" ht="20.100000000000001" customHeight="1" x14ac:dyDescent="0.4">
      <c r="A170" s="7" t="s">
        <v>29</v>
      </c>
    </row>
    <row r="171" spans="1:133" s="2" customFormat="1" ht="20.100000000000001" customHeight="1" x14ac:dyDescent="0.4">
      <c r="A171" s="442" t="s">
        <v>0</v>
      </c>
      <c r="B171" s="512" t="s">
        <v>88</v>
      </c>
      <c r="C171" s="512" t="s">
        <v>6</v>
      </c>
      <c r="D171" s="512" t="s">
        <v>31</v>
      </c>
      <c r="E171" s="512" t="s">
        <v>2</v>
      </c>
      <c r="F171" s="512" t="s">
        <v>3</v>
      </c>
      <c r="G171" s="465" t="s">
        <v>1</v>
      </c>
      <c r="H171" s="493" t="s">
        <v>24</v>
      </c>
      <c r="I171" s="493" t="s">
        <v>25</v>
      </c>
      <c r="J171" s="493" t="s">
        <v>9</v>
      </c>
      <c r="K171" s="442" t="s">
        <v>7</v>
      </c>
      <c r="L171" s="442" t="s">
        <v>8</v>
      </c>
      <c r="M171" s="442" t="s">
        <v>4</v>
      </c>
      <c r="N171" s="451" t="s">
        <v>5</v>
      </c>
      <c r="O171" s="452"/>
      <c r="P171" s="452"/>
      <c r="Q171" s="452"/>
      <c r="R171" s="452"/>
      <c r="S171" s="452"/>
      <c r="T171" s="452"/>
      <c r="U171" s="452"/>
      <c r="V171" s="452"/>
      <c r="W171" s="452"/>
      <c r="X171" s="452"/>
      <c r="Y171" s="452"/>
      <c r="Z171" s="452"/>
      <c r="AA171" s="452"/>
      <c r="AB171" s="452"/>
      <c r="AC171" s="452"/>
      <c r="AD171" s="452"/>
      <c r="AE171" s="452"/>
      <c r="AF171" s="452"/>
      <c r="AG171" s="452"/>
      <c r="AH171" s="452"/>
      <c r="AI171" s="452"/>
      <c r="AJ171" s="452"/>
      <c r="AK171" s="452"/>
      <c r="AL171" s="452"/>
      <c r="AM171" s="452"/>
      <c r="AN171" s="452"/>
      <c r="AO171" s="452"/>
      <c r="AP171" s="452"/>
      <c r="AQ171" s="452"/>
      <c r="AR171" s="452"/>
      <c r="AS171" s="452"/>
      <c r="AT171" s="452"/>
      <c r="AU171" s="452"/>
      <c r="AV171" s="452"/>
      <c r="AW171" s="452"/>
      <c r="AX171" s="452"/>
      <c r="AY171" s="452"/>
      <c r="AZ171" s="452"/>
      <c r="BA171" s="452"/>
      <c r="BB171" s="452"/>
      <c r="BC171" s="452"/>
      <c r="BD171" s="452"/>
      <c r="BE171" s="452"/>
      <c r="BF171" s="452"/>
      <c r="BG171" s="452"/>
      <c r="BH171" s="452"/>
      <c r="BI171" s="452"/>
      <c r="BJ171" s="452"/>
      <c r="BK171" s="452"/>
      <c r="BL171" s="452"/>
      <c r="BM171" s="452"/>
      <c r="BN171" s="452"/>
      <c r="BO171" s="452"/>
      <c r="BP171" s="452"/>
      <c r="BQ171" s="452"/>
      <c r="BR171" s="452"/>
      <c r="BS171" s="452"/>
      <c r="BT171" s="452"/>
      <c r="BU171" s="452"/>
      <c r="BV171" s="452"/>
      <c r="BW171" s="452"/>
      <c r="BX171" s="452"/>
      <c r="BY171" s="452"/>
      <c r="BZ171" s="452"/>
      <c r="CA171" s="452"/>
      <c r="CB171" s="452"/>
      <c r="CC171" s="452"/>
      <c r="CD171" s="452"/>
      <c r="CE171" s="452"/>
      <c r="CF171" s="452"/>
      <c r="CG171" s="452"/>
      <c r="CH171" s="452"/>
      <c r="CI171" s="452"/>
      <c r="CJ171" s="452"/>
      <c r="CK171" s="452"/>
      <c r="CL171" s="452"/>
      <c r="CM171" s="452"/>
      <c r="CN171" s="452"/>
      <c r="CO171" s="452"/>
      <c r="CP171" s="452"/>
      <c r="CQ171" s="452"/>
      <c r="CR171" s="452"/>
      <c r="CS171" s="452"/>
      <c r="CT171" s="452"/>
      <c r="CU171" s="452"/>
      <c r="CV171" s="452"/>
      <c r="CW171" s="452"/>
      <c r="CX171" s="452"/>
      <c r="CY171" s="452"/>
      <c r="CZ171" s="452"/>
      <c r="DA171" s="452"/>
      <c r="DB171" s="452"/>
      <c r="DC171" s="452"/>
      <c r="DD171" s="452"/>
      <c r="DE171" s="452"/>
      <c r="DF171" s="452"/>
      <c r="DG171" s="452"/>
      <c r="DH171" s="452"/>
      <c r="DI171" s="452"/>
      <c r="DJ171" s="452"/>
      <c r="DK171" s="452"/>
      <c r="DL171" s="452"/>
      <c r="DM171" s="452"/>
      <c r="DN171" s="452"/>
      <c r="DO171" s="452"/>
      <c r="DP171" s="452"/>
      <c r="DQ171" s="452"/>
      <c r="DR171" s="452"/>
      <c r="DS171" s="453"/>
    </row>
    <row r="172" spans="1:133" s="2" customFormat="1" ht="20.100000000000001" customHeight="1" x14ac:dyDescent="0.4">
      <c r="A172" s="443"/>
      <c r="B172" s="512"/>
      <c r="C172" s="512"/>
      <c r="D172" s="512"/>
      <c r="E172" s="512"/>
      <c r="F172" s="512"/>
      <c r="G172" s="466"/>
      <c r="H172" s="494"/>
      <c r="I172" s="494"/>
      <c r="J172" s="494"/>
      <c r="K172" s="443"/>
      <c r="L172" s="443"/>
      <c r="M172" s="443"/>
      <c r="N172" s="476" t="s">
        <v>135</v>
      </c>
      <c r="O172" s="455"/>
      <c r="P172" s="455"/>
      <c r="Q172" s="455"/>
      <c r="R172" s="455"/>
      <c r="S172" s="455"/>
      <c r="T172" s="455"/>
      <c r="U172" s="455"/>
      <c r="V172" s="455"/>
      <c r="W172" s="455"/>
      <c r="X172" s="455"/>
      <c r="Y172" s="454" t="s">
        <v>136</v>
      </c>
      <c r="Z172" s="455"/>
      <c r="AA172" s="455"/>
      <c r="AB172" s="455"/>
      <c r="AC172" s="455"/>
      <c r="AD172" s="455"/>
      <c r="AE172" s="455"/>
      <c r="AF172" s="455"/>
      <c r="AG172" s="455"/>
      <c r="AH172" s="455"/>
      <c r="AI172" s="454" t="s">
        <v>138</v>
      </c>
      <c r="AJ172" s="455"/>
      <c r="AK172" s="455"/>
      <c r="AL172" s="455"/>
      <c r="AM172" s="455"/>
      <c r="AN172" s="455"/>
      <c r="AO172" s="455"/>
      <c r="AP172" s="455"/>
      <c r="AQ172" s="455"/>
      <c r="AR172" s="455"/>
      <c r="AS172" s="454" t="s">
        <v>139</v>
      </c>
      <c r="AT172" s="455"/>
      <c r="AU172" s="455"/>
      <c r="AV172" s="455"/>
      <c r="AW172" s="455"/>
      <c r="AX172" s="455"/>
      <c r="AY172" s="455"/>
      <c r="AZ172" s="455"/>
      <c r="BA172" s="455"/>
      <c r="BB172" s="455"/>
      <c r="BC172" s="454" t="s">
        <v>140</v>
      </c>
      <c r="BD172" s="455"/>
      <c r="BE172" s="455"/>
      <c r="BF172" s="455"/>
      <c r="BG172" s="455"/>
      <c r="BH172" s="455"/>
      <c r="BI172" s="455"/>
      <c r="BJ172" s="455"/>
      <c r="BK172" s="455"/>
      <c r="BL172" s="455"/>
      <c r="BM172" s="454" t="s">
        <v>141</v>
      </c>
      <c r="BN172" s="455"/>
      <c r="BO172" s="455"/>
      <c r="BP172" s="455"/>
      <c r="BQ172" s="455"/>
      <c r="BR172" s="455"/>
      <c r="BS172" s="455"/>
      <c r="BT172" s="455"/>
      <c r="BU172" s="455"/>
      <c r="BV172" s="455"/>
      <c r="BW172" s="454" t="s">
        <v>142</v>
      </c>
      <c r="BX172" s="455"/>
      <c r="BY172" s="455"/>
      <c r="BZ172" s="455"/>
      <c r="CA172" s="455"/>
      <c r="CB172" s="455"/>
      <c r="CC172" s="455"/>
      <c r="CD172" s="455"/>
      <c r="CE172" s="455"/>
      <c r="CF172" s="455"/>
      <c r="CG172" s="454" t="s">
        <v>143</v>
      </c>
      <c r="CH172" s="455"/>
      <c r="CI172" s="455"/>
      <c r="CJ172" s="455"/>
      <c r="CK172" s="455"/>
      <c r="CL172" s="455"/>
      <c r="CM172" s="455"/>
      <c r="CN172" s="455"/>
      <c r="CO172" s="455"/>
      <c r="CP172" s="455"/>
      <c r="CQ172" s="454" t="s">
        <v>144</v>
      </c>
      <c r="CR172" s="455"/>
      <c r="CS172" s="455"/>
      <c r="CT172" s="455"/>
      <c r="CU172" s="455"/>
      <c r="CV172" s="455"/>
      <c r="CW172" s="455"/>
      <c r="CX172" s="454" t="s">
        <v>145</v>
      </c>
      <c r="CY172" s="455"/>
      <c r="CZ172" s="455"/>
      <c r="DA172" s="455"/>
      <c r="DB172" s="455"/>
      <c r="DC172" s="455"/>
      <c r="DD172" s="455"/>
      <c r="DE172" s="454" t="s">
        <v>30</v>
      </c>
      <c r="DF172" s="455"/>
      <c r="DG172" s="455"/>
      <c r="DH172" s="455"/>
      <c r="DI172" s="455"/>
      <c r="DJ172" s="455"/>
      <c r="DK172" s="455"/>
      <c r="DL172" s="454" t="s">
        <v>146</v>
      </c>
      <c r="DM172" s="455"/>
      <c r="DN172" s="455"/>
      <c r="DO172" s="455"/>
      <c r="DP172" s="455"/>
      <c r="DQ172" s="455"/>
      <c r="DR172" s="455"/>
      <c r="DS172" s="456"/>
    </row>
    <row r="173" spans="1:133" s="2" customFormat="1" ht="20.100000000000001" customHeight="1" x14ac:dyDescent="0.4">
      <c r="A173" s="444"/>
      <c r="B173" s="512"/>
      <c r="C173" s="512"/>
      <c r="D173" s="512"/>
      <c r="E173" s="512"/>
      <c r="F173" s="512"/>
      <c r="G173" s="467"/>
      <c r="H173" s="495"/>
      <c r="I173" s="495"/>
      <c r="J173" s="495"/>
      <c r="K173" s="444"/>
      <c r="L173" s="444"/>
      <c r="M173" s="444"/>
      <c r="N173" s="5"/>
      <c r="O173" s="5" t="s">
        <v>163</v>
      </c>
      <c r="P173" s="5" t="s">
        <v>368</v>
      </c>
      <c r="Q173" s="5" t="s">
        <v>164</v>
      </c>
      <c r="R173" s="20" t="s">
        <v>369</v>
      </c>
      <c r="S173" s="20" t="s">
        <v>331</v>
      </c>
      <c r="T173" s="20" t="s">
        <v>372</v>
      </c>
      <c r="U173" s="20" t="s">
        <v>349</v>
      </c>
      <c r="V173" s="20" t="s">
        <v>370</v>
      </c>
      <c r="W173" s="20" t="s">
        <v>371</v>
      </c>
      <c r="X173" s="76" t="s">
        <v>373</v>
      </c>
      <c r="Y173" s="5" t="s">
        <v>163</v>
      </c>
      <c r="Z173" s="5" t="s">
        <v>368</v>
      </c>
      <c r="AA173" s="5" t="s">
        <v>164</v>
      </c>
      <c r="AB173" s="20" t="s">
        <v>369</v>
      </c>
      <c r="AC173" s="20" t="s">
        <v>331</v>
      </c>
      <c r="AD173" s="20" t="s">
        <v>372</v>
      </c>
      <c r="AE173" s="20" t="s">
        <v>349</v>
      </c>
      <c r="AF173" s="20" t="s">
        <v>370</v>
      </c>
      <c r="AG173" s="20" t="s">
        <v>371</v>
      </c>
      <c r="AH173" s="76" t="s">
        <v>373</v>
      </c>
      <c r="AI173" s="5" t="s">
        <v>163</v>
      </c>
      <c r="AJ173" s="5" t="s">
        <v>368</v>
      </c>
      <c r="AK173" s="5" t="s">
        <v>164</v>
      </c>
      <c r="AL173" s="20" t="s">
        <v>369</v>
      </c>
      <c r="AM173" s="20" t="s">
        <v>331</v>
      </c>
      <c r="AN173" s="20" t="s">
        <v>372</v>
      </c>
      <c r="AO173" s="20" t="s">
        <v>349</v>
      </c>
      <c r="AP173" s="20" t="s">
        <v>370</v>
      </c>
      <c r="AQ173" s="20" t="s">
        <v>371</v>
      </c>
      <c r="AR173" s="76" t="s">
        <v>373</v>
      </c>
      <c r="AS173" s="5" t="s">
        <v>163</v>
      </c>
      <c r="AT173" s="5" t="s">
        <v>368</v>
      </c>
      <c r="AU173" s="5" t="s">
        <v>164</v>
      </c>
      <c r="AV173" s="20" t="s">
        <v>369</v>
      </c>
      <c r="AW173" s="20" t="s">
        <v>331</v>
      </c>
      <c r="AX173" s="20" t="s">
        <v>372</v>
      </c>
      <c r="AY173" s="20" t="s">
        <v>349</v>
      </c>
      <c r="AZ173" s="20" t="s">
        <v>370</v>
      </c>
      <c r="BA173" s="20" t="s">
        <v>371</v>
      </c>
      <c r="BB173" s="76" t="s">
        <v>373</v>
      </c>
      <c r="BC173" s="75" t="s">
        <v>163</v>
      </c>
      <c r="BD173" s="5" t="s">
        <v>368</v>
      </c>
      <c r="BE173" s="5" t="s">
        <v>164</v>
      </c>
      <c r="BF173" s="20" t="s">
        <v>369</v>
      </c>
      <c r="BG173" s="20" t="s">
        <v>331</v>
      </c>
      <c r="BH173" s="20" t="s">
        <v>372</v>
      </c>
      <c r="BI173" s="20" t="s">
        <v>349</v>
      </c>
      <c r="BJ173" s="20" t="s">
        <v>370</v>
      </c>
      <c r="BK173" s="20" t="s">
        <v>371</v>
      </c>
      <c r="BL173" s="76" t="s">
        <v>373</v>
      </c>
      <c r="BM173" s="75" t="s">
        <v>163</v>
      </c>
      <c r="BN173" s="5" t="s">
        <v>368</v>
      </c>
      <c r="BO173" s="5" t="s">
        <v>164</v>
      </c>
      <c r="BP173" s="20" t="s">
        <v>369</v>
      </c>
      <c r="BQ173" s="20" t="s">
        <v>331</v>
      </c>
      <c r="BR173" s="20" t="s">
        <v>372</v>
      </c>
      <c r="BS173" s="20" t="s">
        <v>349</v>
      </c>
      <c r="BT173" s="20" t="s">
        <v>370</v>
      </c>
      <c r="BU173" s="20" t="s">
        <v>371</v>
      </c>
      <c r="BV173" s="76" t="s">
        <v>373</v>
      </c>
      <c r="BW173" s="75" t="s">
        <v>163</v>
      </c>
      <c r="BX173" s="5" t="s">
        <v>368</v>
      </c>
      <c r="BY173" s="5" t="s">
        <v>164</v>
      </c>
      <c r="BZ173" s="20" t="s">
        <v>369</v>
      </c>
      <c r="CA173" s="20" t="s">
        <v>331</v>
      </c>
      <c r="CB173" s="20" t="s">
        <v>372</v>
      </c>
      <c r="CC173" s="20" t="s">
        <v>349</v>
      </c>
      <c r="CD173" s="20" t="s">
        <v>370</v>
      </c>
      <c r="CE173" s="20" t="s">
        <v>371</v>
      </c>
      <c r="CF173" s="76" t="s">
        <v>373</v>
      </c>
      <c r="CG173" s="75" t="s">
        <v>163</v>
      </c>
      <c r="CH173" s="5" t="s">
        <v>368</v>
      </c>
      <c r="CI173" s="5" t="s">
        <v>164</v>
      </c>
      <c r="CJ173" s="20" t="s">
        <v>369</v>
      </c>
      <c r="CK173" s="20" t="s">
        <v>331</v>
      </c>
      <c r="CL173" s="20" t="s">
        <v>372</v>
      </c>
      <c r="CM173" s="20" t="s">
        <v>349</v>
      </c>
      <c r="CN173" s="20" t="s">
        <v>370</v>
      </c>
      <c r="CO173" s="20" t="s">
        <v>371</v>
      </c>
      <c r="CP173" s="76" t="s">
        <v>373</v>
      </c>
      <c r="CQ173" s="75" t="s">
        <v>163</v>
      </c>
      <c r="CR173" s="5" t="s">
        <v>368</v>
      </c>
      <c r="CS173" s="5" t="s">
        <v>164</v>
      </c>
      <c r="CT173" s="20" t="s">
        <v>369</v>
      </c>
      <c r="CU173" s="20" t="s">
        <v>372</v>
      </c>
      <c r="CV173" s="20" t="s">
        <v>370</v>
      </c>
      <c r="CW173" s="20" t="s">
        <v>371</v>
      </c>
      <c r="CX173" s="75" t="s">
        <v>163</v>
      </c>
      <c r="CY173" s="5" t="s">
        <v>368</v>
      </c>
      <c r="CZ173" s="5" t="s">
        <v>164</v>
      </c>
      <c r="DA173" s="20" t="s">
        <v>369</v>
      </c>
      <c r="DB173" s="20" t="s">
        <v>372</v>
      </c>
      <c r="DC173" s="20" t="s">
        <v>370</v>
      </c>
      <c r="DD173" s="76" t="s">
        <v>371</v>
      </c>
      <c r="DE173" s="75" t="s">
        <v>163</v>
      </c>
      <c r="DF173" s="5" t="s">
        <v>368</v>
      </c>
      <c r="DG173" s="5" t="s">
        <v>164</v>
      </c>
      <c r="DH173" s="20" t="s">
        <v>369</v>
      </c>
      <c r="DI173" s="20" t="s">
        <v>372</v>
      </c>
      <c r="DJ173" s="20" t="s">
        <v>370</v>
      </c>
      <c r="DK173" s="306" t="s">
        <v>371</v>
      </c>
      <c r="DL173" s="75" t="s">
        <v>174</v>
      </c>
      <c r="DM173" s="5" t="s">
        <v>169</v>
      </c>
      <c r="DN173" s="5" t="s">
        <v>170</v>
      </c>
      <c r="DO173" s="20" t="s">
        <v>171</v>
      </c>
      <c r="DP173" s="20" t="s">
        <v>172</v>
      </c>
      <c r="DQ173" s="20" t="s">
        <v>173</v>
      </c>
      <c r="DR173" s="20" t="s">
        <v>173</v>
      </c>
      <c r="DS173" s="20" t="s">
        <v>331</v>
      </c>
      <c r="DT173" s="217"/>
    </row>
    <row r="174" spans="1:133" ht="20.100000000000001" customHeight="1" x14ac:dyDescent="0.4">
      <c r="A174" s="521">
        <v>1</v>
      </c>
      <c r="B174" s="521" t="s">
        <v>46</v>
      </c>
      <c r="C174" s="521" t="s">
        <v>28</v>
      </c>
      <c r="D174" s="470" t="s">
        <v>19</v>
      </c>
      <c r="E174" s="468" t="s">
        <v>26</v>
      </c>
      <c r="F174" s="470" t="s">
        <v>19</v>
      </c>
      <c r="G174" s="471" t="s">
        <v>85</v>
      </c>
      <c r="H174" s="491">
        <f>SUM(DE174:DK174)</f>
        <v>0.46666666666666662</v>
      </c>
      <c r="I174" s="496">
        <f>SUM(DE175:DK175)</f>
        <v>0.2</v>
      </c>
      <c r="J174" s="16"/>
      <c r="K174" s="17"/>
      <c r="L174" s="17"/>
      <c r="M174" s="504" t="s">
        <v>176</v>
      </c>
      <c r="N174" s="10" t="s">
        <v>89</v>
      </c>
      <c r="O174" s="190">
        <f>(0.5*16)/120</f>
        <v>6.6666666666666666E-2</v>
      </c>
      <c r="P174" s="190">
        <f>(0.5*16)/120</f>
        <v>6.6666666666666666E-2</v>
      </c>
      <c r="Q174" s="190">
        <f t="shared" ref="Q174:W174" si="407">(0.5*16)/120</f>
        <v>6.6666666666666666E-2</v>
      </c>
      <c r="R174" s="190">
        <f t="shared" si="407"/>
        <v>6.6666666666666666E-2</v>
      </c>
      <c r="S174" s="190">
        <f t="shared" si="407"/>
        <v>6.6666666666666666E-2</v>
      </c>
      <c r="T174" s="190">
        <f t="shared" si="407"/>
        <v>6.6666666666666666E-2</v>
      </c>
      <c r="U174" s="190">
        <f t="shared" si="407"/>
        <v>6.6666666666666666E-2</v>
      </c>
      <c r="V174" s="190">
        <f t="shared" si="407"/>
        <v>6.6666666666666666E-2</v>
      </c>
      <c r="W174" s="190">
        <f t="shared" si="407"/>
        <v>6.6666666666666666E-2</v>
      </c>
      <c r="X174" s="86">
        <f t="shared" ref="O174:X185" si="408">(0)/120</f>
        <v>0</v>
      </c>
      <c r="Y174" s="190">
        <f>(0.5*21)/157.5</f>
        <v>6.6666666666666666E-2</v>
      </c>
      <c r="Z174" s="190">
        <f>(0.5*21)/157.5</f>
        <v>6.6666666666666666E-2</v>
      </c>
      <c r="AA174" s="190">
        <f t="shared" ref="AA174:AG174" si="409">(0.5*21)/157.5</f>
        <v>6.6666666666666666E-2</v>
      </c>
      <c r="AB174" s="190">
        <f t="shared" si="409"/>
        <v>6.6666666666666666E-2</v>
      </c>
      <c r="AC174" s="190">
        <f t="shared" si="409"/>
        <v>6.6666666666666666E-2</v>
      </c>
      <c r="AD174" s="190">
        <f t="shared" si="409"/>
        <v>6.6666666666666666E-2</v>
      </c>
      <c r="AE174" s="190">
        <f t="shared" si="409"/>
        <v>6.6666666666666666E-2</v>
      </c>
      <c r="AF174" s="190">
        <f t="shared" si="409"/>
        <v>6.6666666666666666E-2</v>
      </c>
      <c r="AG174" s="190">
        <f t="shared" si="409"/>
        <v>6.6666666666666666E-2</v>
      </c>
      <c r="AH174" s="190">
        <f>(0.5*21)/157.5</f>
        <v>6.6666666666666666E-2</v>
      </c>
      <c r="AI174" s="77">
        <f>(0.25*21)/157.5</f>
        <v>3.3333333333333333E-2</v>
      </c>
      <c r="AJ174" s="190">
        <f>(0.25*21)/157.5</f>
        <v>3.3333333333333333E-2</v>
      </c>
      <c r="AK174" s="190">
        <f t="shared" ref="AK174:AR178" si="410">(0.25*21)/157.5</f>
        <v>3.3333333333333333E-2</v>
      </c>
      <c r="AL174" s="190">
        <f t="shared" si="410"/>
        <v>3.3333333333333333E-2</v>
      </c>
      <c r="AM174" s="190">
        <f t="shared" si="410"/>
        <v>3.3333333333333333E-2</v>
      </c>
      <c r="AN174" s="190">
        <f t="shared" si="410"/>
        <v>3.3333333333333333E-2</v>
      </c>
      <c r="AO174" s="190">
        <f t="shared" si="410"/>
        <v>3.3333333333333333E-2</v>
      </c>
      <c r="AP174" s="190">
        <f t="shared" si="410"/>
        <v>3.3333333333333333E-2</v>
      </c>
      <c r="AQ174" s="190">
        <f t="shared" si="410"/>
        <v>3.3333333333333333E-2</v>
      </c>
      <c r="AR174" s="225">
        <f t="shared" si="410"/>
        <v>3.3333333333333333E-2</v>
      </c>
      <c r="AS174" s="23">
        <f>(0.25*21)/165</f>
        <v>3.1818181818181815E-2</v>
      </c>
      <c r="AT174" s="190">
        <f>(0.25*21)/165</f>
        <v>3.1818181818181815E-2</v>
      </c>
      <c r="AU174" s="190">
        <f t="shared" ref="AU174:BA174" si="411">(0.25*21)/165</f>
        <v>3.1818181818181815E-2</v>
      </c>
      <c r="AV174" s="190">
        <f t="shared" si="411"/>
        <v>3.1818181818181815E-2</v>
      </c>
      <c r="AW174" s="190">
        <f t="shared" si="411"/>
        <v>3.1818181818181815E-2</v>
      </c>
      <c r="AX174" s="190">
        <f t="shared" si="411"/>
        <v>3.1818181818181815E-2</v>
      </c>
      <c r="AY174" s="190">
        <f t="shared" si="411"/>
        <v>3.1818181818181815E-2</v>
      </c>
      <c r="AZ174" s="190">
        <f t="shared" si="411"/>
        <v>3.1818181818181815E-2</v>
      </c>
      <c r="BA174" s="190">
        <f t="shared" si="411"/>
        <v>3.1818181818181815E-2</v>
      </c>
      <c r="BB174" s="225">
        <f>(0.25*21)/165</f>
        <v>3.1818181818181815E-2</v>
      </c>
      <c r="BC174" s="77">
        <f>(0.25*21)/157.5</f>
        <v>3.3333333333333333E-2</v>
      </c>
      <c r="BD174" s="190">
        <f>(0.25*21)/157.5</f>
        <v>3.3333333333333333E-2</v>
      </c>
      <c r="BE174" s="190">
        <f t="shared" ref="BE174:BK174" si="412">(0.25*21)/157.5</f>
        <v>3.3333333333333333E-2</v>
      </c>
      <c r="BF174" s="190">
        <f t="shared" si="412"/>
        <v>3.3333333333333333E-2</v>
      </c>
      <c r="BG174" s="190">
        <f t="shared" si="412"/>
        <v>3.3333333333333333E-2</v>
      </c>
      <c r="BH174" s="190">
        <f t="shared" si="412"/>
        <v>3.3333333333333333E-2</v>
      </c>
      <c r="BI174" s="190">
        <f t="shared" si="412"/>
        <v>3.3333333333333333E-2</v>
      </c>
      <c r="BJ174" s="190">
        <f t="shared" si="412"/>
        <v>3.3333333333333333E-2</v>
      </c>
      <c r="BK174" s="190">
        <f t="shared" si="412"/>
        <v>3.3333333333333333E-2</v>
      </c>
      <c r="BL174" s="190">
        <f>(0.25*21)/157.5</f>
        <v>3.3333333333333333E-2</v>
      </c>
      <c r="BM174" s="77">
        <f>(0.25*22)/165</f>
        <v>3.3333333333333333E-2</v>
      </c>
      <c r="BN174" s="190">
        <f>(0.25*22)/165</f>
        <v>3.3333333333333333E-2</v>
      </c>
      <c r="BO174" s="190">
        <f t="shared" ref="BO174:BU174" si="413">(0.25*22)/165</f>
        <v>3.3333333333333333E-2</v>
      </c>
      <c r="BP174" s="190">
        <f t="shared" si="413"/>
        <v>3.3333333333333333E-2</v>
      </c>
      <c r="BQ174" s="190">
        <f t="shared" si="413"/>
        <v>3.3333333333333333E-2</v>
      </c>
      <c r="BR174" s="190">
        <f t="shared" si="413"/>
        <v>3.3333333333333333E-2</v>
      </c>
      <c r="BS174" s="190">
        <f t="shared" si="413"/>
        <v>3.3333333333333333E-2</v>
      </c>
      <c r="BT174" s="190">
        <f t="shared" si="413"/>
        <v>3.3333333333333333E-2</v>
      </c>
      <c r="BU174" s="190">
        <f t="shared" si="413"/>
        <v>3.3333333333333333E-2</v>
      </c>
      <c r="BV174" s="190">
        <f>(0.25*22)/165</f>
        <v>3.3333333333333333E-2</v>
      </c>
      <c r="BW174" s="23">
        <f t="shared" ref="BW174:CE174" si="414">(0.25*21)/150</f>
        <v>3.5000000000000003E-2</v>
      </c>
      <c r="BX174" s="190">
        <f t="shared" si="414"/>
        <v>3.5000000000000003E-2</v>
      </c>
      <c r="BY174" s="190">
        <f t="shared" si="414"/>
        <v>3.5000000000000003E-2</v>
      </c>
      <c r="BZ174" s="190">
        <f t="shared" si="414"/>
        <v>3.5000000000000003E-2</v>
      </c>
      <c r="CA174" s="190">
        <f t="shared" si="414"/>
        <v>3.5000000000000003E-2</v>
      </c>
      <c r="CB174" s="190">
        <f t="shared" si="414"/>
        <v>3.5000000000000003E-2</v>
      </c>
      <c r="CC174" s="190">
        <f t="shared" si="414"/>
        <v>3.5000000000000003E-2</v>
      </c>
      <c r="CD174" s="190">
        <f t="shared" si="414"/>
        <v>3.5000000000000003E-2</v>
      </c>
      <c r="CE174" s="190">
        <f t="shared" si="414"/>
        <v>3.5000000000000003E-2</v>
      </c>
      <c r="CF174" s="190">
        <f>(0.25*21)/150</f>
        <v>3.5000000000000003E-2</v>
      </c>
      <c r="CG174" s="23">
        <f>(0.25*18)/135</f>
        <v>3.3333333333333333E-2</v>
      </c>
      <c r="CH174" s="190">
        <f>(0.25*18)/135</f>
        <v>3.3333333333333333E-2</v>
      </c>
      <c r="CI174" s="190">
        <f t="shared" ref="CI174:CP174" si="415">(0.25*18)/135</f>
        <v>3.3333333333333333E-2</v>
      </c>
      <c r="CJ174" s="190">
        <f t="shared" si="415"/>
        <v>3.3333333333333333E-2</v>
      </c>
      <c r="CK174" s="190">
        <f t="shared" si="415"/>
        <v>3.3333333333333333E-2</v>
      </c>
      <c r="CL174" s="190">
        <f t="shared" si="415"/>
        <v>3.3333333333333333E-2</v>
      </c>
      <c r="CM174" s="190">
        <f t="shared" si="415"/>
        <v>3.3333333333333333E-2</v>
      </c>
      <c r="CN174" s="190">
        <f t="shared" si="415"/>
        <v>3.3333333333333333E-2</v>
      </c>
      <c r="CO174" s="190">
        <f t="shared" si="415"/>
        <v>3.3333333333333333E-2</v>
      </c>
      <c r="CP174" s="190">
        <f t="shared" si="415"/>
        <v>3.3333333333333333E-2</v>
      </c>
      <c r="CQ174" s="23">
        <f>(0.25*20)/150</f>
        <v>3.3333333333333333E-2</v>
      </c>
      <c r="CR174" s="190">
        <f>(0.25*20)/150</f>
        <v>3.3333333333333333E-2</v>
      </c>
      <c r="CS174" s="190">
        <f t="shared" ref="CS174:CW174" si="416">(0.25*20)/150</f>
        <v>3.3333333333333333E-2</v>
      </c>
      <c r="CT174" s="190">
        <f t="shared" si="416"/>
        <v>3.3333333333333333E-2</v>
      </c>
      <c r="CU174" s="190">
        <f t="shared" si="416"/>
        <v>3.3333333333333333E-2</v>
      </c>
      <c r="CV174" s="190">
        <f t="shared" si="416"/>
        <v>3.3333333333333333E-2</v>
      </c>
      <c r="CW174" s="190">
        <f t="shared" si="416"/>
        <v>3.3333333333333333E-2</v>
      </c>
      <c r="CX174" s="77">
        <f>(0.25*21)/157.5</f>
        <v>3.3333333333333333E-2</v>
      </c>
      <c r="CY174" s="190">
        <f>(0.25*21)/157.5</f>
        <v>3.3333333333333333E-2</v>
      </c>
      <c r="CZ174" s="190">
        <f t="shared" ref="CZ174:DD174" si="417">(0.25*21)/157.5</f>
        <v>3.3333333333333333E-2</v>
      </c>
      <c r="DA174" s="190">
        <f t="shared" si="417"/>
        <v>3.3333333333333333E-2</v>
      </c>
      <c r="DB174" s="190">
        <f t="shared" si="417"/>
        <v>3.3333333333333333E-2</v>
      </c>
      <c r="DC174" s="190">
        <f t="shared" si="417"/>
        <v>3.3333333333333333E-2</v>
      </c>
      <c r="DD174" s="190">
        <f t="shared" si="417"/>
        <v>3.3333333333333333E-2</v>
      </c>
      <c r="DE174" s="23">
        <f>(0.5*17)/127.5</f>
        <v>6.6666666666666666E-2</v>
      </c>
      <c r="DF174" s="190">
        <f>(0.5*17)/127.5</f>
        <v>6.6666666666666666E-2</v>
      </c>
      <c r="DG174" s="190">
        <f t="shared" ref="DG174:DK174" si="418">(0.5*17)/127.5</f>
        <v>6.6666666666666666E-2</v>
      </c>
      <c r="DH174" s="190">
        <f t="shared" si="418"/>
        <v>6.6666666666666666E-2</v>
      </c>
      <c r="DI174" s="190">
        <f t="shared" si="418"/>
        <v>6.6666666666666666E-2</v>
      </c>
      <c r="DJ174" s="190">
        <f t="shared" si="418"/>
        <v>6.6666666666666666E-2</v>
      </c>
      <c r="DK174" s="190">
        <f t="shared" si="418"/>
        <v>6.6666666666666666E-2</v>
      </c>
      <c r="DL174" s="23">
        <f t="shared" ref="DL174:DP174" si="419">(0)/142.5</f>
        <v>0</v>
      </c>
      <c r="DM174" s="190">
        <f t="shared" si="419"/>
        <v>0</v>
      </c>
      <c r="DN174" s="190">
        <f t="shared" si="419"/>
        <v>0</v>
      </c>
      <c r="DO174" s="190">
        <f t="shared" si="419"/>
        <v>0</v>
      </c>
      <c r="DP174" s="190">
        <f t="shared" si="419"/>
        <v>0</v>
      </c>
      <c r="DQ174" s="190">
        <f t="shared" ref="DQ174:DS185" si="420">(0)/172.5</f>
        <v>0</v>
      </c>
      <c r="DR174" s="190">
        <f t="shared" si="420"/>
        <v>0</v>
      </c>
      <c r="DS174" s="190">
        <f>(0)/172.5</f>
        <v>0</v>
      </c>
      <c r="DT174" s="54"/>
    </row>
    <row r="175" spans="1:133" ht="20.100000000000001" customHeight="1" x14ac:dyDescent="0.4">
      <c r="A175" s="522"/>
      <c r="B175" s="522"/>
      <c r="C175" s="522"/>
      <c r="D175" s="469"/>
      <c r="E175" s="469"/>
      <c r="F175" s="469"/>
      <c r="G175" s="472"/>
      <c r="H175" s="492"/>
      <c r="I175" s="497"/>
      <c r="J175" s="18"/>
      <c r="K175" s="19"/>
      <c r="L175" s="19"/>
      <c r="M175" s="432"/>
      <c r="N175" s="11" t="s">
        <v>90</v>
      </c>
      <c r="O175" s="209">
        <f>(0.5+1.25+0.5+0.5+1.25)/120</f>
        <v>3.3333333333333333E-2</v>
      </c>
      <c r="P175" s="209">
        <f>(0.5+1.25+0.25+0.5+1)/120</f>
        <v>2.9166666666666667E-2</v>
      </c>
      <c r="Q175" s="209">
        <f>(0.5+1+0.5+0.5+1.25)/120</f>
        <v>3.125E-2</v>
      </c>
      <c r="R175" s="209">
        <f>(0.5+1.25+0.5+0.5+1.25)/120</f>
        <v>3.3333333333333333E-2</v>
      </c>
      <c r="S175" s="209">
        <f>(0.5+1+0+0.5+1.25)/120</f>
        <v>2.7083333333333334E-2</v>
      </c>
      <c r="T175" s="209">
        <f>(0.5+1.25+0.5+0.5+1.25)/120</f>
        <v>3.3333333333333333E-2</v>
      </c>
      <c r="U175" s="209">
        <f>(0.5+1.25+0.5+0.5+1.25)/120</f>
        <v>3.3333333333333333E-2</v>
      </c>
      <c r="V175" s="209">
        <f>(0.5+1.25+0.5+0.5+1)/120</f>
        <v>3.125E-2</v>
      </c>
      <c r="W175" s="209">
        <f>(0.5+1.25+0.5+0.5+1.25)/120</f>
        <v>3.3333333333333333E-2</v>
      </c>
      <c r="X175" s="53">
        <f>(0.5+0.5+0.5+1.25)/120</f>
        <v>2.2916666666666665E-2</v>
      </c>
      <c r="Y175" s="209">
        <f>(1+1.25+1.25+1.25+0.5)/157.5</f>
        <v>3.3333333333333333E-2</v>
      </c>
      <c r="Z175" s="209">
        <f>(1+1.25+1.25+1+0.5)/157.5</f>
        <v>3.1746031746031744E-2</v>
      </c>
      <c r="AA175" s="209">
        <f>(0.75+0.75+1.25+1.25+0.25)/157.5</f>
        <v>2.6984126984126985E-2</v>
      </c>
      <c r="AB175" s="209">
        <f>(1+1.25+1.25+1+0.5)/157.5</f>
        <v>3.1746031746031744E-2</v>
      </c>
      <c r="AC175" s="209">
        <f>(0.75+1.25+1.25+1.25+0.5)/157.5</f>
        <v>3.1746031746031744E-2</v>
      </c>
      <c r="AD175" s="209">
        <f>(1+1.25+1.25+1.25+0.5)/157.5</f>
        <v>3.3333333333333333E-2</v>
      </c>
      <c r="AE175" s="209">
        <f>(1+1.25+1.25+1.25+0.5)/157.5</f>
        <v>3.3333333333333333E-2</v>
      </c>
      <c r="AF175" s="209">
        <f>(1+1.25+1.25+1.25+0.5)/157.5</f>
        <v>3.3333333333333333E-2</v>
      </c>
      <c r="AG175" s="209">
        <f>(0.75+1.25+1.25+1.25+0.5)/157.5</f>
        <v>3.1746031746031744E-2</v>
      </c>
      <c r="AH175" s="209">
        <f>(1+1.25+1.25+1.25+0.5)/157.5</f>
        <v>3.3333333333333333E-2</v>
      </c>
      <c r="AI175" s="58">
        <f>(0.75+1.25+1.25+1.25+0.5)/157.5</f>
        <v>3.1746031746031744E-2</v>
      </c>
      <c r="AJ175" s="209">
        <f>(0.75+1.25+1.25+1.25+0.75)/157.5</f>
        <v>3.3333333333333333E-2</v>
      </c>
      <c r="AK175" s="209">
        <f>(0.75+1.25+1.25+1+0.75)/157.5</f>
        <v>3.1746031746031744E-2</v>
      </c>
      <c r="AL175" s="209">
        <f>(0.75+1.25+1.25+1.25+0.5)/157.5</f>
        <v>3.1746031746031744E-2</v>
      </c>
      <c r="AM175" s="209">
        <f t="shared" ref="AM175:AR175" si="421">(0.75+1.25+1.25+1.25+0.75)/157.5</f>
        <v>3.3333333333333333E-2</v>
      </c>
      <c r="AN175" s="209">
        <f t="shared" si="421"/>
        <v>3.3333333333333333E-2</v>
      </c>
      <c r="AO175" s="209">
        <f t="shared" si="421"/>
        <v>3.3333333333333333E-2</v>
      </c>
      <c r="AP175" s="209">
        <f t="shared" si="421"/>
        <v>3.3333333333333333E-2</v>
      </c>
      <c r="AQ175" s="209">
        <f t="shared" si="421"/>
        <v>3.3333333333333333E-2</v>
      </c>
      <c r="AR175" s="53">
        <f t="shared" si="421"/>
        <v>3.3333333333333333E-2</v>
      </c>
      <c r="AS175" s="65">
        <f>(0.5+1+1.25+1.25+1.25+0.25)/165</f>
        <v>3.3333333333333333E-2</v>
      </c>
      <c r="AT175" s="210">
        <f>(0.5+1+1.25+1.25+1+0.25)/165</f>
        <v>3.1818181818181815E-2</v>
      </c>
      <c r="AU175" s="210">
        <f>(0.5+1+1+1+1.25+0.25)/165</f>
        <v>3.0303030303030304E-2</v>
      </c>
      <c r="AV175" s="210">
        <f>(0.5+1+1.25+1.25+1.25+0.25)/165</f>
        <v>3.3333333333333333E-2</v>
      </c>
      <c r="AW175" s="210">
        <f>(0.25+0.5+1.25+1.25+1+0.25)/165</f>
        <v>2.7272727272727271E-2</v>
      </c>
      <c r="AX175" s="210">
        <f>(0.5+1+1.25+1.25+1.25+0.25)/165</f>
        <v>3.3333333333333333E-2</v>
      </c>
      <c r="AY175" s="210">
        <f>(0.5+1+1.25+1+1.25+0.25)/165</f>
        <v>3.1818181818181815E-2</v>
      </c>
      <c r="AZ175" s="210">
        <f>(0.5+1+1+1.25+1.25+0.25)/165</f>
        <v>3.1818181818181815E-2</v>
      </c>
      <c r="BA175" s="210">
        <f>(0.5+1+1.25+1.25+1.25+0.25)/165</f>
        <v>3.3333333333333333E-2</v>
      </c>
      <c r="BB175" s="53">
        <f>(0.5+1+1.25+1.25+1.25+0.25)/165</f>
        <v>3.3333333333333333E-2</v>
      </c>
      <c r="BC175" s="58">
        <f>(1+1.25+1.25+1+0.5)/157.5</f>
        <v>3.1746031746031744E-2</v>
      </c>
      <c r="BD175" s="209">
        <f>(1+1.25+1+0.5+0.5)/157.5</f>
        <v>2.6984126984126985E-2</v>
      </c>
      <c r="BE175" s="209">
        <f>(1+1.25+1.25+1.25+0.5)/157.5</f>
        <v>3.3333333333333333E-2</v>
      </c>
      <c r="BF175" s="209">
        <f>(1+0.75+1.25+1.25+0.5)/157.5</f>
        <v>3.0158730158730159E-2</v>
      </c>
      <c r="BG175" s="209">
        <f>(1+1.25+1.25+1.25+0.5)/157.5</f>
        <v>3.3333333333333333E-2</v>
      </c>
      <c r="BH175" s="209">
        <f>(1+1+1.25+1.25+0.5)/157.5</f>
        <v>3.1746031746031744E-2</v>
      </c>
      <c r="BI175" s="209">
        <f>(0.75+1.25+1.25+1.25+0.5)/157.5</f>
        <v>3.1746031746031744E-2</v>
      </c>
      <c r="BJ175" s="209">
        <f>(1+1.25+1.25+1.25+0.5)/157.5</f>
        <v>3.3333333333333333E-2</v>
      </c>
      <c r="BK175" s="209">
        <f>(1+1.25+1.25+1.25+0.5)/157.5</f>
        <v>3.3333333333333333E-2</v>
      </c>
      <c r="BL175" s="209">
        <f>(1+1.25+1.25+1.25+0.5)/157.5</f>
        <v>3.3333333333333333E-2</v>
      </c>
      <c r="BM175" s="58">
        <f>(0.75+1.25+1.25+1.25+1)/165</f>
        <v>3.3333333333333333E-2</v>
      </c>
      <c r="BN175" s="209">
        <f>(0.75+1.25+1.25+1.25+1)/165</f>
        <v>3.3333333333333333E-2</v>
      </c>
      <c r="BO175" s="209">
        <f>(0.75+1.25+1.25+1.25+0.75)/165</f>
        <v>3.1818181818181815E-2</v>
      </c>
      <c r="BP175" s="209">
        <f>(0.75+1.25+1.25+1.25+1)/165</f>
        <v>3.3333333333333333E-2</v>
      </c>
      <c r="BQ175" s="209">
        <f>(0.75+1.25+1.25+1.25+1)/165</f>
        <v>3.3333333333333333E-2</v>
      </c>
      <c r="BR175" s="209">
        <f>(0.75+1.25+1.25+1.25+1)/165</f>
        <v>3.3333333333333333E-2</v>
      </c>
      <c r="BS175" s="209">
        <f>(0.75+1.25+1.25+1.25+0.75)/165</f>
        <v>3.1818181818181815E-2</v>
      </c>
      <c r="BT175" s="209">
        <f>(0.75+1.25+1.25+1+1)/165</f>
        <v>3.1818181818181815E-2</v>
      </c>
      <c r="BU175" s="209">
        <f>(0.75+1.25+1.25+1.25+1)/165</f>
        <v>3.3333333333333333E-2</v>
      </c>
      <c r="BV175" s="209">
        <f>(0.75+1+1.25+1.25+1)/165</f>
        <v>3.1818181818181815E-2</v>
      </c>
      <c r="BW175" s="65">
        <f>(0.25+0.75+1.25+1+1.25+0.5)/150</f>
        <v>3.3333333333333333E-2</v>
      </c>
      <c r="BX175" s="209">
        <f>(0.25+0.5+0.5+1+1.25+0.5)/150</f>
        <v>2.6666666666666668E-2</v>
      </c>
      <c r="BY175" s="209">
        <f>(0.25+0.75+1.25+1+1.25+0.5)/150</f>
        <v>3.3333333333333333E-2</v>
      </c>
      <c r="BZ175" s="209">
        <f>(0.25+0.75+1+1+1.25+0.5)/150</f>
        <v>3.1666666666666669E-2</v>
      </c>
      <c r="CA175" s="209">
        <f>(0.25+0.5+0.75+1+1.25+0.5)/150</f>
        <v>2.8333333333333332E-2</v>
      </c>
      <c r="CB175" s="209">
        <f>(0.25+0.75+1.25+1+1.25+0.5)/150</f>
        <v>3.3333333333333333E-2</v>
      </c>
      <c r="CC175" s="209">
        <f>(0+1+1+1.25+0.5)/150</f>
        <v>2.5000000000000001E-2</v>
      </c>
      <c r="CD175" s="209">
        <f>(0.25+0.25+1.25+1+1.25+0.5)/150</f>
        <v>0.03</v>
      </c>
      <c r="CE175" s="209">
        <f>(0.25+0.75+1+1+1.25+0.5)/150</f>
        <v>3.1666666666666669E-2</v>
      </c>
      <c r="CF175" s="209">
        <f>(0+0.75+1.25+1+1.25+0.5)/150</f>
        <v>3.1666666666666669E-2</v>
      </c>
      <c r="CG175" s="65">
        <f>(0.25+1.5+1+1.25+0.5)/135</f>
        <v>3.3333333333333333E-2</v>
      </c>
      <c r="CH175" s="209">
        <f>(0.25+1.5+1+1.25+0.5)/135</f>
        <v>3.3333333333333333E-2</v>
      </c>
      <c r="CI175" s="209">
        <f>(0+1.25+1+1.25+0.5)/135</f>
        <v>2.9629629629629631E-2</v>
      </c>
      <c r="CJ175" s="209">
        <f>(0.25+1.5+1+1.25+0.5)/135</f>
        <v>3.3333333333333333E-2</v>
      </c>
      <c r="CK175" s="209">
        <f>(0.25+1.25+1+1.25+0.5)/135</f>
        <v>3.1481481481481478E-2</v>
      </c>
      <c r="CL175" s="209">
        <f>(0.25+1.5+1+1.25+0.5)/135</f>
        <v>3.3333333333333333E-2</v>
      </c>
      <c r="CM175" s="209">
        <f>(0.25+1.5+1+1+0.5)/135</f>
        <v>3.1481481481481478E-2</v>
      </c>
      <c r="CN175" s="209">
        <f>(0.25+1.5+1+1.25+0.5)/135</f>
        <v>3.3333333333333333E-2</v>
      </c>
      <c r="CO175" s="209">
        <f>(0.25+1.5+1+1.25+0.5)/135</f>
        <v>3.3333333333333333E-2</v>
      </c>
      <c r="CP175" s="209">
        <f>(0.25+1.5+1+1.25+0.5)/135</f>
        <v>3.3333333333333333E-2</v>
      </c>
      <c r="CQ175" s="65">
        <f>(0.75+1.25+1.25+0.25+0.75)/150</f>
        <v>2.8333333333333332E-2</v>
      </c>
      <c r="CR175" s="209">
        <f>(0.75+1.25+1.25+1)/150</f>
        <v>2.8333333333333332E-2</v>
      </c>
      <c r="CS175" s="209">
        <f>(0.75+1.25+1.25+1+0.75)/150</f>
        <v>3.3333333333333333E-2</v>
      </c>
      <c r="CT175" s="209">
        <f>(0.75+1.25+0.25+1+0.75)/150</f>
        <v>2.6666666666666668E-2</v>
      </c>
      <c r="CU175" s="209">
        <f>(0.75+1.25+1.25+1+0.75)/150</f>
        <v>3.3333333333333333E-2</v>
      </c>
      <c r="CV175" s="209">
        <f>(0.75+1.25+1.25+1+0.75)/150</f>
        <v>3.3333333333333333E-2</v>
      </c>
      <c r="CW175" s="209">
        <f>(0.75+1.25+1.25+1)/150</f>
        <v>2.8333333333333332E-2</v>
      </c>
      <c r="CX175" s="65">
        <f>(0.75+1.5+1.25+1.25+0.5)/157.5</f>
        <v>3.3333333333333333E-2</v>
      </c>
      <c r="CY175" s="210">
        <f>(0.75+1.5+1.25+1.25+0.5)/157.5</f>
        <v>3.3333333333333333E-2</v>
      </c>
      <c r="CZ175" s="210">
        <f>(0+1.5+1.25+1.25+0.5)/157.5</f>
        <v>2.8571428571428571E-2</v>
      </c>
      <c r="DA175" s="210">
        <f>(0.75+1.5+1.25+1.25+0.5)/157.5</f>
        <v>3.3333333333333333E-2</v>
      </c>
      <c r="DB175" s="210">
        <f>(0.75+1.5+1.25+1+0.5)/157.5</f>
        <v>3.1746031746031744E-2</v>
      </c>
      <c r="DC175" s="210">
        <f>(0.75+1.5+1.25+1.25+0.5)/157.5</f>
        <v>3.3333333333333333E-2</v>
      </c>
      <c r="DD175" s="209">
        <f>(0.75+1.5+1.25+1.25+0.5)/157.5</f>
        <v>3.3333333333333333E-2</v>
      </c>
      <c r="DE175" s="65">
        <f>(0.75+1.25+0.25+1.25)/127.5</f>
        <v>2.7450980392156862E-2</v>
      </c>
      <c r="DF175" s="210">
        <f>(0.75+1.25+0.25+1.5)/127.5</f>
        <v>2.9411764705882353E-2</v>
      </c>
      <c r="DG175" s="210">
        <f>(0.75+1.25+0.25+1.5)/127.5</f>
        <v>2.9411764705882353E-2</v>
      </c>
      <c r="DH175" s="210">
        <f>(0.75+1.25+0.25+1.5)/127.5</f>
        <v>2.9411764705882353E-2</v>
      </c>
      <c r="DI175" s="210">
        <f>(0.75+1.25+0.25+1.5)/127.5</f>
        <v>2.9411764705882353E-2</v>
      </c>
      <c r="DJ175" s="210">
        <f>(0.75+1.25+0+1.25)/127.5</f>
        <v>2.5490196078431372E-2</v>
      </c>
      <c r="DK175" s="210">
        <f>(0.75+1.25+0.25+1.5)/127.5</f>
        <v>2.9411764705882353E-2</v>
      </c>
      <c r="DL175" s="65">
        <f t="shared" ref="DL175:DP175" si="422">0/142.5</f>
        <v>0</v>
      </c>
      <c r="DM175" s="210">
        <f t="shared" si="422"/>
        <v>0</v>
      </c>
      <c r="DN175" s="210">
        <f t="shared" si="422"/>
        <v>0</v>
      </c>
      <c r="DO175" s="210">
        <f t="shared" si="422"/>
        <v>0</v>
      </c>
      <c r="DP175" s="210">
        <f t="shared" si="422"/>
        <v>0</v>
      </c>
      <c r="DQ175" s="210">
        <f t="shared" si="420"/>
        <v>0</v>
      </c>
      <c r="DR175" s="210">
        <f t="shared" si="420"/>
        <v>0</v>
      </c>
      <c r="DS175" s="210">
        <f>(0)/172.5</f>
        <v>0</v>
      </c>
      <c r="DT175" s="201"/>
      <c r="DU175" s="2"/>
      <c r="DV175" s="2"/>
      <c r="DW175" s="2"/>
      <c r="DX175" s="2"/>
      <c r="DY175" s="2"/>
      <c r="DZ175" s="2"/>
      <c r="EA175" s="2"/>
      <c r="EB175" s="2"/>
      <c r="EC175" s="2"/>
    </row>
    <row r="176" spans="1:133" ht="20.100000000000001" customHeight="1" x14ac:dyDescent="0.4">
      <c r="A176" s="521">
        <v>2</v>
      </c>
      <c r="B176" s="521" t="s">
        <v>46</v>
      </c>
      <c r="C176" s="521" t="s">
        <v>28</v>
      </c>
      <c r="D176" s="470" t="s">
        <v>34</v>
      </c>
      <c r="E176" s="468" t="s">
        <v>26</v>
      </c>
      <c r="F176" s="470" t="s">
        <v>27</v>
      </c>
      <c r="G176" s="516" t="s">
        <v>160</v>
      </c>
      <c r="H176" s="491">
        <f t="shared" ref="H176" si="423">SUM(DE176:DK176)</f>
        <v>0.10980392156862745</v>
      </c>
      <c r="I176" s="496">
        <f>SUM(DE177:DK177)</f>
        <v>3.5294117647058823E-2</v>
      </c>
      <c r="J176" s="16"/>
      <c r="K176" s="17"/>
      <c r="L176" s="17"/>
      <c r="M176" s="504" t="s">
        <v>38</v>
      </c>
      <c r="N176" s="10" t="s">
        <v>89</v>
      </c>
      <c r="O176" s="190">
        <f>(0.5*3)/120</f>
        <v>1.2500000000000001E-2</v>
      </c>
      <c r="P176" s="190">
        <f>(0.5*3)/120</f>
        <v>1.2500000000000001E-2</v>
      </c>
      <c r="Q176" s="190">
        <f t="shared" ref="Q176:W176" si="424">(0.5*3)/120</f>
        <v>1.2500000000000001E-2</v>
      </c>
      <c r="R176" s="190">
        <f t="shared" si="424"/>
        <v>1.2500000000000001E-2</v>
      </c>
      <c r="S176" s="190">
        <f t="shared" si="424"/>
        <v>1.2500000000000001E-2</v>
      </c>
      <c r="T176" s="190">
        <f t="shared" si="424"/>
        <v>1.2500000000000001E-2</v>
      </c>
      <c r="U176" s="190">
        <f t="shared" si="424"/>
        <v>1.2500000000000001E-2</v>
      </c>
      <c r="V176" s="190">
        <f t="shared" si="424"/>
        <v>1.2500000000000001E-2</v>
      </c>
      <c r="W176" s="190">
        <f t="shared" si="424"/>
        <v>1.2500000000000001E-2</v>
      </c>
      <c r="X176" s="86">
        <f t="shared" si="408"/>
        <v>0</v>
      </c>
      <c r="Y176" s="190">
        <f>(0.5*4)/157.5</f>
        <v>1.2698412698412698E-2</v>
      </c>
      <c r="Z176" s="190">
        <f>(0.5*4)/157.5</f>
        <v>1.2698412698412698E-2</v>
      </c>
      <c r="AA176" s="190">
        <f t="shared" ref="AA176:AH176" si="425">(0.5*4)/157.5</f>
        <v>1.2698412698412698E-2</v>
      </c>
      <c r="AB176" s="190">
        <f t="shared" si="425"/>
        <v>1.2698412698412698E-2</v>
      </c>
      <c r="AC176" s="190">
        <f t="shared" si="425"/>
        <v>1.2698412698412698E-2</v>
      </c>
      <c r="AD176" s="190">
        <f t="shared" si="425"/>
        <v>1.2698412698412698E-2</v>
      </c>
      <c r="AE176" s="190">
        <f t="shared" si="425"/>
        <v>1.2698412698412698E-2</v>
      </c>
      <c r="AF176" s="190">
        <f t="shared" si="425"/>
        <v>1.2698412698412698E-2</v>
      </c>
      <c r="AG176" s="190">
        <f t="shared" si="425"/>
        <v>1.2698412698412698E-2</v>
      </c>
      <c r="AH176" s="190">
        <f t="shared" si="425"/>
        <v>1.2698412698412698E-2</v>
      </c>
      <c r="AI176" s="77">
        <f>(0.5*4)/157.5</f>
        <v>1.2698412698412698E-2</v>
      </c>
      <c r="AJ176" s="190">
        <f>(0.5*4)/157.5</f>
        <v>1.2698412698412698E-2</v>
      </c>
      <c r="AK176" s="190">
        <f t="shared" ref="AK176:AR176" si="426">(0.5*4)/157.5</f>
        <v>1.2698412698412698E-2</v>
      </c>
      <c r="AL176" s="190">
        <f t="shared" si="426"/>
        <v>1.2698412698412698E-2</v>
      </c>
      <c r="AM176" s="190">
        <f t="shared" si="426"/>
        <v>1.2698412698412698E-2</v>
      </c>
      <c r="AN176" s="190">
        <f t="shared" si="426"/>
        <v>1.2698412698412698E-2</v>
      </c>
      <c r="AO176" s="190">
        <f t="shared" si="426"/>
        <v>1.2698412698412698E-2</v>
      </c>
      <c r="AP176" s="190">
        <f t="shared" si="426"/>
        <v>1.2698412698412698E-2</v>
      </c>
      <c r="AQ176" s="190">
        <f t="shared" si="426"/>
        <v>1.2698412698412698E-2</v>
      </c>
      <c r="AR176" s="225">
        <f t="shared" si="426"/>
        <v>1.2698412698412698E-2</v>
      </c>
      <c r="AS176" s="23">
        <f>(0.5*4)/165</f>
        <v>1.2121212121212121E-2</v>
      </c>
      <c r="AT176" s="190">
        <f>(0.5*4)/165</f>
        <v>1.2121212121212121E-2</v>
      </c>
      <c r="AU176" s="190">
        <f t="shared" ref="AU176:BA176" si="427">(0.5*4)/165</f>
        <v>1.2121212121212121E-2</v>
      </c>
      <c r="AV176" s="190">
        <f t="shared" si="427"/>
        <v>1.2121212121212121E-2</v>
      </c>
      <c r="AW176" s="190">
        <f t="shared" si="427"/>
        <v>1.2121212121212121E-2</v>
      </c>
      <c r="AX176" s="190">
        <f t="shared" si="427"/>
        <v>1.2121212121212121E-2</v>
      </c>
      <c r="AY176" s="190">
        <f t="shared" si="427"/>
        <v>1.2121212121212121E-2</v>
      </c>
      <c r="AZ176" s="190">
        <f t="shared" si="427"/>
        <v>1.2121212121212121E-2</v>
      </c>
      <c r="BA176" s="190">
        <f t="shared" si="427"/>
        <v>1.2121212121212121E-2</v>
      </c>
      <c r="BB176" s="225">
        <f>(0.5*4)/165</f>
        <v>1.2121212121212121E-2</v>
      </c>
      <c r="BC176" s="77">
        <f>(0.5*3)/157.5</f>
        <v>9.5238095238095247E-3</v>
      </c>
      <c r="BD176" s="190">
        <f>(0.5*3)/157.5</f>
        <v>9.5238095238095247E-3</v>
      </c>
      <c r="BE176" s="190">
        <f>(0.5*3)/157.5</f>
        <v>9.5238095238095247E-3</v>
      </c>
      <c r="BF176" s="190">
        <f t="shared" ref="BF176:BL176" si="428">(0.5*3)/157.5</f>
        <v>9.5238095238095247E-3</v>
      </c>
      <c r="BG176" s="190">
        <f t="shared" si="428"/>
        <v>9.5238095238095247E-3</v>
      </c>
      <c r="BH176" s="190">
        <f t="shared" si="428"/>
        <v>9.5238095238095247E-3</v>
      </c>
      <c r="BI176" s="190">
        <f t="shared" si="428"/>
        <v>9.5238095238095247E-3</v>
      </c>
      <c r="BJ176" s="190">
        <f t="shared" si="428"/>
        <v>9.5238095238095247E-3</v>
      </c>
      <c r="BK176" s="190">
        <f t="shared" si="428"/>
        <v>9.5238095238095247E-3</v>
      </c>
      <c r="BL176" s="190">
        <f t="shared" si="428"/>
        <v>9.5238095238095247E-3</v>
      </c>
      <c r="BM176" s="77">
        <f>(0.5*4)/165</f>
        <v>1.2121212121212121E-2</v>
      </c>
      <c r="BN176" s="190">
        <f>(0.5*4)/165</f>
        <v>1.2121212121212121E-2</v>
      </c>
      <c r="BO176" s="190">
        <f t="shared" ref="BO176:BV176" si="429">(0.5*4)/165</f>
        <v>1.2121212121212121E-2</v>
      </c>
      <c r="BP176" s="190">
        <f t="shared" si="429"/>
        <v>1.2121212121212121E-2</v>
      </c>
      <c r="BQ176" s="190">
        <f t="shared" si="429"/>
        <v>1.2121212121212121E-2</v>
      </c>
      <c r="BR176" s="190">
        <f t="shared" si="429"/>
        <v>1.2121212121212121E-2</v>
      </c>
      <c r="BS176" s="190">
        <f t="shared" si="429"/>
        <v>1.2121212121212121E-2</v>
      </c>
      <c r="BT176" s="190">
        <f t="shared" si="429"/>
        <v>1.2121212121212121E-2</v>
      </c>
      <c r="BU176" s="190">
        <f t="shared" si="429"/>
        <v>1.2121212121212121E-2</v>
      </c>
      <c r="BV176" s="190">
        <f t="shared" si="429"/>
        <v>1.2121212121212121E-2</v>
      </c>
      <c r="BW176" s="23">
        <f t="shared" ref="BW176:CF176" si="430">(0.5*5)/150</f>
        <v>1.6666666666666666E-2</v>
      </c>
      <c r="BX176" s="190">
        <f t="shared" si="430"/>
        <v>1.6666666666666666E-2</v>
      </c>
      <c r="BY176" s="190">
        <f t="shared" si="430"/>
        <v>1.6666666666666666E-2</v>
      </c>
      <c r="BZ176" s="190">
        <f t="shared" si="430"/>
        <v>1.6666666666666666E-2</v>
      </c>
      <c r="CA176" s="190">
        <f t="shared" si="430"/>
        <v>1.6666666666666666E-2</v>
      </c>
      <c r="CB176" s="190">
        <f t="shared" si="430"/>
        <v>1.6666666666666666E-2</v>
      </c>
      <c r="CC176" s="190">
        <f t="shared" si="430"/>
        <v>1.6666666666666666E-2</v>
      </c>
      <c r="CD176" s="190">
        <f t="shared" si="430"/>
        <v>1.6666666666666666E-2</v>
      </c>
      <c r="CE176" s="190">
        <f t="shared" si="430"/>
        <v>1.6666666666666666E-2</v>
      </c>
      <c r="CF176" s="190">
        <f t="shared" si="430"/>
        <v>1.6666666666666666E-2</v>
      </c>
      <c r="CG176" s="23">
        <f>(0.5*4)/135</f>
        <v>1.4814814814814815E-2</v>
      </c>
      <c r="CH176" s="190">
        <f>(0.5*4)/135</f>
        <v>1.4814814814814815E-2</v>
      </c>
      <c r="CI176" s="190">
        <f t="shared" ref="CI176:CP176" si="431">(0.5*4)/135</f>
        <v>1.4814814814814815E-2</v>
      </c>
      <c r="CJ176" s="190">
        <f t="shared" si="431"/>
        <v>1.4814814814814815E-2</v>
      </c>
      <c r="CK176" s="190">
        <f t="shared" si="431"/>
        <v>1.4814814814814815E-2</v>
      </c>
      <c r="CL176" s="190">
        <f t="shared" si="431"/>
        <v>1.4814814814814815E-2</v>
      </c>
      <c r="CM176" s="190">
        <f t="shared" si="431"/>
        <v>1.4814814814814815E-2</v>
      </c>
      <c r="CN176" s="190">
        <f t="shared" si="431"/>
        <v>1.4814814814814815E-2</v>
      </c>
      <c r="CO176" s="190">
        <f t="shared" si="431"/>
        <v>1.4814814814814815E-2</v>
      </c>
      <c r="CP176" s="190">
        <f t="shared" si="431"/>
        <v>1.4814814814814815E-2</v>
      </c>
      <c r="CQ176" s="23">
        <f>(0.5*3)/150</f>
        <v>0.01</v>
      </c>
      <c r="CR176" s="190">
        <f>(0.5*3)/150</f>
        <v>0.01</v>
      </c>
      <c r="CS176" s="190">
        <f t="shared" ref="CS176:CW176" si="432">(0.5*3)/150</f>
        <v>0.01</v>
      </c>
      <c r="CT176" s="190">
        <f t="shared" si="432"/>
        <v>0.01</v>
      </c>
      <c r="CU176" s="190">
        <f t="shared" si="432"/>
        <v>0.01</v>
      </c>
      <c r="CV176" s="190">
        <f t="shared" si="432"/>
        <v>0.01</v>
      </c>
      <c r="CW176" s="190">
        <f t="shared" si="432"/>
        <v>0.01</v>
      </c>
      <c r="CX176" s="77">
        <f>(0.5*4)/157.5</f>
        <v>1.2698412698412698E-2</v>
      </c>
      <c r="CY176" s="190">
        <f>(0.5*4)/157.5</f>
        <v>1.2698412698412698E-2</v>
      </c>
      <c r="CZ176" s="190">
        <f t="shared" ref="CZ176:DD176" si="433">(0.5*4)/157.5</f>
        <v>1.2698412698412698E-2</v>
      </c>
      <c r="DA176" s="190">
        <f t="shared" si="433"/>
        <v>1.2698412698412698E-2</v>
      </c>
      <c r="DB176" s="190">
        <f t="shared" si="433"/>
        <v>1.2698412698412698E-2</v>
      </c>
      <c r="DC176" s="190">
        <f t="shared" si="433"/>
        <v>1.2698412698412698E-2</v>
      </c>
      <c r="DD176" s="190">
        <f t="shared" si="433"/>
        <v>1.2698412698412698E-2</v>
      </c>
      <c r="DE176" s="23">
        <f>(0.5*4)/127.5</f>
        <v>1.5686274509803921E-2</v>
      </c>
      <c r="DF176" s="190">
        <f>(0.5*4)/127.5</f>
        <v>1.5686274509803921E-2</v>
      </c>
      <c r="DG176" s="190">
        <f t="shared" ref="DG176:DK176" si="434">(0.5*4)/127.5</f>
        <v>1.5686274509803921E-2</v>
      </c>
      <c r="DH176" s="190">
        <f t="shared" si="434"/>
        <v>1.5686274509803921E-2</v>
      </c>
      <c r="DI176" s="190">
        <f t="shared" si="434"/>
        <v>1.5686274509803921E-2</v>
      </c>
      <c r="DJ176" s="190">
        <f t="shared" si="434"/>
        <v>1.5686274509803921E-2</v>
      </c>
      <c r="DK176" s="190">
        <f t="shared" si="434"/>
        <v>1.5686274509803921E-2</v>
      </c>
      <c r="DL176" s="23">
        <f t="shared" ref="DL176:DP176" si="435">(0)/142.5</f>
        <v>0</v>
      </c>
      <c r="DM176" s="190">
        <f t="shared" si="435"/>
        <v>0</v>
      </c>
      <c r="DN176" s="190">
        <f t="shared" si="435"/>
        <v>0</v>
      </c>
      <c r="DO176" s="190">
        <f t="shared" si="435"/>
        <v>0</v>
      </c>
      <c r="DP176" s="190">
        <f t="shared" si="435"/>
        <v>0</v>
      </c>
      <c r="DQ176" s="190">
        <f t="shared" si="420"/>
        <v>0</v>
      </c>
      <c r="DR176" s="190">
        <f t="shared" si="420"/>
        <v>0</v>
      </c>
      <c r="DS176" s="190">
        <f t="shared" si="420"/>
        <v>0</v>
      </c>
      <c r="DT176" s="54"/>
    </row>
    <row r="177" spans="1:125" ht="20.100000000000001" customHeight="1" x14ac:dyDescent="0.4">
      <c r="A177" s="522"/>
      <c r="B177" s="522"/>
      <c r="C177" s="522"/>
      <c r="D177" s="469"/>
      <c r="E177" s="469"/>
      <c r="F177" s="469"/>
      <c r="G177" s="472"/>
      <c r="H177" s="492"/>
      <c r="I177" s="497"/>
      <c r="J177" s="18"/>
      <c r="K177" s="19"/>
      <c r="L177" s="19"/>
      <c r="M177" s="432"/>
      <c r="N177" s="11" t="s">
        <v>90</v>
      </c>
      <c r="O177" s="209">
        <f>(0.5+0.5+1)/120</f>
        <v>1.6666666666666666E-2</v>
      </c>
      <c r="P177" s="209">
        <f>(0.5+0.5+0.5)/120</f>
        <v>1.2500000000000001E-2</v>
      </c>
      <c r="Q177" s="209">
        <f>(0.5+0.5+0.5)/120</f>
        <v>1.2500000000000001E-2</v>
      </c>
      <c r="R177" s="209">
        <f>(0.5+0.5+0.5)/120</f>
        <v>1.2500000000000001E-2</v>
      </c>
      <c r="S177" s="209">
        <f>(0.5+0.5)/120</f>
        <v>8.3333333333333332E-3</v>
      </c>
      <c r="T177" s="209">
        <f>(0.5+0.5+0.5)/120</f>
        <v>1.2500000000000001E-2</v>
      </c>
      <c r="U177" s="209">
        <f>(0)/120</f>
        <v>0</v>
      </c>
      <c r="V177" s="209">
        <f>(0.5+0.5)/120</f>
        <v>8.3333333333333332E-3</v>
      </c>
      <c r="W177" s="209">
        <f>(0.5+0.5+0.5)/120</f>
        <v>1.2500000000000001E-2</v>
      </c>
      <c r="X177" s="53">
        <f>(0.5+0.5)/120</f>
        <v>8.3333333333333332E-3</v>
      </c>
      <c r="Y177" s="209">
        <f>(0.5+0.5+0.5+0.5)/157.5</f>
        <v>1.2698412698412698E-2</v>
      </c>
      <c r="Z177" s="209">
        <f>(0+0.5+0.5)/157.5</f>
        <v>6.3492063492063492E-3</v>
      </c>
      <c r="AA177" s="209">
        <f>(0+0.5+0.5)/157.5</f>
        <v>6.3492063492063492E-3</v>
      </c>
      <c r="AB177" s="209">
        <f>(0.5+0.5+0.5)/157.5</f>
        <v>9.5238095238095247E-3</v>
      </c>
      <c r="AC177" s="209">
        <f>(0.5+0.5+0.5+0.5)/157.5</f>
        <v>1.2698412698412698E-2</v>
      </c>
      <c r="AD177" s="209">
        <f>(0.5+0.5+0.5+0.5)/157.5</f>
        <v>1.2698412698412698E-2</v>
      </c>
      <c r="AE177" s="209">
        <f>(0+0.5+0.5)/157.5</f>
        <v>6.3492063492063492E-3</v>
      </c>
      <c r="AF177" s="209">
        <f t="shared" ref="AF177:AN177" si="436">(0.5+0.5+0.5+0.5)/157.5</f>
        <v>1.2698412698412698E-2</v>
      </c>
      <c r="AG177" s="209">
        <f t="shared" si="436"/>
        <v>1.2698412698412698E-2</v>
      </c>
      <c r="AH177" s="209">
        <f t="shared" si="436"/>
        <v>1.2698412698412698E-2</v>
      </c>
      <c r="AI177" s="58">
        <f t="shared" si="436"/>
        <v>1.2698412698412698E-2</v>
      </c>
      <c r="AJ177" s="209">
        <f t="shared" si="436"/>
        <v>1.2698412698412698E-2</v>
      </c>
      <c r="AK177" s="209">
        <f t="shared" si="436"/>
        <v>1.2698412698412698E-2</v>
      </c>
      <c r="AL177" s="209">
        <f t="shared" si="436"/>
        <v>1.2698412698412698E-2</v>
      </c>
      <c r="AM177" s="209">
        <f t="shared" si="436"/>
        <v>1.2698412698412698E-2</v>
      </c>
      <c r="AN177" s="209">
        <f t="shared" si="436"/>
        <v>1.2698412698412698E-2</v>
      </c>
      <c r="AO177" s="209">
        <f>(0.5+0.5+0+0.5)/157.5</f>
        <v>9.5238095238095247E-3</v>
      </c>
      <c r="AP177" s="209">
        <f>(0.5+0.5+0.5+0.5)/157.5</f>
        <v>1.2698412698412698E-2</v>
      </c>
      <c r="AQ177" s="209">
        <f>(0.5+0.5+0.5+0.5)/157.5</f>
        <v>1.2698412698412698E-2</v>
      </c>
      <c r="AR177" s="53">
        <f>(0.5+0.5+0.5+0.5)/157.5</f>
        <v>1.2698412698412698E-2</v>
      </c>
      <c r="AS177" s="65">
        <f>(0+0.5+0.5+0.5+0.5+0.5)/165</f>
        <v>1.5151515151515152E-2</v>
      </c>
      <c r="AT177" s="210">
        <f>(0+0.5+0.5+0.5+0.5+0.5)/165</f>
        <v>1.5151515151515152E-2</v>
      </c>
      <c r="AU177" s="210">
        <f>(0+0.5+0.5+0.5+0.5+0.5)/165</f>
        <v>1.5151515151515152E-2</v>
      </c>
      <c r="AV177" s="210">
        <f>(0+0.5+0.5+0)/165</f>
        <v>6.0606060606060606E-3</v>
      </c>
      <c r="AW177" s="210">
        <f>(0+0.5+0.5+0.5+0.5)/165</f>
        <v>1.2121212121212121E-2</v>
      </c>
      <c r="AX177" s="210">
        <f>(0+0.5+0.5+0.5+0.5+0.5)/165</f>
        <v>1.5151515151515152E-2</v>
      </c>
      <c r="AY177" s="210">
        <f>(0+0.5+0+0.5+0.5+0.5)/165</f>
        <v>1.2121212121212121E-2</v>
      </c>
      <c r="AZ177" s="210">
        <f>(0+0.5+0.5+0.5+0.5+0.5)/165</f>
        <v>1.5151515151515152E-2</v>
      </c>
      <c r="BA177" s="210">
        <f>(0+0.5+0.5+0.5+0)/165</f>
        <v>9.0909090909090905E-3</v>
      </c>
      <c r="BB177" s="53">
        <f>(0+0.5+0.5+0.5)/165</f>
        <v>9.0909090909090905E-3</v>
      </c>
      <c r="BC177" s="58">
        <f t="shared" ref="BC177:BI177" si="437">(0+0.5+0.5+0.5)/157.5</f>
        <v>9.5238095238095247E-3</v>
      </c>
      <c r="BD177" s="209">
        <f t="shared" si="437"/>
        <v>9.5238095238095247E-3</v>
      </c>
      <c r="BE177" s="209">
        <f t="shared" si="437"/>
        <v>9.5238095238095247E-3</v>
      </c>
      <c r="BF177" s="209">
        <f t="shared" si="437"/>
        <v>9.5238095238095247E-3</v>
      </c>
      <c r="BG177" s="209">
        <f t="shared" si="437"/>
        <v>9.5238095238095247E-3</v>
      </c>
      <c r="BH177" s="209">
        <f t="shared" si="437"/>
        <v>9.5238095238095247E-3</v>
      </c>
      <c r="BI177" s="209">
        <f t="shared" si="437"/>
        <v>9.5238095238095247E-3</v>
      </c>
      <c r="BJ177" s="209">
        <f>(0+0.5+0+0.5)/157.5</f>
        <v>6.3492063492063492E-3</v>
      </c>
      <c r="BK177" s="209">
        <f>(0+0+0.5+0.5)/157.5</f>
        <v>6.3492063492063492E-3</v>
      </c>
      <c r="BL177" s="209">
        <f>(0+0.5+0.5+0.5)/157.5</f>
        <v>9.5238095238095247E-3</v>
      </c>
      <c r="BM177" s="58">
        <f>(1+0.5+0.5+0.5+0.5)/165</f>
        <v>1.8181818181818181E-2</v>
      </c>
      <c r="BN177" s="209">
        <f t="shared" ref="BN177:BS177" si="438">(0+0.5+0.5+0.5+0.5)/165</f>
        <v>1.2121212121212121E-2</v>
      </c>
      <c r="BO177" s="209">
        <f t="shared" si="438"/>
        <v>1.2121212121212121E-2</v>
      </c>
      <c r="BP177" s="209">
        <f t="shared" si="438"/>
        <v>1.2121212121212121E-2</v>
      </c>
      <c r="BQ177" s="209">
        <f t="shared" si="438"/>
        <v>1.2121212121212121E-2</v>
      </c>
      <c r="BR177" s="209">
        <f t="shared" si="438"/>
        <v>1.2121212121212121E-2</v>
      </c>
      <c r="BS177" s="209">
        <f t="shared" si="438"/>
        <v>1.2121212121212121E-2</v>
      </c>
      <c r="BT177" s="209">
        <f>(0+0.5+0.5+0+0.5)/165</f>
        <v>9.0909090909090905E-3</v>
      </c>
      <c r="BU177" s="209">
        <f>(1+0.5+0.5+0.5+0.5)/165</f>
        <v>1.8181818181818181E-2</v>
      </c>
      <c r="BV177" s="209">
        <f>(0+0.5+0.5+0.5+0.5)/165</f>
        <v>1.2121212121212121E-2</v>
      </c>
      <c r="BW177" s="65">
        <f>(0+0.5+0.5+0.5+0.5)/150</f>
        <v>1.3333333333333334E-2</v>
      </c>
      <c r="BX177" s="209">
        <f>(0+0.5+0.5+0.5+0.5)/150</f>
        <v>1.3333333333333334E-2</v>
      </c>
      <c r="BY177" s="209">
        <f>(0+0.5+0.5+0.5+0.5)/150</f>
        <v>1.3333333333333334E-2</v>
      </c>
      <c r="BZ177" s="209">
        <f>(0+0.5+0.5+0)/150</f>
        <v>6.6666666666666671E-3</v>
      </c>
      <c r="CA177" s="209">
        <f>(0+0.5+0.5+0.5)/150</f>
        <v>0.01</v>
      </c>
      <c r="CB177" s="209">
        <f>(0+0.5+0.5+0.5+0.5)/150</f>
        <v>1.3333333333333334E-2</v>
      </c>
      <c r="CC177" s="209">
        <f>(0+0.5+0.5)/150</f>
        <v>6.6666666666666671E-3</v>
      </c>
      <c r="CD177" s="209">
        <f>(0+0.5+0.5+0.5)/150</f>
        <v>0.01</v>
      </c>
      <c r="CE177" s="209">
        <f>(0+0.5+0.5+0.5)/150</f>
        <v>0.01</v>
      </c>
      <c r="CF177" s="209">
        <f>(0+0.5+0.5+0.5+0.5)/150</f>
        <v>1.3333333333333334E-2</v>
      </c>
      <c r="CG177" s="65">
        <f>(0+1+0.5+0.5+0.5)/135</f>
        <v>1.8518518518518517E-2</v>
      </c>
      <c r="CH177" s="209">
        <f>(0+0.5+0.5+0.5+0.5)/135</f>
        <v>1.4814814814814815E-2</v>
      </c>
      <c r="CI177" s="209">
        <f>(0+0.5+0.5+0.5+0.5)/135</f>
        <v>1.4814814814814815E-2</v>
      </c>
      <c r="CJ177" s="209">
        <f>(0+0.5+0.5+0.5+0.5)/135</f>
        <v>1.4814814814814815E-2</v>
      </c>
      <c r="CK177" s="209">
        <f>(0+0.5+0.5+0.5+0.5)/135</f>
        <v>1.4814814814814815E-2</v>
      </c>
      <c r="CL177" s="209">
        <f>(0+0.5+0.5+0.5+0.5)/135</f>
        <v>1.4814814814814815E-2</v>
      </c>
      <c r="CM177" s="209">
        <f>(0+0.5+0.5+0.5)/135</f>
        <v>1.1111111111111112E-2</v>
      </c>
      <c r="CN177" s="209">
        <f>(0+0.5+0.5+0.5+0.5)/135</f>
        <v>1.4814814814814815E-2</v>
      </c>
      <c r="CO177" s="209">
        <f>(0+0.5+0.5+0.5)/135</f>
        <v>1.1111111111111112E-2</v>
      </c>
      <c r="CP177" s="209">
        <f>(0+0.5+0.5+0.5)/135</f>
        <v>1.1111111111111112E-2</v>
      </c>
      <c r="CQ177" s="65">
        <f>(0+0.5+0.5+0.5)/150</f>
        <v>0.01</v>
      </c>
      <c r="CR177" s="209">
        <f>(0+0.5+0.5)/150</f>
        <v>6.6666666666666671E-3</v>
      </c>
      <c r="CS177" s="209">
        <f>(0+0.5+0.5+0.5)/150</f>
        <v>0.01</v>
      </c>
      <c r="CT177" s="209">
        <f>(0+0.5+0.5+0.5)/150</f>
        <v>0.01</v>
      </c>
      <c r="CU177" s="209">
        <f>(0+0.5+0.5+0.5)/150</f>
        <v>0.01</v>
      </c>
      <c r="CV177" s="209">
        <f>(0+0.5+0.5+0.5)/150</f>
        <v>0.01</v>
      </c>
      <c r="CW177" s="209">
        <f>(0+0.5+0.5+0.5)/150</f>
        <v>0.01</v>
      </c>
      <c r="CX177" s="65">
        <f>(0.5+0.5+0.5+0.5)/157.5</f>
        <v>1.2698412698412698E-2</v>
      </c>
      <c r="CY177" s="210">
        <f>(0.5+0.5+0.5+0.5)/157.5</f>
        <v>1.2698412698412698E-2</v>
      </c>
      <c r="CZ177" s="210">
        <f>(0.5+0.5+0.5+0.5)/157.5</f>
        <v>1.2698412698412698E-2</v>
      </c>
      <c r="DA177" s="210">
        <f>(0.5+0.5+0.5+0.5)/157.5</f>
        <v>1.2698412698412698E-2</v>
      </c>
      <c r="DB177" s="210">
        <f>(0.5+0.5+0.5+0)/157.5</f>
        <v>9.5238095238095247E-3</v>
      </c>
      <c r="DC177" s="210">
        <f>(0.5+0.5+0.5+0.5)/157.5</f>
        <v>1.2698412698412698E-2</v>
      </c>
      <c r="DD177" s="209">
        <f>(0.5+0+0.5+0.5)/157.5</f>
        <v>9.5238095238095247E-3</v>
      </c>
      <c r="DE177" s="65">
        <f>(0+0.5+0.5)/127.5</f>
        <v>7.8431372549019607E-3</v>
      </c>
      <c r="DF177" s="210">
        <f t="shared" ref="DF177:DK177" si="439">(0+0.5)/127.5</f>
        <v>3.9215686274509803E-3</v>
      </c>
      <c r="DG177" s="210">
        <f>(0+0.5+0.5)/127.5</f>
        <v>7.8431372549019607E-3</v>
      </c>
      <c r="DH177" s="210">
        <f t="shared" si="439"/>
        <v>3.9215686274509803E-3</v>
      </c>
      <c r="DI177" s="210">
        <f t="shared" si="439"/>
        <v>3.9215686274509803E-3</v>
      </c>
      <c r="DJ177" s="210">
        <f t="shared" si="439"/>
        <v>3.9215686274509803E-3</v>
      </c>
      <c r="DK177" s="210">
        <f t="shared" si="439"/>
        <v>3.9215686274509803E-3</v>
      </c>
      <c r="DL177" s="65">
        <f t="shared" ref="DL177:DP177" si="440">0/142.5</f>
        <v>0</v>
      </c>
      <c r="DM177" s="210">
        <f t="shared" si="440"/>
        <v>0</v>
      </c>
      <c r="DN177" s="210">
        <f t="shared" si="440"/>
        <v>0</v>
      </c>
      <c r="DO177" s="210">
        <f t="shared" si="440"/>
        <v>0</v>
      </c>
      <c r="DP177" s="210">
        <f t="shared" si="440"/>
        <v>0</v>
      </c>
      <c r="DQ177" s="210">
        <f t="shared" si="420"/>
        <v>0</v>
      </c>
      <c r="DR177" s="210">
        <f t="shared" si="420"/>
        <v>0</v>
      </c>
      <c r="DS177" s="210">
        <f t="shared" si="420"/>
        <v>0</v>
      </c>
      <c r="DT177" s="201"/>
    </row>
    <row r="178" spans="1:125" ht="20.100000000000001" customHeight="1" x14ac:dyDescent="0.4">
      <c r="A178" s="521">
        <v>3</v>
      </c>
      <c r="B178" s="521" t="s">
        <v>46</v>
      </c>
      <c r="C178" s="521" t="s">
        <v>28</v>
      </c>
      <c r="D178" s="470" t="s">
        <v>21</v>
      </c>
      <c r="E178" s="468" t="s">
        <v>26</v>
      </c>
      <c r="F178" s="470" t="s">
        <v>27</v>
      </c>
      <c r="G178" s="471" t="s">
        <v>32</v>
      </c>
      <c r="H178" s="491">
        <f t="shared" ref="H178" si="441">SUM(DE178:DK178)</f>
        <v>0.46666666666666662</v>
      </c>
      <c r="I178" s="496">
        <f t="shared" ref="I178" si="442">SUM(DE179:DK179)</f>
        <v>0.2</v>
      </c>
      <c r="J178" s="16"/>
      <c r="K178" s="17"/>
      <c r="L178" s="17"/>
      <c r="M178" s="431" t="s">
        <v>161</v>
      </c>
      <c r="N178" s="10" t="s">
        <v>89</v>
      </c>
      <c r="O178" s="190">
        <f>(0.5*16)/120</f>
        <v>6.6666666666666666E-2</v>
      </c>
      <c r="P178" s="190">
        <f>(0.5*16)/120</f>
        <v>6.6666666666666666E-2</v>
      </c>
      <c r="Q178" s="190">
        <f t="shared" ref="Q178:W178" si="443">(0.5*16)/120</f>
        <v>6.6666666666666666E-2</v>
      </c>
      <c r="R178" s="190">
        <f t="shared" si="443"/>
        <v>6.6666666666666666E-2</v>
      </c>
      <c r="S178" s="190">
        <f t="shared" si="443"/>
        <v>6.6666666666666666E-2</v>
      </c>
      <c r="T178" s="190">
        <f t="shared" si="443"/>
        <v>6.6666666666666666E-2</v>
      </c>
      <c r="U178" s="190">
        <f t="shared" si="443"/>
        <v>6.6666666666666666E-2</v>
      </c>
      <c r="V178" s="190">
        <f t="shared" si="443"/>
        <v>6.6666666666666666E-2</v>
      </c>
      <c r="W178" s="190">
        <f t="shared" si="443"/>
        <v>6.6666666666666666E-2</v>
      </c>
      <c r="X178" s="86">
        <f t="shared" si="408"/>
        <v>0</v>
      </c>
      <c r="Y178" s="190">
        <f>(0.5*21)/157.5</f>
        <v>6.6666666666666666E-2</v>
      </c>
      <c r="Z178" s="190">
        <f>(0.5*21)/157.5</f>
        <v>6.6666666666666666E-2</v>
      </c>
      <c r="AA178" s="190">
        <f t="shared" ref="AA178:AH178" si="444">(0.5*21)/157.5</f>
        <v>6.6666666666666666E-2</v>
      </c>
      <c r="AB178" s="190">
        <f t="shared" si="444"/>
        <v>6.6666666666666666E-2</v>
      </c>
      <c r="AC178" s="190">
        <f t="shared" si="444"/>
        <v>6.6666666666666666E-2</v>
      </c>
      <c r="AD178" s="190">
        <f t="shared" si="444"/>
        <v>6.6666666666666666E-2</v>
      </c>
      <c r="AE178" s="190">
        <f t="shared" si="444"/>
        <v>6.6666666666666666E-2</v>
      </c>
      <c r="AF178" s="190">
        <f t="shared" si="444"/>
        <v>6.6666666666666666E-2</v>
      </c>
      <c r="AG178" s="190">
        <f t="shared" si="444"/>
        <v>6.6666666666666666E-2</v>
      </c>
      <c r="AH178" s="190">
        <f t="shared" si="444"/>
        <v>6.6666666666666666E-2</v>
      </c>
      <c r="AI178" s="77">
        <f>(0.25*21)/157.5</f>
        <v>3.3333333333333333E-2</v>
      </c>
      <c r="AJ178" s="190">
        <f>(0.25*21)/157.5</f>
        <v>3.3333333333333333E-2</v>
      </c>
      <c r="AK178" s="190">
        <f t="shared" si="410"/>
        <v>3.3333333333333333E-2</v>
      </c>
      <c r="AL178" s="190">
        <f t="shared" si="410"/>
        <v>3.3333333333333333E-2</v>
      </c>
      <c r="AM178" s="190">
        <f t="shared" si="410"/>
        <v>3.3333333333333333E-2</v>
      </c>
      <c r="AN178" s="190">
        <f t="shared" si="410"/>
        <v>3.3333333333333333E-2</v>
      </c>
      <c r="AO178" s="190">
        <f t="shared" si="410"/>
        <v>3.3333333333333333E-2</v>
      </c>
      <c r="AP178" s="190">
        <f t="shared" si="410"/>
        <v>3.3333333333333333E-2</v>
      </c>
      <c r="AQ178" s="190">
        <f t="shared" si="410"/>
        <v>3.3333333333333333E-2</v>
      </c>
      <c r="AR178" s="225">
        <f t="shared" si="410"/>
        <v>3.3333333333333333E-2</v>
      </c>
      <c r="AS178" s="23">
        <f>(0.25*21)/165</f>
        <v>3.1818181818181815E-2</v>
      </c>
      <c r="AT178" s="190">
        <f>(0.25*21)/165</f>
        <v>3.1818181818181815E-2</v>
      </c>
      <c r="AU178" s="190">
        <f t="shared" ref="AU178:BA178" si="445">(0.25*21)/165</f>
        <v>3.1818181818181815E-2</v>
      </c>
      <c r="AV178" s="190">
        <f t="shared" si="445"/>
        <v>3.1818181818181815E-2</v>
      </c>
      <c r="AW178" s="190">
        <f t="shared" si="445"/>
        <v>3.1818181818181815E-2</v>
      </c>
      <c r="AX178" s="190">
        <f t="shared" si="445"/>
        <v>3.1818181818181815E-2</v>
      </c>
      <c r="AY178" s="190">
        <f t="shared" si="445"/>
        <v>3.1818181818181815E-2</v>
      </c>
      <c r="AZ178" s="190">
        <f t="shared" si="445"/>
        <v>3.1818181818181815E-2</v>
      </c>
      <c r="BA178" s="190">
        <f t="shared" si="445"/>
        <v>3.1818181818181815E-2</v>
      </c>
      <c r="BB178" s="225">
        <f>(0.25*21)/165</f>
        <v>3.1818181818181815E-2</v>
      </c>
      <c r="BC178" s="77">
        <f>(0.25*21)/157.5</f>
        <v>3.3333333333333333E-2</v>
      </c>
      <c r="BD178" s="190">
        <f>(0.25*21)/157.5</f>
        <v>3.3333333333333333E-2</v>
      </c>
      <c r="BE178" s="190">
        <f t="shared" ref="BE178:BK178" si="446">(0.25*21)/157.5</f>
        <v>3.3333333333333333E-2</v>
      </c>
      <c r="BF178" s="190">
        <f t="shared" si="446"/>
        <v>3.3333333333333333E-2</v>
      </c>
      <c r="BG178" s="190">
        <f t="shared" si="446"/>
        <v>3.3333333333333333E-2</v>
      </c>
      <c r="BH178" s="190">
        <f t="shared" si="446"/>
        <v>3.3333333333333333E-2</v>
      </c>
      <c r="BI178" s="190">
        <f t="shared" si="446"/>
        <v>3.3333333333333333E-2</v>
      </c>
      <c r="BJ178" s="190">
        <f t="shared" si="446"/>
        <v>3.3333333333333333E-2</v>
      </c>
      <c r="BK178" s="190">
        <f t="shared" si="446"/>
        <v>3.3333333333333333E-2</v>
      </c>
      <c r="BL178" s="190">
        <f>(0.25*21)/157.5</f>
        <v>3.3333333333333333E-2</v>
      </c>
      <c r="BM178" s="77">
        <f>(0.25*22)/165</f>
        <v>3.3333333333333333E-2</v>
      </c>
      <c r="BN178" s="190">
        <f>(0.25*22)/165</f>
        <v>3.3333333333333333E-2</v>
      </c>
      <c r="BO178" s="190">
        <f t="shared" ref="BO178:BV178" si="447">(0.25*22)/165</f>
        <v>3.3333333333333333E-2</v>
      </c>
      <c r="BP178" s="190">
        <f t="shared" si="447"/>
        <v>3.3333333333333333E-2</v>
      </c>
      <c r="BQ178" s="190">
        <f t="shared" si="447"/>
        <v>3.3333333333333333E-2</v>
      </c>
      <c r="BR178" s="190">
        <f t="shared" si="447"/>
        <v>3.3333333333333333E-2</v>
      </c>
      <c r="BS178" s="190">
        <f t="shared" si="447"/>
        <v>3.3333333333333333E-2</v>
      </c>
      <c r="BT178" s="190">
        <f t="shared" si="447"/>
        <v>3.3333333333333333E-2</v>
      </c>
      <c r="BU178" s="190">
        <f t="shared" si="447"/>
        <v>3.3333333333333333E-2</v>
      </c>
      <c r="BV178" s="190">
        <f t="shared" si="447"/>
        <v>3.3333333333333333E-2</v>
      </c>
      <c r="BW178" s="23">
        <f t="shared" ref="BW178:CF178" si="448">(0.25*21)/150</f>
        <v>3.5000000000000003E-2</v>
      </c>
      <c r="BX178" s="190">
        <f t="shared" si="448"/>
        <v>3.5000000000000003E-2</v>
      </c>
      <c r="BY178" s="190">
        <f t="shared" si="448"/>
        <v>3.5000000000000003E-2</v>
      </c>
      <c r="BZ178" s="190">
        <f t="shared" si="448"/>
        <v>3.5000000000000003E-2</v>
      </c>
      <c r="CA178" s="190">
        <f t="shared" si="448"/>
        <v>3.5000000000000003E-2</v>
      </c>
      <c r="CB178" s="190">
        <f t="shared" si="448"/>
        <v>3.5000000000000003E-2</v>
      </c>
      <c r="CC178" s="190">
        <f t="shared" si="448"/>
        <v>3.5000000000000003E-2</v>
      </c>
      <c r="CD178" s="190">
        <f t="shared" si="448"/>
        <v>3.5000000000000003E-2</v>
      </c>
      <c r="CE178" s="190">
        <f t="shared" si="448"/>
        <v>3.5000000000000003E-2</v>
      </c>
      <c r="CF178" s="190">
        <f t="shared" si="448"/>
        <v>3.5000000000000003E-2</v>
      </c>
      <c r="CG178" s="23">
        <f>(0.25*18)/135</f>
        <v>3.3333333333333333E-2</v>
      </c>
      <c r="CH178" s="190">
        <f>(0.25*18)/135</f>
        <v>3.3333333333333333E-2</v>
      </c>
      <c r="CI178" s="190">
        <f t="shared" ref="CI178:CP178" si="449">(0.25*18)/135</f>
        <v>3.3333333333333333E-2</v>
      </c>
      <c r="CJ178" s="190">
        <f t="shared" si="449"/>
        <v>3.3333333333333333E-2</v>
      </c>
      <c r="CK178" s="190">
        <f t="shared" si="449"/>
        <v>3.3333333333333333E-2</v>
      </c>
      <c r="CL178" s="190">
        <f t="shared" si="449"/>
        <v>3.3333333333333333E-2</v>
      </c>
      <c r="CM178" s="190">
        <f t="shared" si="449"/>
        <v>3.3333333333333333E-2</v>
      </c>
      <c r="CN178" s="190">
        <f t="shared" si="449"/>
        <v>3.3333333333333333E-2</v>
      </c>
      <c r="CO178" s="190">
        <f t="shared" si="449"/>
        <v>3.3333333333333333E-2</v>
      </c>
      <c r="CP178" s="190">
        <f t="shared" si="449"/>
        <v>3.3333333333333333E-2</v>
      </c>
      <c r="CQ178" s="23">
        <f>(0.25*20)/150</f>
        <v>3.3333333333333333E-2</v>
      </c>
      <c r="CR178" s="190">
        <f>(0.25*20)/150</f>
        <v>3.3333333333333333E-2</v>
      </c>
      <c r="CS178" s="190">
        <f t="shared" ref="CS178:CW178" si="450">(0.25*20)/150</f>
        <v>3.3333333333333333E-2</v>
      </c>
      <c r="CT178" s="190">
        <f t="shared" si="450"/>
        <v>3.3333333333333333E-2</v>
      </c>
      <c r="CU178" s="190">
        <f t="shared" si="450"/>
        <v>3.3333333333333333E-2</v>
      </c>
      <c r="CV178" s="190">
        <f t="shared" si="450"/>
        <v>3.3333333333333333E-2</v>
      </c>
      <c r="CW178" s="190">
        <f t="shared" si="450"/>
        <v>3.3333333333333333E-2</v>
      </c>
      <c r="CX178" s="77">
        <f>(0.25*21)/157.5</f>
        <v>3.3333333333333333E-2</v>
      </c>
      <c r="CY178" s="190">
        <f>(0.25*21)/157.5</f>
        <v>3.3333333333333333E-2</v>
      </c>
      <c r="CZ178" s="190">
        <f t="shared" ref="CZ178:DD178" si="451">(0.25*21)/157.5</f>
        <v>3.3333333333333333E-2</v>
      </c>
      <c r="DA178" s="190">
        <f t="shared" si="451"/>
        <v>3.3333333333333333E-2</v>
      </c>
      <c r="DB178" s="190">
        <f t="shared" si="451"/>
        <v>3.3333333333333333E-2</v>
      </c>
      <c r="DC178" s="190">
        <f t="shared" si="451"/>
        <v>3.3333333333333333E-2</v>
      </c>
      <c r="DD178" s="190">
        <f t="shared" si="451"/>
        <v>3.3333333333333333E-2</v>
      </c>
      <c r="DE178" s="23">
        <f>(0.5*17)/127.5</f>
        <v>6.6666666666666666E-2</v>
      </c>
      <c r="DF178" s="190">
        <f>(0.5*17)/127.5</f>
        <v>6.6666666666666666E-2</v>
      </c>
      <c r="DG178" s="190">
        <f t="shared" ref="DG178:DK178" si="452">(0.5*17)/127.5</f>
        <v>6.6666666666666666E-2</v>
      </c>
      <c r="DH178" s="190">
        <f t="shared" si="452"/>
        <v>6.6666666666666666E-2</v>
      </c>
      <c r="DI178" s="190">
        <f t="shared" si="452"/>
        <v>6.6666666666666666E-2</v>
      </c>
      <c r="DJ178" s="190">
        <f t="shared" si="452"/>
        <v>6.6666666666666666E-2</v>
      </c>
      <c r="DK178" s="190">
        <f t="shared" si="452"/>
        <v>6.6666666666666666E-2</v>
      </c>
      <c r="DL178" s="23">
        <f t="shared" ref="DL178:DP178" si="453">(0)/142.5</f>
        <v>0</v>
      </c>
      <c r="DM178" s="190">
        <f t="shared" si="453"/>
        <v>0</v>
      </c>
      <c r="DN178" s="190">
        <f t="shared" si="453"/>
        <v>0</v>
      </c>
      <c r="DO178" s="190">
        <f t="shared" si="453"/>
        <v>0</v>
      </c>
      <c r="DP178" s="190">
        <f t="shared" si="453"/>
        <v>0</v>
      </c>
      <c r="DQ178" s="190">
        <f t="shared" si="420"/>
        <v>0</v>
      </c>
      <c r="DR178" s="190">
        <f t="shared" si="420"/>
        <v>0</v>
      </c>
      <c r="DS178" s="190">
        <f t="shared" si="420"/>
        <v>0</v>
      </c>
      <c r="DT178" s="54"/>
    </row>
    <row r="179" spans="1:125" ht="20.100000000000001" customHeight="1" x14ac:dyDescent="0.4">
      <c r="A179" s="522"/>
      <c r="B179" s="522"/>
      <c r="C179" s="522"/>
      <c r="D179" s="469"/>
      <c r="E179" s="469"/>
      <c r="F179" s="469"/>
      <c r="G179" s="472"/>
      <c r="H179" s="492"/>
      <c r="I179" s="497"/>
      <c r="J179" s="18"/>
      <c r="K179" s="19"/>
      <c r="L179" s="19"/>
      <c r="M179" s="432"/>
      <c r="N179" s="11" t="s">
        <v>90</v>
      </c>
      <c r="O179" s="209">
        <f>(0.5+1.25+0.5+0.5+1.25)/120</f>
        <v>3.3333333333333333E-2</v>
      </c>
      <c r="P179" s="209">
        <f>(0.5+1.25+0.25+0.5+1)/120</f>
        <v>2.9166666666666667E-2</v>
      </c>
      <c r="Q179" s="209">
        <f>(0.5+1+0.5+0.5+1.25)/120</f>
        <v>3.125E-2</v>
      </c>
      <c r="R179" s="209">
        <f>(0.5+1.25+0.5+0.5+1.25)/120</f>
        <v>3.3333333333333333E-2</v>
      </c>
      <c r="S179" s="209">
        <f>(0.5+1+0+0.5+1.25)/120</f>
        <v>2.7083333333333334E-2</v>
      </c>
      <c r="T179" s="209">
        <f>(0.5+1.25+0.5+0.5+1.25)/120</f>
        <v>3.3333333333333333E-2</v>
      </c>
      <c r="U179" s="209">
        <f>(0.5+1.25+0.5+0.5+1.25)/120</f>
        <v>3.3333333333333333E-2</v>
      </c>
      <c r="V179" s="209">
        <f>(0.5+1.25+0.5+0.5+1)/120</f>
        <v>3.125E-2</v>
      </c>
      <c r="W179" s="209">
        <f>(0.5+1.25+0.5+0.5+1.25)/120</f>
        <v>3.3333333333333333E-2</v>
      </c>
      <c r="X179" s="53">
        <f>(0.5+0.5+0.5+1.25)/120</f>
        <v>2.2916666666666665E-2</v>
      </c>
      <c r="Y179" s="209">
        <f>(1+1.25+1.25+1.25+0.5)/157.5</f>
        <v>3.3333333333333333E-2</v>
      </c>
      <c r="Z179" s="209">
        <f>(1+1.25+1.25+1+0.5)/157.5</f>
        <v>3.1746031746031744E-2</v>
      </c>
      <c r="AA179" s="209">
        <f>(0.75+0.75+1.25+1.25+0.25)/157.5</f>
        <v>2.6984126984126985E-2</v>
      </c>
      <c r="AB179" s="209">
        <f>(1+1.25+1.25+1+0.5)/157.5</f>
        <v>3.1746031746031744E-2</v>
      </c>
      <c r="AC179" s="209">
        <f>(0.75+1.25+1.25+1.25+0.5)/157.5</f>
        <v>3.1746031746031744E-2</v>
      </c>
      <c r="AD179" s="209">
        <f>(1+1.25+1.25+1.25+0.5)/157.5</f>
        <v>3.3333333333333333E-2</v>
      </c>
      <c r="AE179" s="209">
        <f>(1+1.25+1.25+1.25+0.5)/157.5</f>
        <v>3.3333333333333333E-2</v>
      </c>
      <c r="AF179" s="209">
        <f>(1+1.25+1.25+1.25+0.5)/157.5</f>
        <v>3.3333333333333333E-2</v>
      </c>
      <c r="AG179" s="209">
        <f>(0.75+1.25+1.25+1.25+0.5)/157.5</f>
        <v>3.1746031746031744E-2</v>
      </c>
      <c r="AH179" s="209">
        <f>(1+1.25+1.25+1.25+0.5)/157.5</f>
        <v>3.3333333333333333E-2</v>
      </c>
      <c r="AI179" s="58">
        <f>(0.75+1.25+1.25+1.25+0.5)/157.5</f>
        <v>3.1746031746031744E-2</v>
      </c>
      <c r="AJ179" s="209">
        <f>(0.75+1.25+1.25+1.25+0.75)/157.5</f>
        <v>3.3333333333333333E-2</v>
      </c>
      <c r="AK179" s="209">
        <f>(0.75+1.25+1.25+1+0.75)/157.5</f>
        <v>3.1746031746031744E-2</v>
      </c>
      <c r="AL179" s="209">
        <f>(0.75+1.25+1.25+1.25+0.5)/157.5</f>
        <v>3.1746031746031744E-2</v>
      </c>
      <c r="AM179" s="209">
        <f t="shared" ref="AM179:AR179" si="454">(0.75+1.25+1.25+1.25+0.75)/157.5</f>
        <v>3.3333333333333333E-2</v>
      </c>
      <c r="AN179" s="209">
        <f t="shared" si="454"/>
        <v>3.3333333333333333E-2</v>
      </c>
      <c r="AO179" s="209">
        <f t="shared" si="454"/>
        <v>3.3333333333333333E-2</v>
      </c>
      <c r="AP179" s="209">
        <f t="shared" si="454"/>
        <v>3.3333333333333333E-2</v>
      </c>
      <c r="AQ179" s="209">
        <f t="shared" si="454"/>
        <v>3.3333333333333333E-2</v>
      </c>
      <c r="AR179" s="53">
        <f t="shared" si="454"/>
        <v>3.3333333333333333E-2</v>
      </c>
      <c r="AS179" s="65">
        <f>(0.5+1+1.25+1.25+1.25+0.25)/165</f>
        <v>3.3333333333333333E-2</v>
      </c>
      <c r="AT179" s="210">
        <f>(0.5+1+1.25+1.25+1+0.25)/165</f>
        <v>3.1818181818181815E-2</v>
      </c>
      <c r="AU179" s="210">
        <f>(0.5+1+1+1+1.25+0.25)/165</f>
        <v>3.0303030303030304E-2</v>
      </c>
      <c r="AV179" s="210">
        <f>(0.5+1+1.25+1.25+1.25+0.25)/165</f>
        <v>3.3333333333333333E-2</v>
      </c>
      <c r="AW179" s="210">
        <f>(0.25+0.5+1.25+1.25+1+0.25)/165</f>
        <v>2.7272727272727271E-2</v>
      </c>
      <c r="AX179" s="210">
        <f>(0.5+1+1.25+1.25+1.25+0.25)/165</f>
        <v>3.3333333333333333E-2</v>
      </c>
      <c r="AY179" s="210">
        <f>(0.5+1+1.25+1+1.25+0.25)/165</f>
        <v>3.1818181818181815E-2</v>
      </c>
      <c r="AZ179" s="210">
        <f>(0.5+1+1+1.25+1.25+0.25)/165</f>
        <v>3.1818181818181815E-2</v>
      </c>
      <c r="BA179" s="210">
        <f>(0.5+1+1.25+1.25+1.25+0.25)/165</f>
        <v>3.3333333333333333E-2</v>
      </c>
      <c r="BB179" s="53">
        <f>(0.5+1+1.25+1.25+1.25+0.25)/165</f>
        <v>3.3333333333333333E-2</v>
      </c>
      <c r="BC179" s="58">
        <f>(1+1.25+1.25+1+0.5)/157.5</f>
        <v>3.1746031746031744E-2</v>
      </c>
      <c r="BD179" s="209">
        <f>(1+1.25+1+0.5+0.5)/157.5</f>
        <v>2.6984126984126985E-2</v>
      </c>
      <c r="BE179" s="209">
        <f>(1+1.25+1.25+1.25+0.5)/157.5</f>
        <v>3.3333333333333333E-2</v>
      </c>
      <c r="BF179" s="209">
        <f>(1+0.75+1.25+1.25+0.5)/157.5</f>
        <v>3.0158730158730159E-2</v>
      </c>
      <c r="BG179" s="209">
        <f>(1+1.25+1.25+1.25+0.5)/157.5</f>
        <v>3.3333333333333333E-2</v>
      </c>
      <c r="BH179" s="209">
        <f>(1+1+1.25+1.25+0.5)/157.5</f>
        <v>3.1746031746031744E-2</v>
      </c>
      <c r="BI179" s="209">
        <f>(0.75+1.25+1.25+1.25+0.5)/157.5</f>
        <v>3.1746031746031744E-2</v>
      </c>
      <c r="BJ179" s="209">
        <f>(1+1.25+1.25+1.25+0.5)/157.5</f>
        <v>3.3333333333333333E-2</v>
      </c>
      <c r="BK179" s="209">
        <f>(1+1.25+1.25+1.25+0.5)/157.5</f>
        <v>3.3333333333333333E-2</v>
      </c>
      <c r="BL179" s="209">
        <f>(1+1.25+1.25+1.25+0.5)/157.5</f>
        <v>3.3333333333333333E-2</v>
      </c>
      <c r="BM179" s="58">
        <f>(0.75+1.25+1.25+1.25+1)/165</f>
        <v>3.3333333333333333E-2</v>
      </c>
      <c r="BN179" s="209">
        <f>(0.75+1.25+1.25+1.25+1)/165</f>
        <v>3.3333333333333333E-2</v>
      </c>
      <c r="BO179" s="209">
        <f>(0.75+1.25+1.25+1.25+0.75)/165</f>
        <v>3.1818181818181815E-2</v>
      </c>
      <c r="BP179" s="209">
        <f>(0.75+1.25+1.25+1.25+1)/165</f>
        <v>3.3333333333333333E-2</v>
      </c>
      <c r="BQ179" s="209">
        <f>(0.75+1.25+1.25+1.25+1)/165</f>
        <v>3.3333333333333333E-2</v>
      </c>
      <c r="BR179" s="209">
        <f>(0.75+1.25+1.25+1.25+1)/165</f>
        <v>3.3333333333333333E-2</v>
      </c>
      <c r="BS179" s="209">
        <f>(0.75+1.25+1.25+1.25+0.75)/165</f>
        <v>3.1818181818181815E-2</v>
      </c>
      <c r="BT179" s="209">
        <f>(0.75+1.25+1.25+1+1)/165</f>
        <v>3.1818181818181815E-2</v>
      </c>
      <c r="BU179" s="209">
        <f>(0.75+1.25+1.25+1.25+1)/165</f>
        <v>3.3333333333333333E-2</v>
      </c>
      <c r="BV179" s="209">
        <f>(0.75+1+1.25+1.25+1)/165</f>
        <v>3.1818181818181815E-2</v>
      </c>
      <c r="BW179" s="65">
        <f>(0.25+0.75+1.25+1+1.25+0.5)/150</f>
        <v>3.3333333333333333E-2</v>
      </c>
      <c r="BX179" s="209">
        <f>(0.25+0.5+0.5+1+1.25+0.5)/150</f>
        <v>2.6666666666666668E-2</v>
      </c>
      <c r="BY179" s="209">
        <f>(0.25+0.75+1.25+1+1.25+0.5)/150</f>
        <v>3.3333333333333333E-2</v>
      </c>
      <c r="BZ179" s="209">
        <f>(0.25+0.75+1+1+1.25+0.5)/150</f>
        <v>3.1666666666666669E-2</v>
      </c>
      <c r="CA179" s="209">
        <f>(0.25+0.5+0.75+1+1.25+0.5)/150</f>
        <v>2.8333333333333332E-2</v>
      </c>
      <c r="CB179" s="209">
        <f>(0.25+0.75+1.25+1+1.25+0.5)/150</f>
        <v>3.3333333333333333E-2</v>
      </c>
      <c r="CC179" s="209">
        <f>(0+1+1+1.25+0.5)/150</f>
        <v>2.5000000000000001E-2</v>
      </c>
      <c r="CD179" s="209">
        <f>(0.25+0.25+1.25+1+1.25+0.5)/150</f>
        <v>0.03</v>
      </c>
      <c r="CE179" s="209">
        <f>(0.25+0.75+1+1+1.25+0.5)/150</f>
        <v>3.1666666666666669E-2</v>
      </c>
      <c r="CF179" s="209">
        <f>(0+0.75+1.25+1+1.25+0.5)/150</f>
        <v>3.1666666666666669E-2</v>
      </c>
      <c r="CG179" s="65">
        <f>(0.25+1.5+1+1.25+0.5)/135</f>
        <v>3.3333333333333333E-2</v>
      </c>
      <c r="CH179" s="209">
        <f>(0.25+1.5+1+1.25+0.5)/135</f>
        <v>3.3333333333333333E-2</v>
      </c>
      <c r="CI179" s="209">
        <f>(0+1.5+1+1.25+0.5)/135</f>
        <v>3.1481481481481478E-2</v>
      </c>
      <c r="CJ179" s="209">
        <f>(0.25+1.25+1+1.25+0.5)/135</f>
        <v>3.1481481481481478E-2</v>
      </c>
      <c r="CK179" s="209">
        <f>(0.25+1.5+1+1.25+0.5)/135</f>
        <v>3.3333333333333333E-2</v>
      </c>
      <c r="CL179" s="209">
        <f>(0.25+1.25+1+1.25+0.5)/135</f>
        <v>3.1481481481481478E-2</v>
      </c>
      <c r="CM179" s="209">
        <f>(0.25+1.5+1+1+0.5)/135</f>
        <v>3.1481481481481478E-2</v>
      </c>
      <c r="CN179" s="209">
        <f>(0.25+1.5+1+1.25+0.5)/135</f>
        <v>3.3333333333333333E-2</v>
      </c>
      <c r="CO179" s="209">
        <f>(0.25+1.5+1+1.25+0.5)/135</f>
        <v>3.3333333333333333E-2</v>
      </c>
      <c r="CP179" s="209">
        <f>(0.25+1.5+1+1.25+0.5)/135</f>
        <v>3.3333333333333333E-2</v>
      </c>
      <c r="CQ179" s="65">
        <f>(0.75+1.25+1.25+0.25+0.75)/150</f>
        <v>2.8333333333333332E-2</v>
      </c>
      <c r="CR179" s="209">
        <f>(0.75+1.25+1.25+1)/150</f>
        <v>2.8333333333333332E-2</v>
      </c>
      <c r="CS179" s="209">
        <f>(0.75+1.25+1.25+1+0.75)/150</f>
        <v>3.3333333333333333E-2</v>
      </c>
      <c r="CT179" s="209">
        <f>(0.75+1.25+0.25+1+0.75)/150</f>
        <v>2.6666666666666668E-2</v>
      </c>
      <c r="CU179" s="209">
        <f>(0.75+1.25+1.25+1+0.75)/150</f>
        <v>3.3333333333333333E-2</v>
      </c>
      <c r="CV179" s="209">
        <f>(0.75+1.25+1.25+1+0.75)/150</f>
        <v>3.3333333333333333E-2</v>
      </c>
      <c r="CW179" s="209">
        <f>(0.75+1.25+1.25+1)/150</f>
        <v>2.8333333333333332E-2</v>
      </c>
      <c r="CX179" s="65">
        <f>(0.75+1.5+1.25+1.25+0.5)/157.5</f>
        <v>3.3333333333333333E-2</v>
      </c>
      <c r="CY179" s="210">
        <f>(0.75+1.5+1.25+1.25+0.5)/157.5</f>
        <v>3.3333333333333333E-2</v>
      </c>
      <c r="CZ179" s="210">
        <f>(0+1.5+1.25+1.25+0.5)/157.5</f>
        <v>2.8571428571428571E-2</v>
      </c>
      <c r="DA179" s="210">
        <f>(0.75+1.5+1.25+1.25+0.5)/157.5</f>
        <v>3.3333333333333333E-2</v>
      </c>
      <c r="DB179" s="210">
        <f>(0.75+1.5+1.25+1+0.5)/157.5</f>
        <v>3.1746031746031744E-2</v>
      </c>
      <c r="DC179" s="210">
        <f>(0.75+1.5+1.25+1.25+0.5)/157.5</f>
        <v>3.3333333333333333E-2</v>
      </c>
      <c r="DD179" s="209">
        <f>(0.75+1.5+1.25+1.25+0.5)/157.5</f>
        <v>3.3333333333333333E-2</v>
      </c>
      <c r="DE179" s="65">
        <f>(0.75+1.25+0.25+1.25)/127.5</f>
        <v>2.7450980392156862E-2</v>
      </c>
      <c r="DF179" s="210">
        <f>(0.75+1.25+0.25+1.5)/127.5</f>
        <v>2.9411764705882353E-2</v>
      </c>
      <c r="DG179" s="210">
        <f>(0.75+1.25+0.25+1.5)/127.5</f>
        <v>2.9411764705882353E-2</v>
      </c>
      <c r="DH179" s="210">
        <f>(0.75+1.25+0.25+1.5)/127.5</f>
        <v>2.9411764705882353E-2</v>
      </c>
      <c r="DI179" s="210">
        <f>(0.75+1.25+0.25+1.5)/127.5</f>
        <v>2.9411764705882353E-2</v>
      </c>
      <c r="DJ179" s="210">
        <f>(0.75+1.25+0+1.25)/127.5</f>
        <v>2.5490196078431372E-2</v>
      </c>
      <c r="DK179" s="210">
        <f>(0.75+1.25+0.25+1.5)/127.5</f>
        <v>2.9411764705882353E-2</v>
      </c>
      <c r="DL179" s="65">
        <f t="shared" ref="DL179:DP179" si="455">0/142.5</f>
        <v>0</v>
      </c>
      <c r="DM179" s="210">
        <f t="shared" si="455"/>
        <v>0</v>
      </c>
      <c r="DN179" s="210">
        <f t="shared" si="455"/>
        <v>0</v>
      </c>
      <c r="DO179" s="210">
        <f t="shared" si="455"/>
        <v>0</v>
      </c>
      <c r="DP179" s="210">
        <f t="shared" si="455"/>
        <v>0</v>
      </c>
      <c r="DQ179" s="210">
        <f t="shared" si="420"/>
        <v>0</v>
      </c>
      <c r="DR179" s="210">
        <f t="shared" si="420"/>
        <v>0</v>
      </c>
      <c r="DS179" s="210">
        <f t="shared" si="420"/>
        <v>0</v>
      </c>
      <c r="DT179" s="201"/>
    </row>
    <row r="180" spans="1:125" ht="20.100000000000001" customHeight="1" x14ac:dyDescent="0.4">
      <c r="A180" s="521">
        <v>4</v>
      </c>
      <c r="B180" s="521" t="s">
        <v>46</v>
      </c>
      <c r="C180" s="521" t="s">
        <v>28</v>
      </c>
      <c r="D180" s="470" t="s">
        <v>20</v>
      </c>
      <c r="E180" s="468" t="s">
        <v>26</v>
      </c>
      <c r="F180" s="470" t="s">
        <v>27</v>
      </c>
      <c r="G180" s="471" t="s">
        <v>33</v>
      </c>
      <c r="H180" s="491">
        <f t="shared" ref="H180" si="456">SUM(DE180:DK180)</f>
        <v>0</v>
      </c>
      <c r="I180" s="496">
        <f t="shared" ref="I180" si="457">SUM(DE181:DK181)</f>
        <v>0</v>
      </c>
      <c r="J180" s="16"/>
      <c r="K180" s="17"/>
      <c r="L180" s="17"/>
      <c r="M180" s="431" t="s">
        <v>40</v>
      </c>
      <c r="N180" s="21" t="s">
        <v>89</v>
      </c>
      <c r="O180" s="190">
        <f t="shared" si="408"/>
        <v>0</v>
      </c>
      <c r="P180" s="190">
        <f t="shared" si="408"/>
        <v>0</v>
      </c>
      <c r="Q180" s="190">
        <f t="shared" si="408"/>
        <v>0</v>
      </c>
      <c r="R180" s="190">
        <f t="shared" si="408"/>
        <v>0</v>
      </c>
      <c r="S180" s="190">
        <f t="shared" si="408"/>
        <v>0</v>
      </c>
      <c r="T180" s="190">
        <f t="shared" si="408"/>
        <v>0</v>
      </c>
      <c r="U180" s="190">
        <f t="shared" si="408"/>
        <v>0</v>
      </c>
      <c r="V180" s="190">
        <f t="shared" si="408"/>
        <v>0</v>
      </c>
      <c r="W180" s="190">
        <f t="shared" si="408"/>
        <v>0</v>
      </c>
      <c r="X180" s="86">
        <f t="shared" si="408"/>
        <v>0</v>
      </c>
      <c r="Y180" s="190">
        <f t="shared" ref="Y180:AN185" si="458">(0)/157.5</f>
        <v>0</v>
      </c>
      <c r="Z180" s="190">
        <f t="shared" si="458"/>
        <v>0</v>
      </c>
      <c r="AA180" s="190">
        <f t="shared" si="458"/>
        <v>0</v>
      </c>
      <c r="AB180" s="190">
        <f t="shared" si="458"/>
        <v>0</v>
      </c>
      <c r="AC180" s="190">
        <f t="shared" si="458"/>
        <v>0</v>
      </c>
      <c r="AD180" s="190">
        <f t="shared" si="458"/>
        <v>0</v>
      </c>
      <c r="AE180" s="190">
        <f t="shared" si="458"/>
        <v>0</v>
      </c>
      <c r="AF180" s="190">
        <f t="shared" si="458"/>
        <v>0</v>
      </c>
      <c r="AG180" s="190">
        <f t="shared" si="458"/>
        <v>0</v>
      </c>
      <c r="AH180" s="190">
        <f t="shared" si="458"/>
        <v>0</v>
      </c>
      <c r="AI180" s="77">
        <f t="shared" si="458"/>
        <v>0</v>
      </c>
      <c r="AJ180" s="190">
        <f t="shared" si="458"/>
        <v>0</v>
      </c>
      <c r="AK180" s="190">
        <f t="shared" si="458"/>
        <v>0</v>
      </c>
      <c r="AL180" s="190">
        <f t="shared" si="458"/>
        <v>0</v>
      </c>
      <c r="AM180" s="190">
        <f t="shared" si="458"/>
        <v>0</v>
      </c>
      <c r="AN180" s="190">
        <f t="shared" si="458"/>
        <v>0</v>
      </c>
      <c r="AO180" s="190">
        <f t="shared" ref="AI180:AR185" si="459">(0)/157.5</f>
        <v>0</v>
      </c>
      <c r="AP180" s="190">
        <f t="shared" si="459"/>
        <v>0</v>
      </c>
      <c r="AQ180" s="190">
        <f t="shared" si="459"/>
        <v>0</v>
      </c>
      <c r="AR180" s="225">
        <f t="shared" si="459"/>
        <v>0</v>
      </c>
      <c r="AS180" s="23">
        <f t="shared" ref="AS180:BB185" si="460">(0)/165</f>
        <v>0</v>
      </c>
      <c r="AT180" s="190">
        <f t="shared" si="460"/>
        <v>0</v>
      </c>
      <c r="AU180" s="190">
        <f t="shared" si="460"/>
        <v>0</v>
      </c>
      <c r="AV180" s="190">
        <f t="shared" si="460"/>
        <v>0</v>
      </c>
      <c r="AW180" s="190">
        <f t="shared" si="460"/>
        <v>0</v>
      </c>
      <c r="AX180" s="190">
        <f t="shared" si="460"/>
        <v>0</v>
      </c>
      <c r="AY180" s="190">
        <f t="shared" si="460"/>
        <v>0</v>
      </c>
      <c r="AZ180" s="190">
        <f t="shared" si="460"/>
        <v>0</v>
      </c>
      <c r="BA180" s="190">
        <f t="shared" si="460"/>
        <v>0</v>
      </c>
      <c r="BB180" s="225">
        <f t="shared" si="460"/>
        <v>0</v>
      </c>
      <c r="BC180" s="77">
        <f t="shared" ref="BC180:BL185" si="461">(0)/157.5</f>
        <v>0</v>
      </c>
      <c r="BD180" s="190">
        <f t="shared" si="461"/>
        <v>0</v>
      </c>
      <c r="BE180" s="190">
        <f t="shared" si="461"/>
        <v>0</v>
      </c>
      <c r="BF180" s="190">
        <f t="shared" si="461"/>
        <v>0</v>
      </c>
      <c r="BG180" s="190">
        <f t="shared" si="461"/>
        <v>0</v>
      </c>
      <c r="BH180" s="190">
        <f t="shared" si="461"/>
        <v>0</v>
      </c>
      <c r="BI180" s="190">
        <f t="shared" si="461"/>
        <v>0</v>
      </c>
      <c r="BJ180" s="190">
        <f t="shared" si="461"/>
        <v>0</v>
      </c>
      <c r="BK180" s="190">
        <f t="shared" si="461"/>
        <v>0</v>
      </c>
      <c r="BL180" s="190">
        <f t="shared" si="461"/>
        <v>0</v>
      </c>
      <c r="BM180" s="77">
        <f t="shared" ref="BM180:BV185" si="462">(0)/165</f>
        <v>0</v>
      </c>
      <c r="BN180" s="190">
        <f t="shared" si="462"/>
        <v>0</v>
      </c>
      <c r="BO180" s="190">
        <f t="shared" si="462"/>
        <v>0</v>
      </c>
      <c r="BP180" s="190">
        <f t="shared" si="462"/>
        <v>0</v>
      </c>
      <c r="BQ180" s="190">
        <f t="shared" si="462"/>
        <v>0</v>
      </c>
      <c r="BR180" s="190">
        <f t="shared" si="462"/>
        <v>0</v>
      </c>
      <c r="BS180" s="190">
        <f t="shared" si="462"/>
        <v>0</v>
      </c>
      <c r="BT180" s="190">
        <f t="shared" si="462"/>
        <v>0</v>
      </c>
      <c r="BU180" s="190">
        <f t="shared" si="462"/>
        <v>0</v>
      </c>
      <c r="BV180" s="190">
        <f t="shared" si="462"/>
        <v>0</v>
      </c>
      <c r="BW180" s="23">
        <f t="shared" ref="BW180:CB181" si="463">(0)/150</f>
        <v>0</v>
      </c>
      <c r="BX180" s="190">
        <f t="shared" si="463"/>
        <v>0</v>
      </c>
      <c r="BY180" s="190">
        <f t="shared" si="463"/>
        <v>0</v>
      </c>
      <c r="BZ180" s="190">
        <f t="shared" si="463"/>
        <v>0</v>
      </c>
      <c r="CA180" s="190">
        <f t="shared" si="463"/>
        <v>0</v>
      </c>
      <c r="CB180" s="190">
        <f t="shared" si="463"/>
        <v>0</v>
      </c>
      <c r="CC180" s="190">
        <f t="shared" ref="CC180:CC185" si="464">(0)/150</f>
        <v>0</v>
      </c>
      <c r="CD180" s="190">
        <f t="shared" ref="CD180:CF185" si="465">(0)/150</f>
        <v>0</v>
      </c>
      <c r="CE180" s="190">
        <f t="shared" si="465"/>
        <v>0</v>
      </c>
      <c r="CF180" s="190">
        <f t="shared" si="465"/>
        <v>0</v>
      </c>
      <c r="CG180" s="23">
        <f>(0)/135</f>
        <v>0</v>
      </c>
      <c r="CH180" s="190">
        <f>(0)/135</f>
        <v>0</v>
      </c>
      <c r="CI180" s="190">
        <f t="shared" ref="CI180:CI185" si="466">(0)/135</f>
        <v>0</v>
      </c>
      <c r="CJ180" s="190">
        <f t="shared" ref="CJ180:CP185" si="467">(0)/135</f>
        <v>0</v>
      </c>
      <c r="CK180" s="190">
        <f t="shared" si="467"/>
        <v>0</v>
      </c>
      <c r="CL180" s="190">
        <f t="shared" si="467"/>
        <v>0</v>
      </c>
      <c r="CM180" s="190">
        <f t="shared" si="467"/>
        <v>0</v>
      </c>
      <c r="CN180" s="190">
        <f t="shared" si="467"/>
        <v>0</v>
      </c>
      <c r="CO180" s="190">
        <f t="shared" si="467"/>
        <v>0</v>
      </c>
      <c r="CP180" s="190">
        <f t="shared" si="467"/>
        <v>0</v>
      </c>
      <c r="CQ180" s="23">
        <f t="shared" ref="CQ180:CW185" si="468">(0)/150</f>
        <v>0</v>
      </c>
      <c r="CR180" s="190">
        <f t="shared" si="468"/>
        <v>0</v>
      </c>
      <c r="CS180" s="190">
        <f t="shared" si="468"/>
        <v>0</v>
      </c>
      <c r="CT180" s="190">
        <f t="shared" si="468"/>
        <v>0</v>
      </c>
      <c r="CU180" s="190">
        <f t="shared" si="468"/>
        <v>0</v>
      </c>
      <c r="CV180" s="190">
        <f t="shared" si="468"/>
        <v>0</v>
      </c>
      <c r="CW180" s="190">
        <f t="shared" si="468"/>
        <v>0</v>
      </c>
      <c r="CX180" s="77">
        <f t="shared" ref="CX180:CX185" si="469">(0)/157.5</f>
        <v>0</v>
      </c>
      <c r="CY180" s="190">
        <f t="shared" ref="CY180:DD185" si="470">(0)/157.5</f>
        <v>0</v>
      </c>
      <c r="CZ180" s="190">
        <f t="shared" si="470"/>
        <v>0</v>
      </c>
      <c r="DA180" s="190">
        <f t="shared" si="470"/>
        <v>0</v>
      </c>
      <c r="DB180" s="190">
        <f t="shared" si="470"/>
        <v>0</v>
      </c>
      <c r="DC180" s="190">
        <f t="shared" si="470"/>
        <v>0</v>
      </c>
      <c r="DD180" s="190">
        <f t="shared" si="470"/>
        <v>0</v>
      </c>
      <c r="DE180" s="23">
        <f t="shared" ref="DE180:DK185" si="471">(0)/127.5</f>
        <v>0</v>
      </c>
      <c r="DF180" s="190">
        <f t="shared" si="471"/>
        <v>0</v>
      </c>
      <c r="DG180" s="190">
        <f t="shared" si="471"/>
        <v>0</v>
      </c>
      <c r="DH180" s="190">
        <f t="shared" si="471"/>
        <v>0</v>
      </c>
      <c r="DI180" s="190">
        <f t="shared" si="471"/>
        <v>0</v>
      </c>
      <c r="DJ180" s="190">
        <f t="shared" si="471"/>
        <v>0</v>
      </c>
      <c r="DK180" s="190">
        <f t="shared" si="471"/>
        <v>0</v>
      </c>
      <c r="DL180" s="23">
        <f t="shared" ref="DL180:DP180" si="472">(0)/142.5</f>
        <v>0</v>
      </c>
      <c r="DM180" s="190">
        <f t="shared" si="472"/>
        <v>0</v>
      </c>
      <c r="DN180" s="190">
        <f t="shared" si="472"/>
        <v>0</v>
      </c>
      <c r="DO180" s="190">
        <f t="shared" si="472"/>
        <v>0</v>
      </c>
      <c r="DP180" s="190">
        <f t="shared" si="472"/>
        <v>0</v>
      </c>
      <c r="DQ180" s="190">
        <f t="shared" si="420"/>
        <v>0</v>
      </c>
      <c r="DR180" s="190">
        <f t="shared" si="420"/>
        <v>0</v>
      </c>
      <c r="DS180" s="190">
        <f t="shared" si="420"/>
        <v>0</v>
      </c>
      <c r="DT180" s="54"/>
    </row>
    <row r="181" spans="1:125" ht="20.100000000000001" customHeight="1" x14ac:dyDescent="0.4">
      <c r="A181" s="522"/>
      <c r="B181" s="522"/>
      <c r="C181" s="522"/>
      <c r="D181" s="469"/>
      <c r="E181" s="469"/>
      <c r="F181" s="469"/>
      <c r="G181" s="472"/>
      <c r="H181" s="492"/>
      <c r="I181" s="497"/>
      <c r="J181" s="18"/>
      <c r="K181" s="19"/>
      <c r="L181" s="19"/>
      <c r="M181" s="432"/>
      <c r="N181" s="11" t="s">
        <v>90</v>
      </c>
      <c r="O181" s="209">
        <f t="shared" si="408"/>
        <v>0</v>
      </c>
      <c r="P181" s="209">
        <f t="shared" si="408"/>
        <v>0</v>
      </c>
      <c r="Q181" s="209">
        <f t="shared" si="408"/>
        <v>0</v>
      </c>
      <c r="R181" s="209">
        <f t="shared" si="408"/>
        <v>0</v>
      </c>
      <c r="S181" s="209">
        <f t="shared" si="408"/>
        <v>0</v>
      </c>
      <c r="T181" s="209">
        <f t="shared" si="408"/>
        <v>0</v>
      </c>
      <c r="U181" s="209">
        <f t="shared" si="408"/>
        <v>0</v>
      </c>
      <c r="V181" s="209">
        <f t="shared" si="408"/>
        <v>0</v>
      </c>
      <c r="W181" s="209">
        <f t="shared" si="408"/>
        <v>0</v>
      </c>
      <c r="X181" s="53">
        <f t="shared" si="408"/>
        <v>0</v>
      </c>
      <c r="Y181" s="209">
        <f t="shared" si="458"/>
        <v>0</v>
      </c>
      <c r="Z181" s="209">
        <f t="shared" si="458"/>
        <v>0</v>
      </c>
      <c r="AA181" s="209">
        <f t="shared" si="458"/>
        <v>0</v>
      </c>
      <c r="AB181" s="209">
        <f t="shared" si="458"/>
        <v>0</v>
      </c>
      <c r="AC181" s="209">
        <f t="shared" si="458"/>
        <v>0</v>
      </c>
      <c r="AD181" s="209">
        <f t="shared" si="458"/>
        <v>0</v>
      </c>
      <c r="AE181" s="209">
        <f t="shared" si="458"/>
        <v>0</v>
      </c>
      <c r="AF181" s="209">
        <f t="shared" si="458"/>
        <v>0</v>
      </c>
      <c r="AG181" s="209">
        <f t="shared" si="458"/>
        <v>0</v>
      </c>
      <c r="AH181" s="209">
        <f t="shared" si="458"/>
        <v>0</v>
      </c>
      <c r="AI181" s="58">
        <f t="shared" si="459"/>
        <v>0</v>
      </c>
      <c r="AJ181" s="209">
        <f t="shared" si="459"/>
        <v>0</v>
      </c>
      <c r="AK181" s="209">
        <f t="shared" si="459"/>
        <v>0</v>
      </c>
      <c r="AL181" s="209">
        <f t="shared" si="459"/>
        <v>0</v>
      </c>
      <c r="AM181" s="209">
        <f t="shared" si="459"/>
        <v>0</v>
      </c>
      <c r="AN181" s="209">
        <f t="shared" si="459"/>
        <v>0</v>
      </c>
      <c r="AO181" s="209">
        <f t="shared" si="459"/>
        <v>0</v>
      </c>
      <c r="AP181" s="209">
        <f t="shared" si="459"/>
        <v>0</v>
      </c>
      <c r="AQ181" s="209">
        <f t="shared" si="459"/>
        <v>0</v>
      </c>
      <c r="AR181" s="53">
        <f t="shared" si="459"/>
        <v>0</v>
      </c>
      <c r="AS181" s="65">
        <f t="shared" si="460"/>
        <v>0</v>
      </c>
      <c r="AT181" s="210">
        <f t="shared" si="460"/>
        <v>0</v>
      </c>
      <c r="AU181" s="210">
        <f t="shared" si="460"/>
        <v>0</v>
      </c>
      <c r="AV181" s="210">
        <f t="shared" si="460"/>
        <v>0</v>
      </c>
      <c r="AW181" s="210">
        <f t="shared" si="460"/>
        <v>0</v>
      </c>
      <c r="AX181" s="210">
        <f t="shared" si="460"/>
        <v>0</v>
      </c>
      <c r="AY181" s="210">
        <f t="shared" si="460"/>
        <v>0</v>
      </c>
      <c r="AZ181" s="210">
        <f t="shared" si="460"/>
        <v>0</v>
      </c>
      <c r="BA181" s="210">
        <f t="shared" si="460"/>
        <v>0</v>
      </c>
      <c r="BB181" s="53">
        <f t="shared" si="460"/>
        <v>0</v>
      </c>
      <c r="BC181" s="58">
        <f t="shared" si="461"/>
        <v>0</v>
      </c>
      <c r="BD181" s="209">
        <f t="shared" si="461"/>
        <v>0</v>
      </c>
      <c r="BE181" s="209">
        <f t="shared" si="461"/>
        <v>0</v>
      </c>
      <c r="BF181" s="209">
        <f t="shared" si="461"/>
        <v>0</v>
      </c>
      <c r="BG181" s="209">
        <f t="shared" si="461"/>
        <v>0</v>
      </c>
      <c r="BH181" s="209">
        <f t="shared" si="461"/>
        <v>0</v>
      </c>
      <c r="BI181" s="209">
        <f t="shared" si="461"/>
        <v>0</v>
      </c>
      <c r="BJ181" s="209">
        <f t="shared" si="461"/>
        <v>0</v>
      </c>
      <c r="BK181" s="209">
        <f t="shared" si="461"/>
        <v>0</v>
      </c>
      <c r="BL181" s="209">
        <f t="shared" si="461"/>
        <v>0</v>
      </c>
      <c r="BM181" s="58">
        <f t="shared" si="462"/>
        <v>0</v>
      </c>
      <c r="BN181" s="209">
        <f t="shared" si="462"/>
        <v>0</v>
      </c>
      <c r="BO181" s="209">
        <f t="shared" si="462"/>
        <v>0</v>
      </c>
      <c r="BP181" s="209">
        <f t="shared" si="462"/>
        <v>0</v>
      </c>
      <c r="BQ181" s="209">
        <f t="shared" si="462"/>
        <v>0</v>
      </c>
      <c r="BR181" s="209">
        <f t="shared" si="462"/>
        <v>0</v>
      </c>
      <c r="BS181" s="209">
        <f t="shared" si="462"/>
        <v>0</v>
      </c>
      <c r="BT181" s="209">
        <f t="shared" si="462"/>
        <v>0</v>
      </c>
      <c r="BU181" s="209">
        <f t="shared" si="462"/>
        <v>0</v>
      </c>
      <c r="BV181" s="209">
        <f t="shared" si="462"/>
        <v>0</v>
      </c>
      <c r="BW181" s="65">
        <f t="shared" si="463"/>
        <v>0</v>
      </c>
      <c r="BX181" s="209">
        <f t="shared" si="463"/>
        <v>0</v>
      </c>
      <c r="BY181" s="209">
        <f t="shared" si="463"/>
        <v>0</v>
      </c>
      <c r="BZ181" s="209">
        <f t="shared" si="463"/>
        <v>0</v>
      </c>
      <c r="CA181" s="209">
        <f t="shared" si="463"/>
        <v>0</v>
      </c>
      <c r="CB181" s="209">
        <f t="shared" si="463"/>
        <v>0</v>
      </c>
      <c r="CC181" s="209">
        <f t="shared" si="464"/>
        <v>0</v>
      </c>
      <c r="CD181" s="209">
        <f t="shared" si="465"/>
        <v>0</v>
      </c>
      <c r="CE181" s="209">
        <f t="shared" si="465"/>
        <v>0</v>
      </c>
      <c r="CF181" s="209">
        <f t="shared" si="465"/>
        <v>0</v>
      </c>
      <c r="CG181" s="65">
        <f>(0)/135</f>
        <v>0</v>
      </c>
      <c r="CH181" s="209">
        <f>(0)/135</f>
        <v>0</v>
      </c>
      <c r="CI181" s="209">
        <f t="shared" si="466"/>
        <v>0</v>
      </c>
      <c r="CJ181" s="209">
        <f t="shared" si="467"/>
        <v>0</v>
      </c>
      <c r="CK181" s="209">
        <f t="shared" si="467"/>
        <v>0</v>
      </c>
      <c r="CL181" s="209">
        <f t="shared" si="467"/>
        <v>0</v>
      </c>
      <c r="CM181" s="209">
        <f t="shared" si="467"/>
        <v>0</v>
      </c>
      <c r="CN181" s="209">
        <f t="shared" si="467"/>
        <v>0</v>
      </c>
      <c r="CO181" s="209">
        <f t="shared" si="467"/>
        <v>0</v>
      </c>
      <c r="CP181" s="209">
        <f t="shared" si="467"/>
        <v>0</v>
      </c>
      <c r="CQ181" s="65">
        <f t="shared" si="468"/>
        <v>0</v>
      </c>
      <c r="CR181" s="209">
        <f t="shared" si="468"/>
        <v>0</v>
      </c>
      <c r="CS181" s="209">
        <f t="shared" si="468"/>
        <v>0</v>
      </c>
      <c r="CT181" s="209">
        <f t="shared" si="468"/>
        <v>0</v>
      </c>
      <c r="CU181" s="209">
        <f t="shared" si="468"/>
        <v>0</v>
      </c>
      <c r="CV181" s="209">
        <f t="shared" si="468"/>
        <v>0</v>
      </c>
      <c r="CW181" s="209">
        <f t="shared" si="468"/>
        <v>0</v>
      </c>
      <c r="CX181" s="65">
        <f t="shared" si="469"/>
        <v>0</v>
      </c>
      <c r="CY181" s="210">
        <f t="shared" si="470"/>
        <v>0</v>
      </c>
      <c r="CZ181" s="210">
        <f t="shared" si="470"/>
        <v>0</v>
      </c>
      <c r="DA181" s="210">
        <f t="shared" si="470"/>
        <v>0</v>
      </c>
      <c r="DB181" s="210">
        <f t="shared" si="470"/>
        <v>0</v>
      </c>
      <c r="DC181" s="210">
        <f t="shared" si="470"/>
        <v>0</v>
      </c>
      <c r="DD181" s="209">
        <f t="shared" si="470"/>
        <v>0</v>
      </c>
      <c r="DE181" s="65">
        <f t="shared" si="471"/>
        <v>0</v>
      </c>
      <c r="DF181" s="210">
        <f t="shared" si="471"/>
        <v>0</v>
      </c>
      <c r="DG181" s="210">
        <f t="shared" si="471"/>
        <v>0</v>
      </c>
      <c r="DH181" s="210">
        <f t="shared" si="471"/>
        <v>0</v>
      </c>
      <c r="DI181" s="210">
        <f t="shared" si="471"/>
        <v>0</v>
      </c>
      <c r="DJ181" s="210">
        <f t="shared" si="471"/>
        <v>0</v>
      </c>
      <c r="DK181" s="210">
        <f t="shared" si="471"/>
        <v>0</v>
      </c>
      <c r="DL181" s="65">
        <f t="shared" ref="DL181:DP181" si="473">0/142.5</f>
        <v>0</v>
      </c>
      <c r="DM181" s="210">
        <f t="shared" si="473"/>
        <v>0</v>
      </c>
      <c r="DN181" s="210">
        <f t="shared" si="473"/>
        <v>0</v>
      </c>
      <c r="DO181" s="210">
        <f t="shared" si="473"/>
        <v>0</v>
      </c>
      <c r="DP181" s="210">
        <f t="shared" si="473"/>
        <v>0</v>
      </c>
      <c r="DQ181" s="210">
        <f t="shared" si="420"/>
        <v>0</v>
      </c>
      <c r="DR181" s="210">
        <f t="shared" si="420"/>
        <v>0</v>
      </c>
      <c r="DS181" s="210">
        <f t="shared" si="420"/>
        <v>0</v>
      </c>
      <c r="DT181" s="201"/>
    </row>
    <row r="182" spans="1:125" ht="20.100000000000001" customHeight="1" x14ac:dyDescent="0.4">
      <c r="A182" s="521">
        <v>5</v>
      </c>
      <c r="B182" s="521" t="s">
        <v>46</v>
      </c>
      <c r="C182" s="521" t="s">
        <v>28</v>
      </c>
      <c r="D182" s="470" t="s">
        <v>20</v>
      </c>
      <c r="E182" s="468" t="s">
        <v>26</v>
      </c>
      <c r="F182" s="470" t="s">
        <v>27</v>
      </c>
      <c r="G182" s="516" t="s">
        <v>39</v>
      </c>
      <c r="H182" s="491">
        <f t="shared" ref="H182" si="474">SUM(DE182:DK182)</f>
        <v>0.4</v>
      </c>
      <c r="I182" s="496">
        <f t="shared" ref="I182" si="475">SUM(DE183:DK183)</f>
        <v>0.30588235294117649</v>
      </c>
      <c r="J182" s="16"/>
      <c r="K182" s="17"/>
      <c r="L182" s="17"/>
      <c r="M182" s="431" t="s">
        <v>86</v>
      </c>
      <c r="N182" s="21" t="s">
        <v>89</v>
      </c>
      <c r="O182" s="190">
        <f>(72)/120</f>
        <v>0.6</v>
      </c>
      <c r="P182" s="190">
        <f t="shared" si="408"/>
        <v>0</v>
      </c>
      <c r="Q182" s="190">
        <f t="shared" si="408"/>
        <v>0</v>
      </c>
      <c r="R182" s="190">
        <f t="shared" si="408"/>
        <v>0</v>
      </c>
      <c r="S182" s="190">
        <f t="shared" si="408"/>
        <v>0</v>
      </c>
      <c r="T182" s="190">
        <f t="shared" si="408"/>
        <v>0</v>
      </c>
      <c r="U182" s="190">
        <f t="shared" si="408"/>
        <v>0</v>
      </c>
      <c r="V182" s="190">
        <f t="shared" si="408"/>
        <v>0</v>
      </c>
      <c r="W182" s="190">
        <f t="shared" si="408"/>
        <v>0</v>
      </c>
      <c r="X182" s="86">
        <f t="shared" si="408"/>
        <v>0</v>
      </c>
      <c r="Y182" s="190">
        <f>((5*21)-40)/157.5</f>
        <v>0.41269841269841268</v>
      </c>
      <c r="Z182" s="190">
        <f t="shared" si="458"/>
        <v>0</v>
      </c>
      <c r="AA182" s="190">
        <f t="shared" si="458"/>
        <v>0</v>
      </c>
      <c r="AB182" s="190">
        <f t="shared" si="458"/>
        <v>0</v>
      </c>
      <c r="AC182" s="190">
        <f t="shared" si="458"/>
        <v>0</v>
      </c>
      <c r="AD182" s="190">
        <f t="shared" si="458"/>
        <v>0</v>
      </c>
      <c r="AE182" s="190">
        <f t="shared" si="458"/>
        <v>0</v>
      </c>
      <c r="AF182" s="190">
        <f t="shared" si="458"/>
        <v>0</v>
      </c>
      <c r="AG182" s="190">
        <f t="shared" si="458"/>
        <v>0</v>
      </c>
      <c r="AH182" s="190">
        <f t="shared" si="458"/>
        <v>0</v>
      </c>
      <c r="AI182" s="77">
        <f>(5.7*21)/157.5</f>
        <v>0.76</v>
      </c>
      <c r="AJ182" s="190">
        <f t="shared" si="459"/>
        <v>0</v>
      </c>
      <c r="AK182" s="190">
        <f t="shared" si="459"/>
        <v>0</v>
      </c>
      <c r="AL182" s="190">
        <f t="shared" si="459"/>
        <v>0</v>
      </c>
      <c r="AM182" s="190">
        <f t="shared" si="459"/>
        <v>0</v>
      </c>
      <c r="AN182" s="190">
        <f t="shared" si="459"/>
        <v>0</v>
      </c>
      <c r="AO182" s="190">
        <f t="shared" si="459"/>
        <v>0</v>
      </c>
      <c r="AP182" s="190">
        <f t="shared" si="459"/>
        <v>0</v>
      </c>
      <c r="AQ182" s="190">
        <f t="shared" si="459"/>
        <v>0</v>
      </c>
      <c r="AR182" s="225">
        <f t="shared" si="459"/>
        <v>0</v>
      </c>
      <c r="AS182" s="23">
        <f>(6*21)/165</f>
        <v>0.76363636363636367</v>
      </c>
      <c r="AT182" s="190">
        <f>(14)/165</f>
        <v>8.4848484848484854E-2</v>
      </c>
      <c r="AU182" s="190">
        <f t="shared" si="460"/>
        <v>0</v>
      </c>
      <c r="AV182" s="190">
        <f t="shared" si="460"/>
        <v>0</v>
      </c>
      <c r="AW182" s="190">
        <f t="shared" si="460"/>
        <v>0</v>
      </c>
      <c r="AX182" s="190">
        <f t="shared" si="460"/>
        <v>0</v>
      </c>
      <c r="AY182" s="190">
        <f t="shared" si="460"/>
        <v>0</v>
      </c>
      <c r="AZ182" s="190">
        <f t="shared" si="460"/>
        <v>0</v>
      </c>
      <c r="BA182" s="190">
        <f t="shared" si="460"/>
        <v>0</v>
      </c>
      <c r="BB182" s="225">
        <f t="shared" si="460"/>
        <v>0</v>
      </c>
      <c r="BC182" s="77">
        <f>(4.29*21)/157.5</f>
        <v>0.57200000000000006</v>
      </c>
      <c r="BD182" s="190">
        <f t="shared" si="461"/>
        <v>0</v>
      </c>
      <c r="BE182" s="190">
        <f t="shared" si="461"/>
        <v>0</v>
      </c>
      <c r="BF182" s="190">
        <f t="shared" si="461"/>
        <v>0</v>
      </c>
      <c r="BG182" s="190">
        <f>(0)/157.5</f>
        <v>0</v>
      </c>
      <c r="BH182" s="190">
        <f t="shared" si="461"/>
        <v>0</v>
      </c>
      <c r="BI182" s="190">
        <f t="shared" si="461"/>
        <v>0</v>
      </c>
      <c r="BJ182" s="190">
        <f t="shared" si="461"/>
        <v>0</v>
      </c>
      <c r="BK182" s="190">
        <f t="shared" si="461"/>
        <v>0</v>
      </c>
      <c r="BL182" s="190">
        <f t="shared" si="461"/>
        <v>0</v>
      </c>
      <c r="BM182" s="77">
        <f>(1*22)/165</f>
        <v>0.13333333333333333</v>
      </c>
      <c r="BN182" s="190">
        <f t="shared" si="462"/>
        <v>0</v>
      </c>
      <c r="BO182" s="190">
        <f t="shared" si="462"/>
        <v>0</v>
      </c>
      <c r="BP182" s="190">
        <f t="shared" si="462"/>
        <v>0</v>
      </c>
      <c r="BQ182" s="190">
        <f t="shared" si="462"/>
        <v>0</v>
      </c>
      <c r="BR182" s="190">
        <f t="shared" si="462"/>
        <v>0</v>
      </c>
      <c r="BS182" s="190">
        <f t="shared" si="462"/>
        <v>0</v>
      </c>
      <c r="BT182" s="190">
        <f t="shared" si="462"/>
        <v>0</v>
      </c>
      <c r="BU182" s="190">
        <f t="shared" si="462"/>
        <v>0</v>
      </c>
      <c r="BV182" s="190">
        <f t="shared" si="462"/>
        <v>0</v>
      </c>
      <c r="BW182" s="23">
        <f>(2*22)/150</f>
        <v>0.29333333333333333</v>
      </c>
      <c r="BX182" s="190">
        <f t="shared" ref="BX182:CB185" si="476">(0)/150</f>
        <v>0</v>
      </c>
      <c r="BY182" s="190">
        <f t="shared" si="476"/>
        <v>0</v>
      </c>
      <c r="BZ182" s="190">
        <f t="shared" si="476"/>
        <v>0</v>
      </c>
      <c r="CA182" s="190">
        <f t="shared" si="476"/>
        <v>0</v>
      </c>
      <c r="CB182" s="190">
        <f t="shared" si="476"/>
        <v>0</v>
      </c>
      <c r="CC182" s="190">
        <f t="shared" si="464"/>
        <v>0</v>
      </c>
      <c r="CD182" s="190">
        <f t="shared" si="465"/>
        <v>0</v>
      </c>
      <c r="CE182" s="190">
        <f t="shared" si="465"/>
        <v>0</v>
      </c>
      <c r="CF182" s="190">
        <f t="shared" si="465"/>
        <v>0</v>
      </c>
      <c r="CG182" s="23">
        <f>(5*18)/135</f>
        <v>0.66666666666666663</v>
      </c>
      <c r="CH182" s="190">
        <f>(0)/135</f>
        <v>0</v>
      </c>
      <c r="CI182" s="190">
        <f t="shared" si="466"/>
        <v>0</v>
      </c>
      <c r="CJ182" s="190">
        <f t="shared" si="467"/>
        <v>0</v>
      </c>
      <c r="CK182" s="190">
        <f t="shared" si="467"/>
        <v>0</v>
      </c>
      <c r="CL182" s="190">
        <f t="shared" si="467"/>
        <v>0</v>
      </c>
      <c r="CM182" s="190">
        <f t="shared" si="467"/>
        <v>0</v>
      </c>
      <c r="CN182" s="190">
        <f t="shared" si="467"/>
        <v>0</v>
      </c>
      <c r="CO182" s="190">
        <f t="shared" si="467"/>
        <v>0</v>
      </c>
      <c r="CP182" s="190">
        <f t="shared" si="467"/>
        <v>0</v>
      </c>
      <c r="CQ182" s="23">
        <f>(38)/150</f>
        <v>0.25333333333333335</v>
      </c>
      <c r="CR182" s="190">
        <f>(2)/150</f>
        <v>1.3333333333333334E-2</v>
      </c>
      <c r="CS182" s="190">
        <f t="shared" si="468"/>
        <v>0</v>
      </c>
      <c r="CT182" s="190">
        <f t="shared" si="468"/>
        <v>0</v>
      </c>
      <c r="CU182" s="190">
        <f t="shared" si="468"/>
        <v>0</v>
      </c>
      <c r="CV182" s="190">
        <f t="shared" si="468"/>
        <v>0</v>
      </c>
      <c r="CW182" s="190">
        <f t="shared" si="468"/>
        <v>0</v>
      </c>
      <c r="CX182" s="77">
        <f>(2.45*21)/157.5</f>
        <v>0.32666666666666666</v>
      </c>
      <c r="CY182" s="190">
        <f t="shared" si="470"/>
        <v>0</v>
      </c>
      <c r="CZ182" s="190">
        <f t="shared" si="470"/>
        <v>0</v>
      </c>
      <c r="DA182" s="190">
        <f t="shared" si="470"/>
        <v>0</v>
      </c>
      <c r="DB182" s="190">
        <f t="shared" si="470"/>
        <v>0</v>
      </c>
      <c r="DC182" s="190">
        <f t="shared" si="470"/>
        <v>0</v>
      </c>
      <c r="DD182" s="190">
        <f t="shared" si="470"/>
        <v>0</v>
      </c>
      <c r="DE182" s="23">
        <f>(3*17)/127.5</f>
        <v>0.4</v>
      </c>
      <c r="DF182" s="190">
        <f t="shared" si="471"/>
        <v>0</v>
      </c>
      <c r="DG182" s="190">
        <f t="shared" si="471"/>
        <v>0</v>
      </c>
      <c r="DH182" s="190">
        <f t="shared" si="471"/>
        <v>0</v>
      </c>
      <c r="DI182" s="190">
        <f t="shared" si="471"/>
        <v>0</v>
      </c>
      <c r="DJ182" s="190">
        <f t="shared" si="471"/>
        <v>0</v>
      </c>
      <c r="DK182" s="190">
        <f t="shared" si="471"/>
        <v>0</v>
      </c>
      <c r="DL182" s="23">
        <f t="shared" ref="DL182:DP182" si="477">(0)/142.5</f>
        <v>0</v>
      </c>
      <c r="DM182" s="190">
        <f t="shared" si="477"/>
        <v>0</v>
      </c>
      <c r="DN182" s="190">
        <f t="shared" si="477"/>
        <v>0</v>
      </c>
      <c r="DO182" s="190">
        <f t="shared" si="477"/>
        <v>0</v>
      </c>
      <c r="DP182" s="190">
        <f t="shared" si="477"/>
        <v>0</v>
      </c>
      <c r="DQ182" s="190">
        <f t="shared" si="420"/>
        <v>0</v>
      </c>
      <c r="DR182" s="190">
        <f t="shared" si="420"/>
        <v>0</v>
      </c>
      <c r="DS182" s="190">
        <f t="shared" si="420"/>
        <v>0</v>
      </c>
      <c r="DT182" s="54"/>
    </row>
    <row r="183" spans="1:125" ht="20.100000000000001" customHeight="1" x14ac:dyDescent="0.4">
      <c r="A183" s="522"/>
      <c r="B183" s="522"/>
      <c r="C183" s="522"/>
      <c r="D183" s="469"/>
      <c r="E183" s="469"/>
      <c r="F183" s="469"/>
      <c r="G183" s="517"/>
      <c r="H183" s="492"/>
      <c r="I183" s="497"/>
      <c r="J183" s="18"/>
      <c r="K183" s="19"/>
      <c r="L183" s="19"/>
      <c r="M183" s="432"/>
      <c r="N183" s="11" t="s">
        <v>90</v>
      </c>
      <c r="O183" s="209">
        <f>(14+34.5+13.5+14+34)/120</f>
        <v>0.91666666666666663</v>
      </c>
      <c r="P183" s="209">
        <f>(0+1)/120</f>
        <v>8.3333333333333332E-3</v>
      </c>
      <c r="Q183" s="209">
        <f t="shared" si="408"/>
        <v>0</v>
      </c>
      <c r="R183" s="209">
        <f t="shared" si="408"/>
        <v>0</v>
      </c>
      <c r="S183" s="209">
        <f t="shared" si="408"/>
        <v>0</v>
      </c>
      <c r="T183" s="209">
        <f t="shared" si="408"/>
        <v>0</v>
      </c>
      <c r="U183" s="209">
        <f t="shared" si="408"/>
        <v>0</v>
      </c>
      <c r="V183" s="209">
        <f t="shared" si="408"/>
        <v>0</v>
      </c>
      <c r="W183" s="209">
        <f t="shared" si="408"/>
        <v>0</v>
      </c>
      <c r="X183" s="53">
        <f t="shared" si="408"/>
        <v>0</v>
      </c>
      <c r="Y183" s="209">
        <f>(28+34.5+25+30+2)/157.5</f>
        <v>0.7587301587301587</v>
      </c>
      <c r="Z183" s="209">
        <f t="shared" si="458"/>
        <v>0</v>
      </c>
      <c r="AA183" s="209">
        <f t="shared" si="458"/>
        <v>0</v>
      </c>
      <c r="AB183" s="209">
        <f t="shared" si="458"/>
        <v>0</v>
      </c>
      <c r="AC183" s="209">
        <f t="shared" si="458"/>
        <v>0</v>
      </c>
      <c r="AD183" s="209">
        <f t="shared" si="458"/>
        <v>0</v>
      </c>
      <c r="AE183" s="209">
        <f t="shared" si="458"/>
        <v>0</v>
      </c>
      <c r="AF183" s="209">
        <f t="shared" si="458"/>
        <v>0</v>
      </c>
      <c r="AG183" s="209">
        <f t="shared" si="458"/>
        <v>0</v>
      </c>
      <c r="AH183" s="209">
        <f t="shared" si="458"/>
        <v>0</v>
      </c>
      <c r="AI183" s="58">
        <f>(18+26.5+30+29.5+11.5)/157.5</f>
        <v>0.73333333333333328</v>
      </c>
      <c r="AJ183" s="209">
        <f t="shared" si="459"/>
        <v>0</v>
      </c>
      <c r="AK183" s="209">
        <f t="shared" si="459"/>
        <v>0</v>
      </c>
      <c r="AL183" s="209">
        <f t="shared" si="459"/>
        <v>0</v>
      </c>
      <c r="AM183" s="209">
        <f t="shared" si="459"/>
        <v>0</v>
      </c>
      <c r="AN183" s="209">
        <f t="shared" si="459"/>
        <v>0</v>
      </c>
      <c r="AO183" s="209">
        <f t="shared" si="459"/>
        <v>0</v>
      </c>
      <c r="AP183" s="209">
        <f t="shared" si="459"/>
        <v>0</v>
      </c>
      <c r="AQ183" s="209">
        <f t="shared" si="459"/>
        <v>0</v>
      </c>
      <c r="AR183" s="53">
        <f t="shared" si="459"/>
        <v>0</v>
      </c>
      <c r="AS183" s="65">
        <f>(12+23.5+29.5+28.5+31.5+6)/165</f>
        <v>0.79393939393939394</v>
      </c>
      <c r="AT183" s="210">
        <f>(0+1.5)/165</f>
        <v>9.0909090909090905E-3</v>
      </c>
      <c r="AU183" s="210">
        <f t="shared" si="460"/>
        <v>0</v>
      </c>
      <c r="AV183" s="210">
        <f t="shared" si="460"/>
        <v>0</v>
      </c>
      <c r="AW183" s="210">
        <f t="shared" si="460"/>
        <v>0</v>
      </c>
      <c r="AX183" s="210">
        <f t="shared" si="460"/>
        <v>0</v>
      </c>
      <c r="AY183" s="210">
        <f t="shared" si="460"/>
        <v>0</v>
      </c>
      <c r="AZ183" s="210">
        <f t="shared" si="460"/>
        <v>0</v>
      </c>
      <c r="BA183" s="210">
        <f t="shared" si="460"/>
        <v>0</v>
      </c>
      <c r="BB183" s="53">
        <f t="shared" si="460"/>
        <v>0</v>
      </c>
      <c r="BC183" s="58">
        <f>(27.5+24.5+24+14+3)/157.5</f>
        <v>0.59047619047619049</v>
      </c>
      <c r="BD183" s="209">
        <f>(0+2)/157.5</f>
        <v>1.2698412698412698E-2</v>
      </c>
      <c r="BE183" s="209">
        <f t="shared" si="461"/>
        <v>0</v>
      </c>
      <c r="BF183" s="209">
        <f t="shared" si="461"/>
        <v>0</v>
      </c>
      <c r="BG183" s="209">
        <f>(1)/157.5</f>
        <v>6.3492063492063492E-3</v>
      </c>
      <c r="BH183" s="209">
        <f t="shared" si="461"/>
        <v>0</v>
      </c>
      <c r="BI183" s="209">
        <f t="shared" si="461"/>
        <v>0</v>
      </c>
      <c r="BJ183" s="209">
        <f t="shared" si="461"/>
        <v>0</v>
      </c>
      <c r="BK183" s="209">
        <f t="shared" si="461"/>
        <v>0</v>
      </c>
      <c r="BL183" s="209">
        <f t="shared" si="461"/>
        <v>0</v>
      </c>
      <c r="BM183" s="58">
        <f>(8.75+12+9+3.5+9)/165</f>
        <v>0.25606060606060604</v>
      </c>
      <c r="BN183" s="209">
        <f>(1+1+4)/165</f>
        <v>3.6363636363636362E-2</v>
      </c>
      <c r="BO183" s="209">
        <f t="shared" si="462"/>
        <v>0</v>
      </c>
      <c r="BP183" s="209">
        <f t="shared" si="462"/>
        <v>0</v>
      </c>
      <c r="BQ183" s="209">
        <f>(5+3)/165</f>
        <v>4.8484848484848485E-2</v>
      </c>
      <c r="BR183" s="209">
        <f>(1+0.5)/165</f>
        <v>9.0909090909090905E-3</v>
      </c>
      <c r="BS183" s="209">
        <f t="shared" si="462"/>
        <v>0</v>
      </c>
      <c r="BT183" s="209">
        <f t="shared" si="462"/>
        <v>0</v>
      </c>
      <c r="BU183" s="209">
        <f t="shared" si="462"/>
        <v>0</v>
      </c>
      <c r="BV183" s="209">
        <f t="shared" si="462"/>
        <v>0</v>
      </c>
      <c r="BW183" s="65">
        <f>(6+13+16.5+10.5+14.5+4.5)/150</f>
        <v>0.43333333333333335</v>
      </c>
      <c r="BX183" s="209">
        <f>(0+2)/150</f>
        <v>1.3333333333333334E-2</v>
      </c>
      <c r="BY183" s="209">
        <f t="shared" si="476"/>
        <v>0</v>
      </c>
      <c r="BZ183" s="209">
        <f t="shared" si="476"/>
        <v>0</v>
      </c>
      <c r="CA183" s="209">
        <f t="shared" si="476"/>
        <v>0</v>
      </c>
      <c r="CB183" s="209">
        <f t="shared" si="476"/>
        <v>0</v>
      </c>
      <c r="CC183" s="209">
        <f t="shared" si="464"/>
        <v>0</v>
      </c>
      <c r="CD183" s="209">
        <f t="shared" si="465"/>
        <v>0</v>
      </c>
      <c r="CE183" s="209">
        <f t="shared" si="465"/>
        <v>0</v>
      </c>
      <c r="CF183" s="209">
        <f t="shared" si="465"/>
        <v>0</v>
      </c>
      <c r="CG183" s="65">
        <f>(7+18.5+10.5+10.5+6.5)/135</f>
        <v>0.3925925925925926</v>
      </c>
      <c r="CH183" s="209">
        <f>(0+4+3)/135</f>
        <v>5.185185185185185E-2</v>
      </c>
      <c r="CI183" s="209">
        <f t="shared" si="466"/>
        <v>0</v>
      </c>
      <c r="CJ183" s="209">
        <f t="shared" si="467"/>
        <v>0</v>
      </c>
      <c r="CK183" s="209">
        <f t="shared" si="467"/>
        <v>0</v>
      </c>
      <c r="CL183" s="209">
        <f t="shared" si="467"/>
        <v>0</v>
      </c>
      <c r="CM183" s="209">
        <f t="shared" si="467"/>
        <v>0</v>
      </c>
      <c r="CN183" s="209">
        <f t="shared" si="467"/>
        <v>0</v>
      </c>
      <c r="CO183" s="209">
        <f t="shared" si="467"/>
        <v>0</v>
      </c>
      <c r="CP183" s="209">
        <f t="shared" si="467"/>
        <v>0</v>
      </c>
      <c r="CQ183" s="65">
        <f>(3.5+14+8.5+1+9)/150</f>
        <v>0.24</v>
      </c>
      <c r="CR183" s="209">
        <f>(1)/150</f>
        <v>6.6666666666666671E-3</v>
      </c>
      <c r="CS183" s="209">
        <f t="shared" si="468"/>
        <v>0</v>
      </c>
      <c r="CT183" s="209">
        <f t="shared" si="468"/>
        <v>0</v>
      </c>
      <c r="CU183" s="209">
        <f t="shared" si="468"/>
        <v>0</v>
      </c>
      <c r="CV183" s="209">
        <f t="shared" si="468"/>
        <v>0</v>
      </c>
      <c r="CW183" s="209">
        <f t="shared" si="468"/>
        <v>0</v>
      </c>
      <c r="CX183" s="65">
        <f>(14+10+2+2+13+8.5+2)/157.5</f>
        <v>0.32698412698412699</v>
      </c>
      <c r="CY183" s="210">
        <f>(1.5)/157.5</f>
        <v>9.5238095238095247E-3</v>
      </c>
      <c r="CZ183" s="210">
        <f t="shared" si="470"/>
        <v>0</v>
      </c>
      <c r="DA183" s="210">
        <f t="shared" si="470"/>
        <v>0</v>
      </c>
      <c r="DB183" s="210">
        <f t="shared" si="470"/>
        <v>0</v>
      </c>
      <c r="DC183" s="210">
        <f t="shared" si="470"/>
        <v>0</v>
      </c>
      <c r="DD183" s="209">
        <f t="shared" si="470"/>
        <v>0</v>
      </c>
      <c r="DE183" s="65">
        <f>(8+15+1.5+4+9+1.5)/127.5</f>
        <v>0.30588235294117649</v>
      </c>
      <c r="DF183" s="210">
        <f t="shared" si="471"/>
        <v>0</v>
      </c>
      <c r="DG183" s="210">
        <f t="shared" si="471"/>
        <v>0</v>
      </c>
      <c r="DH183" s="210">
        <f t="shared" si="471"/>
        <v>0</v>
      </c>
      <c r="DI183" s="210">
        <f t="shared" si="471"/>
        <v>0</v>
      </c>
      <c r="DJ183" s="210">
        <f t="shared" si="471"/>
        <v>0</v>
      </c>
      <c r="DK183" s="210">
        <f t="shared" si="471"/>
        <v>0</v>
      </c>
      <c r="DL183" s="65">
        <f t="shared" ref="DL183:DP183" si="478">0/142.5</f>
        <v>0</v>
      </c>
      <c r="DM183" s="210">
        <f t="shared" si="478"/>
        <v>0</v>
      </c>
      <c r="DN183" s="210">
        <f t="shared" si="478"/>
        <v>0</v>
      </c>
      <c r="DO183" s="210">
        <f t="shared" si="478"/>
        <v>0</v>
      </c>
      <c r="DP183" s="210">
        <f t="shared" si="478"/>
        <v>0</v>
      </c>
      <c r="DQ183" s="210">
        <f t="shared" si="420"/>
        <v>0</v>
      </c>
      <c r="DR183" s="210">
        <f t="shared" si="420"/>
        <v>0</v>
      </c>
      <c r="DS183" s="210">
        <f t="shared" si="420"/>
        <v>0</v>
      </c>
      <c r="DT183" s="201"/>
    </row>
    <row r="184" spans="1:125" ht="20.100000000000001" customHeight="1" x14ac:dyDescent="0.4">
      <c r="A184" s="521">
        <v>6</v>
      </c>
      <c r="B184" s="521" t="s">
        <v>46</v>
      </c>
      <c r="C184" s="521" t="s">
        <v>28</v>
      </c>
      <c r="D184" s="470" t="s">
        <v>20</v>
      </c>
      <c r="E184" s="468" t="s">
        <v>42</v>
      </c>
      <c r="F184" s="470" t="s">
        <v>27</v>
      </c>
      <c r="G184" s="516" t="s">
        <v>41</v>
      </c>
      <c r="H184" s="491">
        <f t="shared" ref="H184" si="479">SUM(DE184:DK184)</f>
        <v>0</v>
      </c>
      <c r="I184" s="496">
        <f t="shared" ref="I184" si="480">SUM(DE185:DK185)</f>
        <v>0</v>
      </c>
      <c r="J184" s="16"/>
      <c r="K184" s="17"/>
      <c r="L184" s="17"/>
      <c r="M184" s="431"/>
      <c r="N184" s="10" t="s">
        <v>89</v>
      </c>
      <c r="O184" s="190">
        <f t="shared" si="408"/>
        <v>0</v>
      </c>
      <c r="P184" s="190">
        <f>(0)/120</f>
        <v>0</v>
      </c>
      <c r="Q184" s="190">
        <f t="shared" si="408"/>
        <v>0</v>
      </c>
      <c r="R184" s="190">
        <f t="shared" si="408"/>
        <v>0</v>
      </c>
      <c r="S184" s="190">
        <f t="shared" si="408"/>
        <v>0</v>
      </c>
      <c r="T184" s="190">
        <f t="shared" si="408"/>
        <v>0</v>
      </c>
      <c r="U184" s="190">
        <f t="shared" si="408"/>
        <v>0</v>
      </c>
      <c r="V184" s="190">
        <f t="shared" si="408"/>
        <v>0</v>
      </c>
      <c r="W184" s="190">
        <f t="shared" si="408"/>
        <v>0</v>
      </c>
      <c r="X184" s="86">
        <f t="shared" si="408"/>
        <v>0</v>
      </c>
      <c r="Y184" s="190">
        <f t="shared" si="458"/>
        <v>0</v>
      </c>
      <c r="Z184" s="190">
        <f t="shared" si="458"/>
        <v>0</v>
      </c>
      <c r="AA184" s="190">
        <f t="shared" si="458"/>
        <v>0</v>
      </c>
      <c r="AB184" s="190">
        <f t="shared" si="458"/>
        <v>0</v>
      </c>
      <c r="AC184" s="190">
        <f t="shared" si="458"/>
        <v>0</v>
      </c>
      <c r="AD184" s="190">
        <f t="shared" si="458"/>
        <v>0</v>
      </c>
      <c r="AE184" s="190">
        <f t="shared" si="458"/>
        <v>0</v>
      </c>
      <c r="AF184" s="190">
        <f t="shared" si="458"/>
        <v>0</v>
      </c>
      <c r="AG184" s="190">
        <f t="shared" si="458"/>
        <v>0</v>
      </c>
      <c r="AH184" s="190">
        <f t="shared" si="458"/>
        <v>0</v>
      </c>
      <c r="AI184" s="77">
        <f t="shared" si="459"/>
        <v>0</v>
      </c>
      <c r="AJ184" s="190">
        <f t="shared" si="459"/>
        <v>0</v>
      </c>
      <c r="AK184" s="190">
        <f t="shared" si="459"/>
        <v>0</v>
      </c>
      <c r="AL184" s="190">
        <f t="shared" si="459"/>
        <v>0</v>
      </c>
      <c r="AM184" s="190">
        <f t="shared" si="459"/>
        <v>0</v>
      </c>
      <c r="AN184" s="190">
        <f t="shared" si="459"/>
        <v>0</v>
      </c>
      <c r="AO184" s="190">
        <f t="shared" si="459"/>
        <v>0</v>
      </c>
      <c r="AP184" s="190">
        <f t="shared" si="459"/>
        <v>0</v>
      </c>
      <c r="AQ184" s="190">
        <f t="shared" si="459"/>
        <v>0</v>
      </c>
      <c r="AR184" s="225">
        <f t="shared" si="459"/>
        <v>0</v>
      </c>
      <c r="AS184" s="23">
        <f t="shared" si="460"/>
        <v>0</v>
      </c>
      <c r="AT184" s="190">
        <f t="shared" si="460"/>
        <v>0</v>
      </c>
      <c r="AU184" s="190">
        <f t="shared" si="460"/>
        <v>0</v>
      </c>
      <c r="AV184" s="190">
        <f t="shared" si="460"/>
        <v>0</v>
      </c>
      <c r="AW184" s="190">
        <f t="shared" si="460"/>
        <v>0</v>
      </c>
      <c r="AX184" s="190">
        <f t="shared" si="460"/>
        <v>0</v>
      </c>
      <c r="AY184" s="190">
        <f t="shared" si="460"/>
        <v>0</v>
      </c>
      <c r="AZ184" s="190">
        <f t="shared" si="460"/>
        <v>0</v>
      </c>
      <c r="BA184" s="190">
        <f t="shared" si="460"/>
        <v>0</v>
      </c>
      <c r="BB184" s="225">
        <f t="shared" si="460"/>
        <v>0</v>
      </c>
      <c r="BC184" s="77">
        <f t="shared" si="461"/>
        <v>0</v>
      </c>
      <c r="BD184" s="190">
        <f t="shared" si="461"/>
        <v>0</v>
      </c>
      <c r="BE184" s="190">
        <f t="shared" si="461"/>
        <v>0</v>
      </c>
      <c r="BF184" s="190">
        <f t="shared" si="461"/>
        <v>0</v>
      </c>
      <c r="BG184" s="190">
        <f t="shared" si="461"/>
        <v>0</v>
      </c>
      <c r="BH184" s="190">
        <f t="shared" si="461"/>
        <v>0</v>
      </c>
      <c r="BI184" s="190">
        <f t="shared" si="461"/>
        <v>0</v>
      </c>
      <c r="BJ184" s="190">
        <f t="shared" si="461"/>
        <v>0</v>
      </c>
      <c r="BK184" s="190">
        <f t="shared" si="461"/>
        <v>0</v>
      </c>
      <c r="BL184" s="190">
        <f t="shared" si="461"/>
        <v>0</v>
      </c>
      <c r="BM184" s="77">
        <f t="shared" si="462"/>
        <v>0</v>
      </c>
      <c r="BN184" s="190">
        <f t="shared" si="462"/>
        <v>0</v>
      </c>
      <c r="BO184" s="190">
        <f t="shared" si="462"/>
        <v>0</v>
      </c>
      <c r="BP184" s="190">
        <f t="shared" si="462"/>
        <v>0</v>
      </c>
      <c r="BQ184" s="190">
        <f t="shared" si="462"/>
        <v>0</v>
      </c>
      <c r="BR184" s="190">
        <f t="shared" si="462"/>
        <v>0</v>
      </c>
      <c r="BS184" s="190">
        <f t="shared" si="462"/>
        <v>0</v>
      </c>
      <c r="BT184" s="190">
        <f t="shared" si="462"/>
        <v>0</v>
      </c>
      <c r="BU184" s="190">
        <f t="shared" si="462"/>
        <v>0</v>
      </c>
      <c r="BV184" s="190">
        <f t="shared" si="462"/>
        <v>0</v>
      </c>
      <c r="BW184" s="23">
        <f>(0)/150</f>
        <v>0</v>
      </c>
      <c r="BX184" s="190">
        <f t="shared" si="476"/>
        <v>0</v>
      </c>
      <c r="BY184" s="190">
        <f t="shared" si="476"/>
        <v>0</v>
      </c>
      <c r="BZ184" s="190">
        <f t="shared" si="476"/>
        <v>0</v>
      </c>
      <c r="CA184" s="190">
        <f t="shared" si="476"/>
        <v>0</v>
      </c>
      <c r="CB184" s="190">
        <f t="shared" si="476"/>
        <v>0</v>
      </c>
      <c r="CC184" s="190">
        <f t="shared" si="464"/>
        <v>0</v>
      </c>
      <c r="CD184" s="190">
        <f t="shared" si="465"/>
        <v>0</v>
      </c>
      <c r="CE184" s="190">
        <f t="shared" si="465"/>
        <v>0</v>
      </c>
      <c r="CF184" s="190">
        <f t="shared" si="465"/>
        <v>0</v>
      </c>
      <c r="CG184" s="23">
        <f>(0)/135</f>
        <v>0</v>
      </c>
      <c r="CH184" s="190">
        <f>(0)/135</f>
        <v>0</v>
      </c>
      <c r="CI184" s="190">
        <f t="shared" si="466"/>
        <v>0</v>
      </c>
      <c r="CJ184" s="190">
        <f t="shared" si="467"/>
        <v>0</v>
      </c>
      <c r="CK184" s="190">
        <f t="shared" si="467"/>
        <v>0</v>
      </c>
      <c r="CL184" s="190">
        <f t="shared" si="467"/>
        <v>0</v>
      </c>
      <c r="CM184" s="190">
        <f t="shared" si="467"/>
        <v>0</v>
      </c>
      <c r="CN184" s="190">
        <f t="shared" si="467"/>
        <v>0</v>
      </c>
      <c r="CO184" s="190">
        <f t="shared" si="467"/>
        <v>0</v>
      </c>
      <c r="CP184" s="190">
        <f t="shared" si="467"/>
        <v>0</v>
      </c>
      <c r="CQ184" s="23">
        <f t="shared" si="468"/>
        <v>0</v>
      </c>
      <c r="CR184" s="190">
        <f t="shared" si="468"/>
        <v>0</v>
      </c>
      <c r="CS184" s="190">
        <f t="shared" si="468"/>
        <v>0</v>
      </c>
      <c r="CT184" s="190">
        <f t="shared" si="468"/>
        <v>0</v>
      </c>
      <c r="CU184" s="190">
        <f t="shared" si="468"/>
        <v>0</v>
      </c>
      <c r="CV184" s="190">
        <f t="shared" si="468"/>
        <v>0</v>
      </c>
      <c r="CW184" s="190">
        <f t="shared" si="468"/>
        <v>0</v>
      </c>
      <c r="CX184" s="77">
        <f t="shared" si="469"/>
        <v>0</v>
      </c>
      <c r="CY184" s="190">
        <f t="shared" si="470"/>
        <v>0</v>
      </c>
      <c r="CZ184" s="190">
        <f t="shared" si="470"/>
        <v>0</v>
      </c>
      <c r="DA184" s="190">
        <f t="shared" si="470"/>
        <v>0</v>
      </c>
      <c r="DB184" s="190">
        <f t="shared" si="470"/>
        <v>0</v>
      </c>
      <c r="DC184" s="190">
        <f t="shared" si="470"/>
        <v>0</v>
      </c>
      <c r="DD184" s="190">
        <f t="shared" si="470"/>
        <v>0</v>
      </c>
      <c r="DE184" s="23">
        <f t="shared" si="471"/>
        <v>0</v>
      </c>
      <c r="DF184" s="190">
        <f t="shared" si="471"/>
        <v>0</v>
      </c>
      <c r="DG184" s="190">
        <f t="shared" si="471"/>
        <v>0</v>
      </c>
      <c r="DH184" s="190">
        <f t="shared" si="471"/>
        <v>0</v>
      </c>
      <c r="DI184" s="190">
        <f t="shared" si="471"/>
        <v>0</v>
      </c>
      <c r="DJ184" s="190">
        <f t="shared" si="471"/>
        <v>0</v>
      </c>
      <c r="DK184" s="190">
        <f t="shared" si="471"/>
        <v>0</v>
      </c>
      <c r="DL184" s="23">
        <f t="shared" ref="DL184:DP184" si="481">(0)/142.5</f>
        <v>0</v>
      </c>
      <c r="DM184" s="190">
        <f t="shared" si="481"/>
        <v>0</v>
      </c>
      <c r="DN184" s="190">
        <f t="shared" si="481"/>
        <v>0</v>
      </c>
      <c r="DO184" s="190">
        <f t="shared" si="481"/>
        <v>0</v>
      </c>
      <c r="DP184" s="190">
        <f t="shared" si="481"/>
        <v>0</v>
      </c>
      <c r="DQ184" s="190">
        <f t="shared" si="420"/>
        <v>0</v>
      </c>
      <c r="DR184" s="190">
        <f t="shared" si="420"/>
        <v>0</v>
      </c>
      <c r="DS184" s="190">
        <f t="shared" si="420"/>
        <v>0</v>
      </c>
      <c r="DT184" s="54"/>
    </row>
    <row r="185" spans="1:125" ht="20.100000000000001" customHeight="1" x14ac:dyDescent="0.4">
      <c r="A185" s="522"/>
      <c r="B185" s="522"/>
      <c r="C185" s="522"/>
      <c r="D185" s="469"/>
      <c r="E185" s="469"/>
      <c r="F185" s="469"/>
      <c r="G185" s="517"/>
      <c r="H185" s="492"/>
      <c r="I185" s="497"/>
      <c r="J185" s="18"/>
      <c r="K185" s="19"/>
      <c r="L185" s="19"/>
      <c r="M185" s="432"/>
      <c r="N185" s="11" t="s">
        <v>90</v>
      </c>
      <c r="O185" s="209">
        <f t="shared" si="408"/>
        <v>0</v>
      </c>
      <c r="P185" s="209">
        <f>(4)/120</f>
        <v>3.3333333333333333E-2</v>
      </c>
      <c r="Q185" s="209">
        <f t="shared" si="408"/>
        <v>0</v>
      </c>
      <c r="R185" s="209">
        <f t="shared" si="408"/>
        <v>0</v>
      </c>
      <c r="S185" s="209">
        <f>(4)/120</f>
        <v>3.3333333333333333E-2</v>
      </c>
      <c r="T185" s="209">
        <f t="shared" si="408"/>
        <v>0</v>
      </c>
      <c r="U185" s="209">
        <f t="shared" si="408"/>
        <v>0</v>
      </c>
      <c r="V185" s="209">
        <f>(19)/120</f>
        <v>0.15833333333333333</v>
      </c>
      <c r="W185" s="209">
        <f t="shared" si="408"/>
        <v>0</v>
      </c>
      <c r="X185" s="53">
        <f t="shared" si="408"/>
        <v>0</v>
      </c>
      <c r="Y185" s="209">
        <f t="shared" si="458"/>
        <v>0</v>
      </c>
      <c r="Z185" s="209">
        <f t="shared" si="458"/>
        <v>0</v>
      </c>
      <c r="AA185" s="209">
        <f t="shared" si="458"/>
        <v>0</v>
      </c>
      <c r="AB185" s="209">
        <f t="shared" si="458"/>
        <v>0</v>
      </c>
      <c r="AC185" s="209">
        <f>(13+2)/157.5</f>
        <v>9.5238095238095233E-2</v>
      </c>
      <c r="AD185" s="209">
        <f t="shared" si="458"/>
        <v>0</v>
      </c>
      <c r="AE185" s="209">
        <f t="shared" si="458"/>
        <v>0</v>
      </c>
      <c r="AF185" s="209">
        <f>(6+3+2.5)/157.5</f>
        <v>7.301587301587302E-2</v>
      </c>
      <c r="AG185" s="209">
        <f t="shared" si="458"/>
        <v>0</v>
      </c>
      <c r="AH185" s="209">
        <f t="shared" si="458"/>
        <v>0</v>
      </c>
      <c r="AI185" s="58">
        <f t="shared" si="459"/>
        <v>0</v>
      </c>
      <c r="AJ185" s="209">
        <f t="shared" si="459"/>
        <v>0</v>
      </c>
      <c r="AK185" s="209">
        <f t="shared" si="459"/>
        <v>0</v>
      </c>
      <c r="AL185" s="209">
        <f t="shared" si="459"/>
        <v>0</v>
      </c>
      <c r="AM185" s="209">
        <f>(3)/157.5</f>
        <v>1.9047619047619049E-2</v>
      </c>
      <c r="AN185" s="209">
        <f t="shared" si="459"/>
        <v>0</v>
      </c>
      <c r="AO185" s="209">
        <f t="shared" si="459"/>
        <v>0</v>
      </c>
      <c r="AP185" s="209">
        <f t="shared" si="459"/>
        <v>0</v>
      </c>
      <c r="AQ185" s="209">
        <f t="shared" si="459"/>
        <v>0</v>
      </c>
      <c r="AR185" s="53">
        <f t="shared" si="459"/>
        <v>0</v>
      </c>
      <c r="AS185" s="65">
        <f t="shared" si="460"/>
        <v>0</v>
      </c>
      <c r="AT185" s="210">
        <f t="shared" si="460"/>
        <v>0</v>
      </c>
      <c r="AU185" s="210">
        <f t="shared" si="460"/>
        <v>0</v>
      </c>
      <c r="AV185" s="210">
        <f t="shared" si="460"/>
        <v>0</v>
      </c>
      <c r="AW185" s="210">
        <f t="shared" si="460"/>
        <v>0</v>
      </c>
      <c r="AX185" s="210">
        <f t="shared" si="460"/>
        <v>0</v>
      </c>
      <c r="AY185" s="210">
        <f t="shared" si="460"/>
        <v>0</v>
      </c>
      <c r="AZ185" s="210">
        <f t="shared" si="460"/>
        <v>0</v>
      </c>
      <c r="BA185" s="210">
        <f t="shared" si="460"/>
        <v>0</v>
      </c>
      <c r="BB185" s="53">
        <f t="shared" si="460"/>
        <v>0</v>
      </c>
      <c r="BC185" s="58">
        <f t="shared" si="461"/>
        <v>0</v>
      </c>
      <c r="BD185" s="209">
        <f t="shared" si="461"/>
        <v>0</v>
      </c>
      <c r="BE185" s="209">
        <f t="shared" si="461"/>
        <v>0</v>
      </c>
      <c r="BF185" s="209">
        <f t="shared" si="461"/>
        <v>0</v>
      </c>
      <c r="BG185" s="209">
        <f t="shared" si="461"/>
        <v>0</v>
      </c>
      <c r="BH185" s="209">
        <f t="shared" si="461"/>
        <v>0</v>
      </c>
      <c r="BI185" s="209">
        <f t="shared" si="461"/>
        <v>0</v>
      </c>
      <c r="BJ185" s="209">
        <f t="shared" si="461"/>
        <v>0</v>
      </c>
      <c r="BK185" s="209">
        <f t="shared" si="461"/>
        <v>0</v>
      </c>
      <c r="BL185" s="209">
        <f t="shared" si="461"/>
        <v>0</v>
      </c>
      <c r="BM185" s="58">
        <f t="shared" si="462"/>
        <v>0</v>
      </c>
      <c r="BN185" s="209">
        <f t="shared" si="462"/>
        <v>0</v>
      </c>
      <c r="BO185" s="209">
        <f t="shared" si="462"/>
        <v>0</v>
      </c>
      <c r="BP185" s="209">
        <f t="shared" si="462"/>
        <v>0</v>
      </c>
      <c r="BQ185" s="209">
        <f t="shared" si="462"/>
        <v>0</v>
      </c>
      <c r="BR185" s="209">
        <f t="shared" si="462"/>
        <v>0</v>
      </c>
      <c r="BS185" s="209">
        <f t="shared" si="462"/>
        <v>0</v>
      </c>
      <c r="BT185" s="209">
        <f t="shared" si="462"/>
        <v>0</v>
      </c>
      <c r="BU185" s="209">
        <f t="shared" si="462"/>
        <v>0</v>
      </c>
      <c r="BV185" s="209">
        <f t="shared" si="462"/>
        <v>0</v>
      </c>
      <c r="BW185" s="65">
        <f>(0)/150</f>
        <v>0</v>
      </c>
      <c r="BX185" s="209">
        <f t="shared" si="476"/>
        <v>0</v>
      </c>
      <c r="BY185" s="209">
        <f t="shared" si="476"/>
        <v>0</v>
      </c>
      <c r="BZ185" s="209">
        <f t="shared" si="476"/>
        <v>0</v>
      </c>
      <c r="CA185" s="209">
        <f t="shared" si="476"/>
        <v>0</v>
      </c>
      <c r="CB185" s="209">
        <f t="shared" si="476"/>
        <v>0</v>
      </c>
      <c r="CC185" s="209">
        <f t="shared" si="464"/>
        <v>0</v>
      </c>
      <c r="CD185" s="209">
        <f t="shared" si="465"/>
        <v>0</v>
      </c>
      <c r="CE185" s="209">
        <f t="shared" si="465"/>
        <v>0</v>
      </c>
      <c r="CF185" s="209">
        <f t="shared" si="465"/>
        <v>0</v>
      </c>
      <c r="CG185" s="65">
        <f>(0)/135</f>
        <v>0</v>
      </c>
      <c r="CH185" s="209">
        <f>(0)/135</f>
        <v>0</v>
      </c>
      <c r="CI185" s="209">
        <f t="shared" si="466"/>
        <v>0</v>
      </c>
      <c r="CJ185" s="209">
        <f t="shared" si="467"/>
        <v>0</v>
      </c>
      <c r="CK185" s="209">
        <f t="shared" si="467"/>
        <v>0</v>
      </c>
      <c r="CL185" s="209">
        <f t="shared" si="467"/>
        <v>0</v>
      </c>
      <c r="CM185" s="209">
        <f t="shared" si="467"/>
        <v>0</v>
      </c>
      <c r="CN185" s="209">
        <f t="shared" si="467"/>
        <v>0</v>
      </c>
      <c r="CO185" s="209">
        <f t="shared" si="467"/>
        <v>0</v>
      </c>
      <c r="CP185" s="209">
        <f t="shared" si="467"/>
        <v>0</v>
      </c>
      <c r="CQ185" s="65">
        <f t="shared" si="468"/>
        <v>0</v>
      </c>
      <c r="CR185" s="209">
        <f t="shared" si="468"/>
        <v>0</v>
      </c>
      <c r="CS185" s="209">
        <f t="shared" si="468"/>
        <v>0</v>
      </c>
      <c r="CT185" s="209">
        <f t="shared" si="468"/>
        <v>0</v>
      </c>
      <c r="CU185" s="209">
        <f t="shared" si="468"/>
        <v>0</v>
      </c>
      <c r="CV185" s="209">
        <f t="shared" si="468"/>
        <v>0</v>
      </c>
      <c r="CW185" s="209">
        <f t="shared" si="468"/>
        <v>0</v>
      </c>
      <c r="CX185" s="65">
        <f t="shared" si="469"/>
        <v>0</v>
      </c>
      <c r="CY185" s="210">
        <f t="shared" si="470"/>
        <v>0</v>
      </c>
      <c r="CZ185" s="210">
        <f t="shared" si="470"/>
        <v>0</v>
      </c>
      <c r="DA185" s="210">
        <f t="shared" si="470"/>
        <v>0</v>
      </c>
      <c r="DB185" s="210">
        <f t="shared" si="470"/>
        <v>0</v>
      </c>
      <c r="DC185" s="210">
        <f t="shared" si="470"/>
        <v>0</v>
      </c>
      <c r="DD185" s="209">
        <f t="shared" si="470"/>
        <v>0</v>
      </c>
      <c r="DE185" s="65">
        <f t="shared" si="471"/>
        <v>0</v>
      </c>
      <c r="DF185" s="210">
        <f t="shared" si="471"/>
        <v>0</v>
      </c>
      <c r="DG185" s="210">
        <f t="shared" si="471"/>
        <v>0</v>
      </c>
      <c r="DH185" s="210">
        <f t="shared" si="471"/>
        <v>0</v>
      </c>
      <c r="DI185" s="210">
        <f t="shared" si="471"/>
        <v>0</v>
      </c>
      <c r="DJ185" s="210">
        <f t="shared" si="471"/>
        <v>0</v>
      </c>
      <c r="DK185" s="210">
        <f t="shared" si="471"/>
        <v>0</v>
      </c>
      <c r="DL185" s="65">
        <f t="shared" ref="DL185:DP185" si="482">0/142.5</f>
        <v>0</v>
      </c>
      <c r="DM185" s="210">
        <f t="shared" si="482"/>
        <v>0</v>
      </c>
      <c r="DN185" s="210">
        <f t="shared" si="482"/>
        <v>0</v>
      </c>
      <c r="DO185" s="210">
        <f t="shared" si="482"/>
        <v>0</v>
      </c>
      <c r="DP185" s="210">
        <f t="shared" si="482"/>
        <v>0</v>
      </c>
      <c r="DQ185" s="210">
        <f t="shared" si="420"/>
        <v>0</v>
      </c>
      <c r="DR185" s="210">
        <f t="shared" si="420"/>
        <v>0</v>
      </c>
      <c r="DS185" s="210">
        <f t="shared" si="420"/>
        <v>0</v>
      </c>
      <c r="DT185" s="201"/>
    </row>
    <row r="186" spans="1:125" ht="20.100000000000001" customHeight="1" x14ac:dyDescent="0.4">
      <c r="A186" s="498" t="s">
        <v>35</v>
      </c>
      <c r="B186" s="499"/>
      <c r="C186" s="499"/>
      <c r="D186" s="499"/>
      <c r="E186" s="499"/>
      <c r="F186" s="499"/>
      <c r="G186" s="500"/>
      <c r="H186" s="491">
        <f>SUM(H174:H185)</f>
        <v>1.4431372549019605</v>
      </c>
      <c r="I186" s="491">
        <f>SUM(I174:I185)</f>
        <v>0.74117647058823533</v>
      </c>
      <c r="J186" s="433" t="s">
        <v>80</v>
      </c>
      <c r="K186" s="434"/>
      <c r="L186" s="434"/>
      <c r="M186" s="435"/>
      <c r="N186" s="10" t="s">
        <v>89</v>
      </c>
      <c r="O186" s="10">
        <f>SUM(O174,O176,O178,O180,O182,O184)</f>
        <v>0.74583333333333335</v>
      </c>
      <c r="P186" s="10">
        <f t="shared" ref="P186:X186" si="483">SUM(P174,P176,P178,P180,P182,P184)</f>
        <v>0.14583333333333331</v>
      </c>
      <c r="Q186" s="10">
        <f t="shared" ref="Q186" si="484">SUM(Q174,Q176,Q178,Q180,Q182,Q184)</f>
        <v>0.14583333333333331</v>
      </c>
      <c r="R186" s="10">
        <f t="shared" si="483"/>
        <v>0.14583333333333331</v>
      </c>
      <c r="S186" s="10">
        <f t="shared" ref="S186:U186" si="485">SUM(S174,S176,S178,S180,S182,S184)</f>
        <v>0.14583333333333331</v>
      </c>
      <c r="T186" s="10">
        <f t="shared" si="485"/>
        <v>0.14583333333333331</v>
      </c>
      <c r="U186" s="10">
        <f t="shared" si="485"/>
        <v>0.14583333333333331</v>
      </c>
      <c r="V186" s="190">
        <f t="shared" ref="V186:W186" si="486">SUM(V174,V176,V178,V180,V182,V184)</f>
        <v>0.14583333333333331</v>
      </c>
      <c r="W186" s="190">
        <f t="shared" si="486"/>
        <v>0.14583333333333331</v>
      </c>
      <c r="X186" s="86">
        <f t="shared" si="483"/>
        <v>0</v>
      </c>
      <c r="Y186" s="190">
        <f>SUM(Y174,Y176,Y178,Y180,Y182,Y184)</f>
        <v>0.55873015873015874</v>
      </c>
      <c r="Z186" s="190">
        <f t="shared" ref="Z186:AH187" si="487">SUM(Z174,Z176,Z178,Z180,Z182,Z184)</f>
        <v>0.14603174603174601</v>
      </c>
      <c r="AA186" s="190">
        <f t="shared" si="487"/>
        <v>0.14603174603174601</v>
      </c>
      <c r="AB186" s="190">
        <f t="shared" si="487"/>
        <v>0.14603174603174601</v>
      </c>
      <c r="AC186" s="190">
        <f t="shared" si="487"/>
        <v>0.14603174603174601</v>
      </c>
      <c r="AD186" s="190">
        <f t="shared" si="487"/>
        <v>0.14603174603174601</v>
      </c>
      <c r="AE186" s="190">
        <f t="shared" si="487"/>
        <v>0.14603174603174601</v>
      </c>
      <c r="AF186" s="190">
        <f t="shared" si="487"/>
        <v>0.14603174603174601</v>
      </c>
      <c r="AG186" s="190">
        <f t="shared" si="487"/>
        <v>0.14603174603174601</v>
      </c>
      <c r="AH186" s="86">
        <f t="shared" si="487"/>
        <v>0.14603174603174601</v>
      </c>
      <c r="AI186" s="23">
        <f t="shared" ref="AI186" si="488">SUM(AI174,AI176,AI178,AI180,AI182,AI184)</f>
        <v>0.83936507936507931</v>
      </c>
      <c r="AJ186" s="10">
        <f t="shared" ref="AJ186" si="489">SUM(AJ174,AJ176,AJ178,AJ180,AJ182,AJ184)</f>
        <v>7.9365079365079361E-2</v>
      </c>
      <c r="AK186" s="10">
        <f t="shared" ref="AK186:AR186" si="490">SUM(AK174,AK176,AK178,AK180,AK182,AK184)</f>
        <v>7.9365079365079361E-2</v>
      </c>
      <c r="AL186" s="10">
        <f t="shared" si="490"/>
        <v>7.9365079365079361E-2</v>
      </c>
      <c r="AM186" s="10">
        <f t="shared" ref="AM186:AN186" si="491">SUM(AM174,AM176,AM178,AM180,AM182,AM184)</f>
        <v>7.9365079365079361E-2</v>
      </c>
      <c r="AN186" s="190">
        <f t="shared" si="491"/>
        <v>7.9365079365079361E-2</v>
      </c>
      <c r="AO186" s="190">
        <f t="shared" ref="AO186:AQ186" si="492">SUM(AO174,AO176,AO178,AO180,AO182,AO184)</f>
        <v>7.9365079365079361E-2</v>
      </c>
      <c r="AP186" s="10">
        <f t="shared" si="490"/>
        <v>7.9365079365079361E-2</v>
      </c>
      <c r="AQ186" s="190">
        <f t="shared" si="492"/>
        <v>7.9365079365079361E-2</v>
      </c>
      <c r="AR186" s="225">
        <f t="shared" si="490"/>
        <v>7.9365079365079361E-2</v>
      </c>
      <c r="AS186" s="23">
        <f>SUM(AS174,AS176,AS178,AS180,AS182,AS184)</f>
        <v>0.83939393939393936</v>
      </c>
      <c r="AT186" s="190">
        <f t="shared" ref="AT186" si="493">SUM(AT174,AT176,AT178,AT180,AT182,AT184)</f>
        <v>0.16060606060606059</v>
      </c>
      <c r="AU186" s="190">
        <f t="shared" ref="AU186:AV186" si="494">SUM(AU174,AU176,AU178,AU180,AU182,AU184)</f>
        <v>7.5757575757575746E-2</v>
      </c>
      <c r="AV186" s="190">
        <f t="shared" si="494"/>
        <v>7.5757575757575746E-2</v>
      </c>
      <c r="AW186" s="190">
        <f t="shared" ref="AW186:BB187" si="495">SUM(AW174,AW176,AW178,AW180,AW182,AW184)</f>
        <v>7.5757575757575746E-2</v>
      </c>
      <c r="AX186" s="59">
        <f t="shared" si="495"/>
        <v>7.5757575757575746E-2</v>
      </c>
      <c r="AY186" s="59">
        <f t="shared" ref="AY186:AZ186" si="496">SUM(AY174,AY176,AY178,AY180,AY182,AY184)</f>
        <v>7.5757575757575746E-2</v>
      </c>
      <c r="AZ186" s="59">
        <f t="shared" si="496"/>
        <v>7.5757575757575746E-2</v>
      </c>
      <c r="BA186" s="59">
        <f t="shared" si="495"/>
        <v>7.5757575757575746E-2</v>
      </c>
      <c r="BB186" s="59">
        <f t="shared" si="495"/>
        <v>7.5757575757575746E-2</v>
      </c>
      <c r="BC186" s="77">
        <f>SUM(BC174,BC176,BC178,BC180,BC182,BC184)</f>
        <v>0.64819047619047621</v>
      </c>
      <c r="BD186" s="190">
        <f t="shared" ref="BD186:BL187" si="497">SUM(BD174,BD176,BD178,BD180,BD182,BD184)</f>
        <v>7.6190476190476197E-2</v>
      </c>
      <c r="BE186" s="190">
        <f t="shared" si="497"/>
        <v>7.6190476190476197E-2</v>
      </c>
      <c r="BF186" s="190">
        <f t="shared" ref="BF186:BG186" si="498">SUM(BF174,BF176,BF178,BF180,BF182,BF184)</f>
        <v>7.6190476190476197E-2</v>
      </c>
      <c r="BG186" s="190">
        <f t="shared" si="498"/>
        <v>7.6190476190476197E-2</v>
      </c>
      <c r="BH186" s="190">
        <f t="shared" si="497"/>
        <v>7.6190476190476197E-2</v>
      </c>
      <c r="BI186" s="190">
        <f t="shared" si="497"/>
        <v>7.6190476190476197E-2</v>
      </c>
      <c r="BJ186" s="59">
        <f t="shared" si="497"/>
        <v>7.6190476190476197E-2</v>
      </c>
      <c r="BK186" s="59">
        <f t="shared" si="497"/>
        <v>7.6190476190476197E-2</v>
      </c>
      <c r="BL186" s="59">
        <f t="shared" si="497"/>
        <v>7.6190476190476197E-2</v>
      </c>
      <c r="BM186" s="77">
        <f>SUM(BM174,BM176,BM178,BM180,BM182,BM184)</f>
        <v>0.21212121212121213</v>
      </c>
      <c r="BN186" s="190">
        <f t="shared" ref="BN186:BV186" si="499">SUM(BN174,BN176,BN178,BN180,BN182,BN184)</f>
        <v>7.8787878787878796E-2</v>
      </c>
      <c r="BO186" s="190">
        <f t="shared" si="499"/>
        <v>7.8787878787878796E-2</v>
      </c>
      <c r="BP186" s="190">
        <f t="shared" si="499"/>
        <v>7.8787878787878796E-2</v>
      </c>
      <c r="BQ186" s="190">
        <f t="shared" si="499"/>
        <v>7.8787878787878796E-2</v>
      </c>
      <c r="BR186" s="190">
        <f t="shared" si="499"/>
        <v>7.8787878787878796E-2</v>
      </c>
      <c r="BS186" s="190">
        <f t="shared" si="499"/>
        <v>7.8787878787878796E-2</v>
      </c>
      <c r="BT186" s="59">
        <f t="shared" si="499"/>
        <v>7.8787878787878796E-2</v>
      </c>
      <c r="BU186" s="59">
        <f t="shared" si="499"/>
        <v>7.8787878787878796E-2</v>
      </c>
      <c r="BV186" s="59">
        <f t="shared" si="499"/>
        <v>7.8787878787878796E-2</v>
      </c>
      <c r="BW186" s="23">
        <f>SUM(BW174,BW176,BW178,BW180,BW182,BW184)</f>
        <v>0.38</v>
      </c>
      <c r="BX186" s="190">
        <f t="shared" ref="BX186" si="500">SUM(BX174,BX176,BX178,BX180,BX182,BX184)</f>
        <v>8.666666666666667E-2</v>
      </c>
      <c r="BY186" s="190">
        <f t="shared" ref="BY186:BZ186" si="501">SUM(BY174,BY176,BY178,BY180,BY182,BY184)</f>
        <v>8.666666666666667E-2</v>
      </c>
      <c r="BZ186" s="190">
        <f t="shared" si="501"/>
        <v>8.666666666666667E-2</v>
      </c>
      <c r="CA186" s="190">
        <f t="shared" ref="CA186:CF186" si="502">SUM(CA174,CA176,CA178,CA180,CA182,CA184)</f>
        <v>8.666666666666667E-2</v>
      </c>
      <c r="CB186" s="190">
        <f t="shared" si="502"/>
        <v>8.666666666666667E-2</v>
      </c>
      <c r="CC186" s="190">
        <f t="shared" ref="CC186:CD186" si="503">SUM(CC174,CC176,CC178,CC180,CC182,CC184)</f>
        <v>8.666666666666667E-2</v>
      </c>
      <c r="CD186" s="190">
        <f t="shared" si="503"/>
        <v>8.666666666666667E-2</v>
      </c>
      <c r="CE186" s="190">
        <f t="shared" si="502"/>
        <v>8.666666666666667E-2</v>
      </c>
      <c r="CF186" s="21">
        <f t="shared" si="502"/>
        <v>8.666666666666667E-2</v>
      </c>
      <c r="CG186" s="23">
        <f>SUM(CG174,CG176,CG178,CG180,CG182,CG184)</f>
        <v>0.74814814814814812</v>
      </c>
      <c r="CH186" s="190">
        <f t="shared" ref="CH186" si="504">SUM(CH174,CH176,CH178,CH180,CH182,CH184)</f>
        <v>8.1481481481481488E-2</v>
      </c>
      <c r="CI186" s="190">
        <f t="shared" ref="CI186:CP186" si="505">SUM(CI174,CI176,CI178,CI180,CI182,CI184)</f>
        <v>8.1481481481481488E-2</v>
      </c>
      <c r="CJ186" s="190">
        <f t="shared" si="505"/>
        <v>8.1481481481481488E-2</v>
      </c>
      <c r="CK186" s="190">
        <f t="shared" si="505"/>
        <v>8.1481481481481488E-2</v>
      </c>
      <c r="CL186" s="190">
        <f t="shared" ref="CL186:CM186" si="506">SUM(CL174,CL176,CL178,CL180,CL182,CL184)</f>
        <v>8.1481481481481488E-2</v>
      </c>
      <c r="CM186" s="190">
        <f t="shared" si="506"/>
        <v>8.1481481481481488E-2</v>
      </c>
      <c r="CN186" s="190">
        <f t="shared" si="505"/>
        <v>8.1481481481481488E-2</v>
      </c>
      <c r="CO186" s="190">
        <f t="shared" si="505"/>
        <v>8.1481481481481488E-2</v>
      </c>
      <c r="CP186" s="21">
        <f t="shared" si="505"/>
        <v>8.1481481481481488E-2</v>
      </c>
      <c r="CQ186" s="23">
        <f>SUM(CQ174,CQ176,CQ178,CQ180,CQ182,CQ184)</f>
        <v>0.33</v>
      </c>
      <c r="CR186" s="190">
        <f t="shared" ref="CR186" si="507">SUM(CR174,CR176,CR178,CR180,CR182,CR184)</f>
        <v>0.09</v>
      </c>
      <c r="CS186" s="190">
        <f t="shared" ref="CS186:CW186" si="508">SUM(CS174,CS176,CS178,CS180,CS182,CS184)</f>
        <v>7.6666666666666661E-2</v>
      </c>
      <c r="CT186" s="190">
        <f t="shared" si="508"/>
        <v>7.6666666666666661E-2</v>
      </c>
      <c r="CU186" s="190">
        <f t="shared" si="508"/>
        <v>7.6666666666666661E-2</v>
      </c>
      <c r="CV186" s="190">
        <f t="shared" si="508"/>
        <v>7.6666666666666661E-2</v>
      </c>
      <c r="CW186" s="190">
        <f t="shared" si="508"/>
        <v>7.6666666666666661E-2</v>
      </c>
      <c r="CX186" s="77">
        <f>SUM(CX174,CX176,CX178,CX180,CX182,CX184)</f>
        <v>0.40603174603174602</v>
      </c>
      <c r="CY186" s="190">
        <f t="shared" ref="CY186:DD186" si="509">SUM(CY174,CY176,CY178,CY180,CY182,CY184)</f>
        <v>7.9365079365079361E-2</v>
      </c>
      <c r="CZ186" s="190">
        <f t="shared" ref="CZ186:DA186" si="510">SUM(CZ174,CZ176,CZ178,CZ180,CZ182,CZ184)</f>
        <v>7.9365079365079361E-2</v>
      </c>
      <c r="DA186" s="190">
        <f t="shared" si="510"/>
        <v>7.9365079365079361E-2</v>
      </c>
      <c r="DB186" s="190">
        <f t="shared" si="509"/>
        <v>7.9365079365079361E-2</v>
      </c>
      <c r="DC186" s="190">
        <f t="shared" si="509"/>
        <v>7.9365079365079361E-2</v>
      </c>
      <c r="DD186" s="190">
        <f t="shared" si="509"/>
        <v>7.9365079365079361E-2</v>
      </c>
      <c r="DE186" s="23">
        <f>SUM(DE174,DE176,DE178,DE180,DE182,DE184)</f>
        <v>0.5490196078431373</v>
      </c>
      <c r="DF186" s="190">
        <f t="shared" ref="DF186:DG186" si="511">SUM(DF174,DF176,DF178,DF180,DF182,DF184)</f>
        <v>0.14901960784313725</v>
      </c>
      <c r="DG186" s="190">
        <f t="shared" si="511"/>
        <v>0.14901960784313725</v>
      </c>
      <c r="DH186" s="190">
        <f t="shared" ref="DH186:DK186" si="512">SUM(DH174,DH176,DH178,DH180,DH182,DH184)</f>
        <v>0.14901960784313725</v>
      </c>
      <c r="DI186" s="190">
        <f t="shared" si="512"/>
        <v>0.14901960784313725</v>
      </c>
      <c r="DJ186" s="190">
        <f t="shared" si="512"/>
        <v>0.14901960784313725</v>
      </c>
      <c r="DK186" s="190">
        <f t="shared" si="512"/>
        <v>0.14901960784313725</v>
      </c>
      <c r="DL186" s="23">
        <f>SUM(DL174,DL176,DL178,DL180,DL182,DL184)</f>
        <v>0</v>
      </c>
      <c r="DM186" s="190">
        <f t="shared" ref="DM186:DS186" si="513">SUM(DM174,DM176,DM178,DM180,DM182,DM184)</f>
        <v>0</v>
      </c>
      <c r="DN186" s="190">
        <f t="shared" si="513"/>
        <v>0</v>
      </c>
      <c r="DO186" s="190">
        <f t="shared" si="513"/>
        <v>0</v>
      </c>
      <c r="DP186" s="190">
        <f t="shared" si="513"/>
        <v>0</v>
      </c>
      <c r="DQ186" s="190">
        <f t="shared" si="513"/>
        <v>0</v>
      </c>
      <c r="DR186" s="190">
        <f t="shared" si="513"/>
        <v>0</v>
      </c>
      <c r="DS186" s="190">
        <f t="shared" si="513"/>
        <v>0</v>
      </c>
      <c r="DT186" s="271">
        <f>SUM(CX186:DD186)</f>
        <v>0.88222222222222202</v>
      </c>
      <c r="DU186" s="197"/>
    </row>
    <row r="187" spans="1:125" ht="20.100000000000001" customHeight="1" x14ac:dyDescent="0.4">
      <c r="A187" s="501"/>
      <c r="B187" s="502"/>
      <c r="C187" s="502"/>
      <c r="D187" s="502"/>
      <c r="E187" s="502"/>
      <c r="F187" s="502"/>
      <c r="G187" s="503"/>
      <c r="H187" s="492"/>
      <c r="I187" s="492"/>
      <c r="J187" s="436" t="s">
        <v>81</v>
      </c>
      <c r="K187" s="437"/>
      <c r="L187" s="437"/>
      <c r="M187" s="438"/>
      <c r="N187" s="22" t="s">
        <v>90</v>
      </c>
      <c r="O187" s="11">
        <f>SUM(O175,O177,O179,O181,O183,O185)</f>
        <v>1</v>
      </c>
      <c r="P187" s="11">
        <f t="shared" ref="P187:DG187" si="514">SUM(P175,P177,P179,P181,P183,P185)</f>
        <v>0.11249999999999999</v>
      </c>
      <c r="Q187" s="11">
        <f t="shared" ref="Q187" si="515">SUM(Q175,Q177,Q179,Q181,Q183,Q185)</f>
        <v>7.4999999999999997E-2</v>
      </c>
      <c r="R187" s="11">
        <f t="shared" si="514"/>
        <v>7.9166666666666663E-2</v>
      </c>
      <c r="S187" s="11">
        <f t="shared" ref="S187:U187" si="516">SUM(S175,S177,S179,S181,S183,S185)</f>
        <v>9.5833333333333326E-2</v>
      </c>
      <c r="T187" s="11">
        <f t="shared" si="516"/>
        <v>7.9166666666666663E-2</v>
      </c>
      <c r="U187" s="11">
        <f t="shared" si="516"/>
        <v>6.6666666666666666E-2</v>
      </c>
      <c r="V187" s="209">
        <f t="shared" ref="V187:W187" si="517">SUM(V175,V177,V179,V181,V183,V185)</f>
        <v>0.22916666666666666</v>
      </c>
      <c r="W187" s="209">
        <f t="shared" si="517"/>
        <v>7.9166666666666663E-2</v>
      </c>
      <c r="X187" s="53">
        <f t="shared" si="514"/>
        <v>5.4166666666666669E-2</v>
      </c>
      <c r="Y187" s="209">
        <f>SUM(Y175,Y177,Y179,Y181,Y183,Y185)</f>
        <v>0.838095238095238</v>
      </c>
      <c r="Z187" s="209">
        <f t="shared" ref="Z187" si="518">SUM(Z175,Z177,Z179,Z181,Z183,Z185)</f>
        <v>6.9841269841269843E-2</v>
      </c>
      <c r="AA187" s="209">
        <f t="shared" si="487"/>
        <v>6.0317460317460318E-2</v>
      </c>
      <c r="AB187" s="209">
        <f t="shared" si="487"/>
        <v>7.3015873015873006E-2</v>
      </c>
      <c r="AC187" s="209">
        <f t="shared" si="487"/>
        <v>0.17142857142857143</v>
      </c>
      <c r="AD187" s="209">
        <f t="shared" si="487"/>
        <v>7.9365079365079361E-2</v>
      </c>
      <c r="AE187" s="209">
        <f t="shared" si="487"/>
        <v>7.3015873015873006E-2</v>
      </c>
      <c r="AF187" s="209">
        <f t="shared" si="487"/>
        <v>0.15238095238095239</v>
      </c>
      <c r="AG187" s="209">
        <f t="shared" si="487"/>
        <v>7.6190476190476183E-2</v>
      </c>
      <c r="AH187" s="53">
        <f t="shared" si="487"/>
        <v>7.9365079365079361E-2</v>
      </c>
      <c r="AI187" s="24">
        <f t="shared" si="514"/>
        <v>0.80952380952380942</v>
      </c>
      <c r="AJ187" s="11">
        <f t="shared" ref="AJ187" si="519">SUM(AJ175,AJ177,AJ179,AJ181,AJ183,AJ185)</f>
        <v>7.9365079365079361E-2</v>
      </c>
      <c r="AK187" s="11">
        <f t="shared" si="514"/>
        <v>7.6190476190476183E-2</v>
      </c>
      <c r="AL187" s="11">
        <f t="shared" si="514"/>
        <v>7.6190476190476183E-2</v>
      </c>
      <c r="AM187" s="11">
        <f t="shared" ref="AM187:AN187" si="520">SUM(AM175,AM177,AM179,AM181,AM183,AM185)</f>
        <v>9.841269841269841E-2</v>
      </c>
      <c r="AN187" s="209">
        <f t="shared" si="520"/>
        <v>7.9365079365079361E-2</v>
      </c>
      <c r="AO187" s="209">
        <f t="shared" ref="AO187:AQ187" si="521">SUM(AO175,AO177,AO179,AO181,AO183,AO185)</f>
        <v>7.6190476190476197E-2</v>
      </c>
      <c r="AP187" s="11">
        <f t="shared" si="514"/>
        <v>7.9365079365079361E-2</v>
      </c>
      <c r="AQ187" s="209">
        <f t="shared" si="521"/>
        <v>7.9365079365079361E-2</v>
      </c>
      <c r="AR187" s="22">
        <f t="shared" si="514"/>
        <v>7.9365079365079361E-2</v>
      </c>
      <c r="AS187" s="282">
        <f>SUM(AS175,AS177,AS179,AS181,AS183,AS185)</f>
        <v>0.87575757575757573</v>
      </c>
      <c r="AT187" s="43">
        <f t="shared" ref="AT187" si="522">SUM(AT175,AT177,AT179,AT181,AT183,AT185)</f>
        <v>8.7878787878787876E-2</v>
      </c>
      <c r="AU187" s="43">
        <f t="shared" ref="AU187:AV187" si="523">SUM(AU175,AU177,AU179,AU181,AU183,AU185)</f>
        <v>7.575757575757576E-2</v>
      </c>
      <c r="AV187" s="43">
        <f t="shared" si="523"/>
        <v>7.2727272727272724E-2</v>
      </c>
      <c r="AW187" s="43">
        <f t="shared" ref="AW187:AZ187" si="524">SUM(AW175,AW177,AW179,AW181,AW183,AW185)</f>
        <v>6.6666666666666666E-2</v>
      </c>
      <c r="AX187" s="43">
        <f t="shared" si="524"/>
        <v>8.1818181818181818E-2</v>
      </c>
      <c r="AY187" s="43">
        <f t="shared" si="524"/>
        <v>7.5757575757575746E-2</v>
      </c>
      <c r="AZ187" s="43">
        <f t="shared" si="524"/>
        <v>7.8787878787878782E-2</v>
      </c>
      <c r="BA187" s="43">
        <f t="shared" si="495"/>
        <v>7.5757575757575746E-2</v>
      </c>
      <c r="BB187" s="283">
        <f t="shared" si="495"/>
        <v>7.5757575757575746E-2</v>
      </c>
      <c r="BC187" s="24">
        <f>SUM(BC175,BC177,BC179,BC181,BC183,BC185)</f>
        <v>0.66349206349206347</v>
      </c>
      <c r="BD187" s="209">
        <f t="shared" ref="BD187:BH187" si="525">SUM(BD175,BD177,BD179,BD181,BD183,BD185)</f>
        <v>7.6190476190476183E-2</v>
      </c>
      <c r="BE187" s="209">
        <f t="shared" si="525"/>
        <v>7.6190476190476197E-2</v>
      </c>
      <c r="BF187" s="209">
        <f t="shared" ref="BF187:BG187" si="526">SUM(BF175,BF177,BF179,BF181,BF183,BF185)</f>
        <v>6.9841269841269843E-2</v>
      </c>
      <c r="BG187" s="209">
        <f t="shared" si="526"/>
        <v>8.2539682539682552E-2</v>
      </c>
      <c r="BH187" s="209">
        <f t="shared" si="525"/>
        <v>7.3015873015873006E-2</v>
      </c>
      <c r="BI187" s="209">
        <f t="shared" si="497"/>
        <v>7.3015873015873006E-2</v>
      </c>
      <c r="BJ187" s="209">
        <f t="shared" si="497"/>
        <v>7.3015873015873006E-2</v>
      </c>
      <c r="BK187" s="209">
        <f t="shared" si="497"/>
        <v>7.3015873015873006E-2</v>
      </c>
      <c r="BL187" s="22">
        <f t="shared" si="497"/>
        <v>7.6190476190476197E-2</v>
      </c>
      <c r="BM187" s="24">
        <f>SUM(BM175,BM177,BM179,BM181,BM183,BM185)</f>
        <v>0.34090909090909088</v>
      </c>
      <c r="BN187" s="209">
        <f t="shared" ref="BN187:BV187" si="527">SUM(BN175,BN177,BN179,BN181,BN183,BN185)</f>
        <v>0.11515151515151516</v>
      </c>
      <c r="BO187" s="209">
        <f t="shared" si="527"/>
        <v>7.5757575757575746E-2</v>
      </c>
      <c r="BP187" s="209">
        <f t="shared" si="527"/>
        <v>7.8787878787878796E-2</v>
      </c>
      <c r="BQ187" s="209">
        <f t="shared" si="527"/>
        <v>0.12727272727272729</v>
      </c>
      <c r="BR187" s="209">
        <f t="shared" si="527"/>
        <v>8.787878787878789E-2</v>
      </c>
      <c r="BS187" s="209">
        <f t="shared" si="527"/>
        <v>7.5757575757575746E-2</v>
      </c>
      <c r="BT187" s="209">
        <f t="shared" si="527"/>
        <v>7.2727272727272724E-2</v>
      </c>
      <c r="BU187" s="209">
        <f t="shared" si="527"/>
        <v>8.484848484848484E-2</v>
      </c>
      <c r="BV187" s="22">
        <f t="shared" si="527"/>
        <v>7.5757575757575746E-2</v>
      </c>
      <c r="BW187" s="24">
        <f>SUM(BW175,BW177,BW179,BW181,BW183,BW185)</f>
        <v>0.51333333333333331</v>
      </c>
      <c r="BX187" s="11">
        <f t="shared" ref="BX187:CF187" si="528">SUM(BX175,BX177,BX179,BX181,BX183,BX185)</f>
        <v>0.08</v>
      </c>
      <c r="BY187" s="11">
        <f t="shared" si="528"/>
        <v>0.08</v>
      </c>
      <c r="BZ187" s="11">
        <f t="shared" si="528"/>
        <v>7.0000000000000007E-2</v>
      </c>
      <c r="CA187" s="11">
        <f t="shared" si="528"/>
        <v>6.6666666666666666E-2</v>
      </c>
      <c r="CB187" s="22">
        <f t="shared" si="528"/>
        <v>0.08</v>
      </c>
      <c r="CC187" s="22">
        <f t="shared" ref="CC187:CD187" si="529">SUM(CC175,CC177,CC179,CC181,CC183,CC185)</f>
        <v>5.6666666666666671E-2</v>
      </c>
      <c r="CD187" s="22">
        <f t="shared" si="529"/>
        <v>7.0000000000000007E-2</v>
      </c>
      <c r="CE187" s="22">
        <f t="shared" si="528"/>
        <v>7.3333333333333334E-2</v>
      </c>
      <c r="CF187" s="22">
        <f t="shared" si="528"/>
        <v>7.6666666666666675E-2</v>
      </c>
      <c r="CG187" s="24">
        <f t="shared" si="514"/>
        <v>0.4777777777777778</v>
      </c>
      <c r="CH187" s="11">
        <f t="shared" si="514"/>
        <v>0.13333333333333333</v>
      </c>
      <c r="CI187" s="11">
        <f t="shared" ref="CI187:CP187" si="530">SUM(CI175,CI177,CI179,CI181,CI183,CI185)</f>
        <v>7.5925925925925924E-2</v>
      </c>
      <c r="CJ187" s="11">
        <f t="shared" si="530"/>
        <v>7.9629629629629634E-2</v>
      </c>
      <c r="CK187" s="11">
        <f t="shared" si="530"/>
        <v>7.9629629629629634E-2</v>
      </c>
      <c r="CL187" s="22">
        <f t="shared" ref="CL187:CM187" si="531">SUM(CL175,CL177,CL179,CL181,CL183,CL185)</f>
        <v>7.9629629629629634E-2</v>
      </c>
      <c r="CM187" s="22">
        <f t="shared" si="531"/>
        <v>7.407407407407407E-2</v>
      </c>
      <c r="CN187" s="22">
        <f t="shared" si="530"/>
        <v>8.1481481481481488E-2</v>
      </c>
      <c r="CO187" s="22">
        <f t="shared" si="530"/>
        <v>7.7777777777777779E-2</v>
      </c>
      <c r="CP187" s="22">
        <f t="shared" si="530"/>
        <v>7.7777777777777779E-2</v>
      </c>
      <c r="CQ187" s="24">
        <f>SUM(CQ175,CQ177,CQ179,CQ181,CQ183,CQ185)</f>
        <v>0.30666666666666664</v>
      </c>
      <c r="CR187" s="11">
        <f t="shared" ref="CR187:CW187" si="532">SUM(CR175,CR177,CR179,CR181,CR183,CR185)</f>
        <v>6.9999999999999993E-2</v>
      </c>
      <c r="CS187" s="11">
        <f t="shared" si="532"/>
        <v>7.6666666666666661E-2</v>
      </c>
      <c r="CT187" s="11">
        <f t="shared" si="532"/>
        <v>6.3333333333333339E-2</v>
      </c>
      <c r="CU187" s="11">
        <f t="shared" si="532"/>
        <v>7.6666666666666661E-2</v>
      </c>
      <c r="CV187" s="22">
        <f t="shared" si="532"/>
        <v>7.6666666666666661E-2</v>
      </c>
      <c r="CW187" s="22">
        <f t="shared" si="532"/>
        <v>6.6666666666666666E-2</v>
      </c>
      <c r="CX187" s="24">
        <f>SUM(CX175,CX177,CX179,CX181,CX183,CX185)</f>
        <v>0.40634920634920635</v>
      </c>
      <c r="CY187" s="11">
        <f t="shared" si="514"/>
        <v>8.8888888888888878E-2</v>
      </c>
      <c r="CZ187" s="11">
        <f t="shared" ref="CZ187:DA187" si="533">SUM(CZ175,CZ177,CZ179,CZ181,CZ183,CZ185)</f>
        <v>6.9841269841269843E-2</v>
      </c>
      <c r="DA187" s="11">
        <f t="shared" si="533"/>
        <v>7.9365079365079361E-2</v>
      </c>
      <c r="DB187" s="11">
        <f t="shared" si="514"/>
        <v>7.3015873015873006E-2</v>
      </c>
      <c r="DC187" s="22">
        <f t="shared" si="514"/>
        <v>7.9365079365079361E-2</v>
      </c>
      <c r="DD187" s="209">
        <f t="shared" si="514"/>
        <v>7.6190476190476197E-2</v>
      </c>
      <c r="DE187" s="24">
        <f>SUM(DE175,DE177,DE179,DE181,DE183,DE185)</f>
        <v>0.36862745098039218</v>
      </c>
      <c r="DF187" s="11">
        <f t="shared" si="514"/>
        <v>6.2745098039215685E-2</v>
      </c>
      <c r="DG187" s="11">
        <f t="shared" si="514"/>
        <v>6.6666666666666666E-2</v>
      </c>
      <c r="DH187" s="11">
        <f t="shared" ref="DH187:DK187" si="534">SUM(DH175,DH177,DH179,DH181,DH183,DH185)</f>
        <v>6.2745098039215685E-2</v>
      </c>
      <c r="DI187" s="11">
        <f t="shared" si="534"/>
        <v>6.2745098039215685E-2</v>
      </c>
      <c r="DJ187" s="22">
        <f t="shared" si="534"/>
        <v>5.4901960784313725E-2</v>
      </c>
      <c r="DK187" s="22">
        <f t="shared" si="534"/>
        <v>6.2745098039215685E-2</v>
      </c>
      <c r="DL187" s="24">
        <f t="shared" ref="DL187" si="535">SUM(DL175,DL177,DL179,DL181,DL183,DL185)</f>
        <v>0</v>
      </c>
      <c r="DM187" s="11">
        <f>0/157.5</f>
        <v>0</v>
      </c>
      <c r="DN187" s="11">
        <f t="shared" ref="DN187:DP187" si="536">0/157.5</f>
        <v>0</v>
      </c>
      <c r="DO187" s="11">
        <f t="shared" si="536"/>
        <v>0</v>
      </c>
      <c r="DP187" s="11">
        <f t="shared" si="536"/>
        <v>0</v>
      </c>
      <c r="DQ187" s="22">
        <f t="shared" ref="DQ187:DS187" si="537">SUM(DQ175,DQ177,DQ179,DQ181,DQ183,DQ185)</f>
        <v>0</v>
      </c>
      <c r="DR187" s="22">
        <f t="shared" si="537"/>
        <v>0</v>
      </c>
      <c r="DS187" s="22">
        <f t="shared" si="537"/>
        <v>0</v>
      </c>
      <c r="DT187" s="272">
        <f>SUM(CX187:DD187)</f>
        <v>0.8730158730158728</v>
      </c>
    </row>
    <row r="188" spans="1:125" ht="20.100000000000001" customHeight="1" x14ac:dyDescent="0.4">
      <c r="I188" s="202"/>
    </row>
    <row r="189" spans="1:125" ht="20.100000000000001" customHeight="1" x14ac:dyDescent="0.4">
      <c r="M189" s="40" t="s">
        <v>92</v>
      </c>
      <c r="N189" s="47" t="s">
        <v>89</v>
      </c>
      <c r="O189" s="39">
        <f>SUM(O167,O186)</f>
        <v>0.74583333333333335</v>
      </c>
      <c r="P189" s="39">
        <f>SUM(P167,P186)</f>
        <v>1.4916666666666667</v>
      </c>
      <c r="Q189" s="39">
        <f t="shared" ref="Q189:X189" si="538">SUM(Q167,Q186)</f>
        <v>0.93124999999999991</v>
      </c>
      <c r="R189" s="39">
        <f t="shared" si="538"/>
        <v>1.0729166666666665</v>
      </c>
      <c r="S189" s="39">
        <f t="shared" si="538"/>
        <v>0.9916666666666667</v>
      </c>
      <c r="T189" s="39">
        <f t="shared" si="538"/>
        <v>0.89583333333333326</v>
      </c>
      <c r="U189" s="39">
        <f t="shared" si="538"/>
        <v>0.84791666666666665</v>
      </c>
      <c r="V189" s="39">
        <f t="shared" si="538"/>
        <v>1.0916666666666666</v>
      </c>
      <c r="W189" s="39">
        <f t="shared" si="538"/>
        <v>1.1437499999999998</v>
      </c>
      <c r="X189" s="39">
        <f t="shared" si="538"/>
        <v>0.125</v>
      </c>
      <c r="Y189" s="39">
        <f>SUM(Y167,Y186)</f>
        <v>0.78095238095238095</v>
      </c>
      <c r="Z189" s="39">
        <f>SUM(Z167,Z186)</f>
        <v>1.1492063492063491</v>
      </c>
      <c r="AA189" s="39">
        <f t="shared" ref="AA189:AH189" si="539">SUM(AA167,AA186)</f>
        <v>0.39999999999999997</v>
      </c>
      <c r="AB189" s="39">
        <f t="shared" si="539"/>
        <v>0.95873015873015865</v>
      </c>
      <c r="AC189" s="39">
        <f t="shared" si="539"/>
        <v>0.66666666666666652</v>
      </c>
      <c r="AD189" s="39">
        <f t="shared" si="539"/>
        <v>1.0031746031746032</v>
      </c>
      <c r="AE189" s="39">
        <f t="shared" si="539"/>
        <v>0.65396825396825387</v>
      </c>
      <c r="AF189" s="39">
        <f t="shared" si="539"/>
        <v>1.0666666666666667</v>
      </c>
      <c r="AG189" s="39">
        <f t="shared" si="539"/>
        <v>0.8</v>
      </c>
      <c r="AH189" s="39">
        <f t="shared" si="539"/>
        <v>0.71746031746031735</v>
      </c>
      <c r="AI189" s="45">
        <f>SUM(AI167,AI186)</f>
        <v>0.83936507936507931</v>
      </c>
      <c r="AJ189" s="44">
        <f t="shared" ref="AJ189:AR189" si="540">SUM(AJ167,AJ186)</f>
        <v>1.0566349206349206</v>
      </c>
      <c r="AK189" s="44">
        <f t="shared" si="540"/>
        <v>0.7</v>
      </c>
      <c r="AL189" s="44">
        <f t="shared" si="540"/>
        <v>0.95428571428571418</v>
      </c>
      <c r="AM189" s="44">
        <f t="shared" si="540"/>
        <v>0.77980952380952373</v>
      </c>
      <c r="AN189" s="44">
        <f t="shared" ref="AN189" si="541">SUM(AN167,AN186)</f>
        <v>0.66539682539682543</v>
      </c>
      <c r="AO189" s="44">
        <f t="shared" ref="AO189:AQ189" si="542">SUM(AO167,AO186)</f>
        <v>0.99777777777777765</v>
      </c>
      <c r="AP189" s="44">
        <f t="shared" si="540"/>
        <v>1.0326984126984127</v>
      </c>
      <c r="AQ189" s="44">
        <f t="shared" si="542"/>
        <v>0.6549206349206349</v>
      </c>
      <c r="AR189" s="44">
        <f t="shared" si="540"/>
        <v>0.91568253968253965</v>
      </c>
      <c r="AS189" s="45">
        <f t="shared" ref="AS189:BV189" si="543">SUM(AS167,AS186)</f>
        <v>0.83939393939393936</v>
      </c>
      <c r="AT189" s="39">
        <f t="shared" si="543"/>
        <v>1.2030303030303031</v>
      </c>
      <c r="AU189" s="39">
        <f t="shared" ref="AU189:AV189" si="544">SUM(AU167,AU186)</f>
        <v>0.94242424242424239</v>
      </c>
      <c r="AV189" s="39">
        <f t="shared" si="544"/>
        <v>0.78787878787878785</v>
      </c>
      <c r="AW189" s="39">
        <f t="shared" ref="AW189:BB190" si="545">SUM(AW167,AW186)</f>
        <v>0.72727272727272729</v>
      </c>
      <c r="AX189" s="44">
        <f t="shared" si="545"/>
        <v>1.0333333333333332</v>
      </c>
      <c r="AY189" s="44">
        <f t="shared" ref="AY189:AZ189" si="546">SUM(AY167,AY186)</f>
        <v>0.87575757575757573</v>
      </c>
      <c r="AZ189" s="44">
        <f t="shared" si="546"/>
        <v>0.8</v>
      </c>
      <c r="BA189" s="44">
        <f t="shared" si="545"/>
        <v>0.83030303030303032</v>
      </c>
      <c r="BB189" s="44">
        <f t="shared" si="545"/>
        <v>0.96060606060606046</v>
      </c>
      <c r="BC189" s="45">
        <f t="shared" si="543"/>
        <v>1.1116825396825396</v>
      </c>
      <c r="BD189" s="44">
        <f t="shared" ref="BD189:BG189" si="547">SUM(BD167,BD186)</f>
        <v>0.79365079365079372</v>
      </c>
      <c r="BE189" s="44">
        <f t="shared" si="543"/>
        <v>1.2666666666666666</v>
      </c>
      <c r="BF189" s="44">
        <f t="shared" si="547"/>
        <v>0.86984126984126986</v>
      </c>
      <c r="BG189" s="44">
        <f t="shared" si="547"/>
        <v>0.99047619047619051</v>
      </c>
      <c r="BH189" s="44">
        <f t="shared" ref="BH189:BL189" si="548">SUM(BH167,BH186)</f>
        <v>0.77460317460317452</v>
      </c>
      <c r="BI189" s="44">
        <f t="shared" si="548"/>
        <v>0.92698412698412702</v>
      </c>
      <c r="BJ189" s="44">
        <f t="shared" si="548"/>
        <v>0.74285714285714288</v>
      </c>
      <c r="BK189" s="44">
        <f t="shared" si="548"/>
        <v>1.0380952380952382</v>
      </c>
      <c r="BL189" s="39">
        <f t="shared" si="548"/>
        <v>0.71111111111111103</v>
      </c>
      <c r="BM189" s="284">
        <f t="shared" si="543"/>
        <v>0.90909090909090895</v>
      </c>
      <c r="BN189" s="44">
        <f t="shared" ref="BN189" si="549">SUM(BN167,BN186)</f>
        <v>0.8666666666666667</v>
      </c>
      <c r="BO189" s="44">
        <f t="shared" si="543"/>
        <v>1.1454545454545455</v>
      </c>
      <c r="BP189" s="44">
        <f t="shared" ref="BP189:BQ189" si="550">SUM(BP167,BP186)</f>
        <v>1.0787878787878789</v>
      </c>
      <c r="BQ189" s="44">
        <f t="shared" si="550"/>
        <v>0.83636363636363642</v>
      </c>
      <c r="BR189" s="44">
        <f t="shared" ref="BR189:BS189" si="551">SUM(BR167,BR186)</f>
        <v>0.94545454545454533</v>
      </c>
      <c r="BS189" s="44">
        <f t="shared" si="551"/>
        <v>0.92727272727272725</v>
      </c>
      <c r="BT189" s="44">
        <f t="shared" ref="BT189:BU189" si="552">SUM(BT167,BT186)</f>
        <v>1.1090909090909091</v>
      </c>
      <c r="BU189" s="44">
        <f t="shared" si="552"/>
        <v>1.2303030303030302</v>
      </c>
      <c r="BV189" s="44">
        <f t="shared" si="543"/>
        <v>0.92727272727272725</v>
      </c>
      <c r="BW189" s="45">
        <f t="shared" ref="BW189:DN189" si="553">SUM(BW167,BW186)</f>
        <v>1.1400000000000001</v>
      </c>
      <c r="BX189" s="44">
        <f t="shared" si="553"/>
        <v>0.66666666666666674</v>
      </c>
      <c r="BY189" s="44">
        <f t="shared" ref="BY189:BZ189" si="554">SUM(BY167,BY186)</f>
        <v>0.97666666666666657</v>
      </c>
      <c r="BZ189" s="44">
        <f t="shared" si="554"/>
        <v>1.0066666666666666</v>
      </c>
      <c r="CA189" s="44">
        <f t="shared" ref="CA189:CF189" si="555">SUM(CA167,CA186)</f>
        <v>0.95666666666666667</v>
      </c>
      <c r="CB189" s="44">
        <f t="shared" si="555"/>
        <v>0.97333333333333316</v>
      </c>
      <c r="CC189" s="44">
        <f t="shared" ref="CC189:CD189" si="556">SUM(CC167,CC186)</f>
        <v>0.81333333333333335</v>
      </c>
      <c r="CD189" s="44">
        <f t="shared" si="556"/>
        <v>0.82666666666666666</v>
      </c>
      <c r="CE189" s="44">
        <f t="shared" si="555"/>
        <v>0.98666666666666658</v>
      </c>
      <c r="CF189" s="44">
        <f t="shared" si="555"/>
        <v>0.87999999999999989</v>
      </c>
      <c r="CG189" s="45">
        <f>SUM(CG167,CG186)</f>
        <v>1.0444444444444443</v>
      </c>
      <c r="CH189" s="44">
        <f t="shared" si="553"/>
        <v>0.56296296296296289</v>
      </c>
      <c r="CI189" s="44">
        <f t="shared" ref="CI189:CP189" si="557">SUM(CI167,CI186)</f>
        <v>0.4148148148148148</v>
      </c>
      <c r="CJ189" s="44">
        <f t="shared" si="557"/>
        <v>0.52592592592592591</v>
      </c>
      <c r="CK189" s="44">
        <f t="shared" si="557"/>
        <v>0.15555555555555556</v>
      </c>
      <c r="CL189" s="44">
        <f t="shared" ref="CL189:CM189" si="558">SUM(CL167,CL186)</f>
        <v>0.48888888888888887</v>
      </c>
      <c r="CM189" s="44">
        <f t="shared" si="558"/>
        <v>0.22962962962962963</v>
      </c>
      <c r="CN189" s="44">
        <f t="shared" si="557"/>
        <v>0.52592592592592591</v>
      </c>
      <c r="CO189" s="44">
        <f t="shared" si="557"/>
        <v>0.63703703703703707</v>
      </c>
      <c r="CP189" s="44">
        <f t="shared" si="557"/>
        <v>0.34074074074074073</v>
      </c>
      <c r="CQ189" s="45">
        <f t="shared" ref="CQ189:CR189" si="559">SUM(CQ167,CQ186)</f>
        <v>0.73</v>
      </c>
      <c r="CR189" s="44">
        <f t="shared" si="559"/>
        <v>0.83666666666666667</v>
      </c>
      <c r="CS189" s="44">
        <f t="shared" ref="CS189:CW189" si="560">SUM(CS167,CS186)</f>
        <v>0.67666666666666664</v>
      </c>
      <c r="CT189" s="44">
        <f t="shared" si="560"/>
        <v>0.71</v>
      </c>
      <c r="CU189" s="44">
        <f t="shared" si="560"/>
        <v>0.8833333333333333</v>
      </c>
      <c r="CV189" s="44">
        <f t="shared" si="560"/>
        <v>0.92333333333333334</v>
      </c>
      <c r="CW189" s="44">
        <f t="shared" si="560"/>
        <v>0.78999999999999992</v>
      </c>
      <c r="CX189" s="45">
        <f t="shared" ref="CX189:DG189" si="561">SUM(CX167,CX186)</f>
        <v>0.86952380952380948</v>
      </c>
      <c r="CY189" s="44">
        <f t="shared" si="561"/>
        <v>0.91111111111111098</v>
      </c>
      <c r="CZ189" s="44">
        <f t="shared" ref="CZ189:DA189" si="562">SUM(CZ167,CZ186)</f>
        <v>0.76507936507936503</v>
      </c>
      <c r="DA189" s="44">
        <f t="shared" si="562"/>
        <v>0.77777777777777768</v>
      </c>
      <c r="DB189" s="44">
        <f t="shared" si="561"/>
        <v>0.51111111111111107</v>
      </c>
      <c r="DC189" s="44">
        <f t="shared" si="561"/>
        <v>0.78095238095238084</v>
      </c>
      <c r="DD189" s="44">
        <f t="shared" si="561"/>
        <v>0.7936507936507935</v>
      </c>
      <c r="DE189" s="45">
        <f t="shared" si="561"/>
        <v>0.86274509803921573</v>
      </c>
      <c r="DF189" s="44">
        <f t="shared" si="561"/>
        <v>0.76078431372549027</v>
      </c>
      <c r="DG189" s="44">
        <f t="shared" si="561"/>
        <v>0.69803921568627458</v>
      </c>
      <c r="DH189" s="44">
        <f t="shared" ref="DH189:DK189" si="563">SUM(DH167,DH186)</f>
        <v>0.61960784313725492</v>
      </c>
      <c r="DI189" s="44">
        <f t="shared" si="563"/>
        <v>0.61960784313725492</v>
      </c>
      <c r="DJ189" s="44">
        <f t="shared" si="563"/>
        <v>0.61960784313725492</v>
      </c>
      <c r="DK189" s="44">
        <f t="shared" si="563"/>
        <v>0.54117647058823526</v>
      </c>
      <c r="DL189" s="45">
        <f t="shared" si="553"/>
        <v>0</v>
      </c>
      <c r="DM189" s="44">
        <f t="shared" si="553"/>
        <v>0</v>
      </c>
      <c r="DN189" s="44">
        <f t="shared" si="553"/>
        <v>0</v>
      </c>
      <c r="DO189" s="44">
        <f t="shared" ref="DO189:DS189" si="564">SUM(DO167,DO186)</f>
        <v>0</v>
      </c>
      <c r="DP189" s="44">
        <f t="shared" si="564"/>
        <v>0</v>
      </c>
      <c r="DQ189" s="44">
        <f t="shared" si="564"/>
        <v>0</v>
      </c>
      <c r="DR189" s="44">
        <f t="shared" si="564"/>
        <v>0</v>
      </c>
      <c r="DS189" s="39">
        <f t="shared" si="564"/>
        <v>0</v>
      </c>
    </row>
    <row r="190" spans="1:125" ht="20.100000000000001" customHeight="1" x14ac:dyDescent="0.4">
      <c r="M190" s="40" t="s">
        <v>93</v>
      </c>
      <c r="N190" s="48" t="s">
        <v>90</v>
      </c>
      <c r="O190" s="39">
        <f>SUM(O168,O187)</f>
        <v>1</v>
      </c>
      <c r="P190" s="39">
        <f>SUM(P168,P187)</f>
        <v>0.85833333333333339</v>
      </c>
      <c r="Q190" s="39">
        <f t="shared" ref="Q190:X190" si="565">SUM(Q168,Q187)</f>
        <v>0.9375</v>
      </c>
      <c r="R190" s="39">
        <f t="shared" si="565"/>
        <v>1</v>
      </c>
      <c r="S190" s="39">
        <f t="shared" si="565"/>
        <v>0.76250000000000007</v>
      </c>
      <c r="T190" s="39">
        <f t="shared" si="565"/>
        <v>1</v>
      </c>
      <c r="U190" s="39">
        <f t="shared" si="565"/>
        <v>0.88749999999999996</v>
      </c>
      <c r="V190" s="39">
        <f t="shared" si="565"/>
        <v>0.89166666666666661</v>
      </c>
      <c r="W190" s="39">
        <f t="shared" si="565"/>
        <v>1</v>
      </c>
      <c r="X190" s="39">
        <f t="shared" si="565"/>
        <v>0.68750000000000011</v>
      </c>
      <c r="Y190" s="39">
        <f>SUM(Y168,Y187)</f>
        <v>0.97460317460317447</v>
      </c>
      <c r="Z190" s="39">
        <f>SUM(Z168,Z187)</f>
        <v>0.78730158730158717</v>
      </c>
      <c r="AA190" s="39">
        <f t="shared" ref="AA190:AH190" si="566">SUM(AA168,AA187)</f>
        <v>0.66984126984126979</v>
      </c>
      <c r="AB190" s="39">
        <f t="shared" si="566"/>
        <v>0.82222222222222219</v>
      </c>
      <c r="AC190" s="39">
        <f t="shared" si="566"/>
        <v>0.65079365079365081</v>
      </c>
      <c r="AD190" s="39">
        <f t="shared" si="566"/>
        <v>0.91111111111111098</v>
      </c>
      <c r="AE190" s="39">
        <f t="shared" si="566"/>
        <v>0.69206349206349194</v>
      </c>
      <c r="AF190" s="39">
        <f t="shared" si="566"/>
        <v>0.68571428571428572</v>
      </c>
      <c r="AG190" s="39">
        <f t="shared" si="566"/>
        <v>0.76190476190476175</v>
      </c>
      <c r="AH190" s="39">
        <f t="shared" si="566"/>
        <v>0.7587301587301587</v>
      </c>
      <c r="AI190" s="45">
        <f t="shared" ref="AI190:BV190" si="567">SUM(AI168,AI187)</f>
        <v>0.80952380952380942</v>
      </c>
      <c r="AJ190" s="44">
        <f t="shared" ref="AJ190" si="568">SUM(AJ168,AJ187)</f>
        <v>0.93650793650793651</v>
      </c>
      <c r="AK190" s="44">
        <f t="shared" si="567"/>
        <v>0.79365079365079361</v>
      </c>
      <c r="AL190" s="44">
        <f t="shared" ref="AL190:AN190" si="569">SUM(AL168,AL187)</f>
        <v>0.93333333333333335</v>
      </c>
      <c r="AM190" s="44">
        <f t="shared" si="569"/>
        <v>0.83492063492063495</v>
      </c>
      <c r="AN190" s="44">
        <f t="shared" si="569"/>
        <v>0.82857142857142851</v>
      </c>
      <c r="AO190" s="44">
        <f t="shared" ref="AO190:AQ190" si="570">SUM(AO168,AO187)</f>
        <v>0.80634920634920615</v>
      </c>
      <c r="AP190" s="44">
        <f t="shared" si="567"/>
        <v>0.91428571428571415</v>
      </c>
      <c r="AQ190" s="44">
        <f t="shared" si="570"/>
        <v>0.83492063492063484</v>
      </c>
      <c r="AR190" s="44">
        <f t="shared" si="567"/>
        <v>0.81587301587301586</v>
      </c>
      <c r="AS190" s="45">
        <f t="shared" si="567"/>
        <v>0.87575757575757573</v>
      </c>
      <c r="AT190" s="39">
        <f t="shared" si="567"/>
        <v>0.92424242424242431</v>
      </c>
      <c r="AU190" s="39">
        <f t="shared" ref="AU190:AV190" si="571">SUM(AU168,AU187)</f>
        <v>0.82121212121212128</v>
      </c>
      <c r="AV190" s="39">
        <f t="shared" si="571"/>
        <v>0.97878787878787876</v>
      </c>
      <c r="AW190" s="39">
        <f t="shared" ref="AW190:AZ190" si="572">SUM(AW168,AW187)</f>
        <v>0.75757575757575757</v>
      </c>
      <c r="AX190" s="44">
        <f t="shared" si="572"/>
        <v>0.89393939393939392</v>
      </c>
      <c r="AY190" s="44">
        <f t="shared" si="572"/>
        <v>0.85151515151515156</v>
      </c>
      <c r="AZ190" s="44">
        <f t="shared" si="572"/>
        <v>0.87878787878787878</v>
      </c>
      <c r="BA190" s="44">
        <f t="shared" si="545"/>
        <v>0.89999999999999991</v>
      </c>
      <c r="BB190" s="44">
        <f t="shared" si="545"/>
        <v>0.85757575757575766</v>
      </c>
      <c r="BC190" s="45">
        <f t="shared" si="567"/>
        <v>0.94920634920634916</v>
      </c>
      <c r="BD190" s="44">
        <f t="shared" ref="BD190:BG190" si="573">SUM(BD168,BD187)</f>
        <v>0.78412698412698412</v>
      </c>
      <c r="BE190" s="44">
        <f t="shared" si="567"/>
        <v>0.99682539682539661</v>
      </c>
      <c r="BF190" s="44">
        <f t="shared" si="573"/>
        <v>0.90476190476190466</v>
      </c>
      <c r="BG190" s="44">
        <f t="shared" si="573"/>
        <v>1</v>
      </c>
      <c r="BH190" s="44">
        <f>SUM(BH168,BH187)</f>
        <v>0.79365079365079361</v>
      </c>
      <c r="BI190" s="44">
        <f>SUM(BI168,BI187)</f>
        <v>0.91428571428571426</v>
      </c>
      <c r="BJ190" s="44">
        <f t="shared" ref="BJ190:BL190" si="574">SUM(BJ168,BJ187)</f>
        <v>0.80952380952380953</v>
      </c>
      <c r="BK190" s="44">
        <f t="shared" si="574"/>
        <v>0.99682539682539684</v>
      </c>
      <c r="BL190" s="39">
        <f t="shared" si="574"/>
        <v>0.84761904761904772</v>
      </c>
      <c r="BM190" s="284">
        <f t="shared" si="567"/>
        <v>0.98181818181818192</v>
      </c>
      <c r="BN190" s="44">
        <f t="shared" ref="BN190" si="575">SUM(BN168,BN187)</f>
        <v>0.9939393939393939</v>
      </c>
      <c r="BO190" s="44">
        <f t="shared" si="567"/>
        <v>0.94848484848484826</v>
      </c>
      <c r="BP190" s="44">
        <f t="shared" ref="BP190:BQ190" si="576">SUM(BP168,BP187)</f>
        <v>1</v>
      </c>
      <c r="BQ190" s="44">
        <f t="shared" si="576"/>
        <v>1.0030303030303029</v>
      </c>
      <c r="BR190" s="44">
        <f t="shared" ref="BR190:BS190" si="577">SUM(BR168,BR187)</f>
        <v>1</v>
      </c>
      <c r="BS190" s="44">
        <f t="shared" si="577"/>
        <v>0.95454545454545436</v>
      </c>
      <c r="BT190" s="44">
        <f t="shared" ref="BT190:BU190" si="578">SUM(BT168,BT187)</f>
        <v>0.94545454545454544</v>
      </c>
      <c r="BU190" s="44">
        <f t="shared" si="578"/>
        <v>1.0030303030303029</v>
      </c>
      <c r="BV190" s="44">
        <f t="shared" si="567"/>
        <v>0.95454545454545436</v>
      </c>
      <c r="BW190" s="45">
        <f t="shared" ref="BW190:DN190" si="579">SUM(BW168,BW187)</f>
        <v>1</v>
      </c>
      <c r="BX190" s="44">
        <f t="shared" si="579"/>
        <v>0.80333333333333323</v>
      </c>
      <c r="BY190" s="44">
        <f t="shared" ref="BY190:BZ190" si="580">SUM(BY168,BY187)</f>
        <v>0.99333333333333318</v>
      </c>
      <c r="BZ190" s="44">
        <f t="shared" si="580"/>
        <v>0.94333333333333336</v>
      </c>
      <c r="CA190" s="44">
        <f t="shared" ref="CA190:CF190" si="581">SUM(CA168,CA187)</f>
        <v>0.85</v>
      </c>
      <c r="CB190" s="44">
        <f t="shared" si="581"/>
        <v>0.97999999999999987</v>
      </c>
      <c r="CC190" s="44">
        <f t="shared" ref="CC190:CD190" si="582">SUM(CC168,CC187)</f>
        <v>0.75</v>
      </c>
      <c r="CD190" s="44">
        <f t="shared" si="582"/>
        <v>0.84666666666666668</v>
      </c>
      <c r="CE190" s="44">
        <f t="shared" si="581"/>
        <v>0.95</v>
      </c>
      <c r="CF190" s="44">
        <f t="shared" si="581"/>
        <v>0.92666666666666664</v>
      </c>
      <c r="CG190" s="45">
        <f t="shared" si="579"/>
        <v>0.7407407407407407</v>
      </c>
      <c r="CH190" s="44">
        <f t="shared" si="579"/>
        <v>0.55185185185185182</v>
      </c>
      <c r="CI190" s="44">
        <f t="shared" ref="CI190:CP190" si="583">SUM(CI168,CI187)</f>
        <v>0.53888888888888886</v>
      </c>
      <c r="CJ190" s="44">
        <f t="shared" si="583"/>
        <v>0.44999999999999996</v>
      </c>
      <c r="CK190" s="44">
        <f t="shared" si="583"/>
        <v>0.13148148148148148</v>
      </c>
      <c r="CL190" s="44">
        <f t="shared" ref="CL190:CM190" si="584">SUM(CL168,CL187)</f>
        <v>0.39444444444444449</v>
      </c>
      <c r="CM190" s="44">
        <f t="shared" si="584"/>
        <v>0.21111111111111111</v>
      </c>
      <c r="CN190" s="44">
        <f t="shared" si="583"/>
        <v>0.47037037037037033</v>
      </c>
      <c r="CO190" s="44">
        <f t="shared" si="583"/>
        <v>0.59629629629629632</v>
      </c>
      <c r="CP190" s="44">
        <f t="shared" si="583"/>
        <v>0.20370370370370372</v>
      </c>
      <c r="CQ190" s="45">
        <f>SUM(CQ168,CQ187)</f>
        <v>0.70333333333333337</v>
      </c>
      <c r="CR190" s="44">
        <f t="shared" ref="CR190" si="585">SUM(CR168,CR187)</f>
        <v>0.75</v>
      </c>
      <c r="CS190" s="44">
        <f t="shared" ref="CS190:CW190" si="586">SUM(CS168,CS187)</f>
        <v>0.70000000000000007</v>
      </c>
      <c r="CT190" s="44">
        <f t="shared" si="586"/>
        <v>0.69333333333333336</v>
      </c>
      <c r="CU190" s="44">
        <f t="shared" si="586"/>
        <v>0.82</v>
      </c>
      <c r="CV190" s="44">
        <f t="shared" si="586"/>
        <v>0.92333333333333323</v>
      </c>
      <c r="CW190" s="44">
        <f t="shared" si="586"/>
        <v>0.69333333333333336</v>
      </c>
      <c r="CX190" s="45">
        <f t="shared" ref="CX190:DG190" si="587">SUM(CX168,CX187)</f>
        <v>0.85079365079365088</v>
      </c>
      <c r="CY190" s="44">
        <f t="shared" si="587"/>
        <v>0.89523809523809528</v>
      </c>
      <c r="CZ190" s="44">
        <f t="shared" ref="CZ190:DA190" si="588">SUM(CZ168,CZ187)</f>
        <v>0.62857142857142845</v>
      </c>
      <c r="DA190" s="44">
        <f t="shared" si="588"/>
        <v>0.81587301587301586</v>
      </c>
      <c r="DB190" s="44">
        <f t="shared" si="587"/>
        <v>0.67301587301587296</v>
      </c>
      <c r="DC190" s="44">
        <f t="shared" si="587"/>
        <v>0.73333333333333339</v>
      </c>
      <c r="DD190" s="44">
        <f t="shared" si="587"/>
        <v>0.70158730158730154</v>
      </c>
      <c r="DE190" s="45">
        <f t="shared" si="587"/>
        <v>0.73333333333333339</v>
      </c>
      <c r="DF190" s="44">
        <f t="shared" si="587"/>
        <v>0.85882352941176476</v>
      </c>
      <c r="DG190" s="44">
        <f t="shared" si="587"/>
        <v>0.80392156862745101</v>
      </c>
      <c r="DH190" s="44">
        <f t="shared" ref="DH190:DK190" si="589">SUM(DH168,DH187)</f>
        <v>0.73333333333333328</v>
      </c>
      <c r="DI190" s="44">
        <f t="shared" si="589"/>
        <v>0.77254901960784306</v>
      </c>
      <c r="DJ190" s="44">
        <f t="shared" si="589"/>
        <v>0.63921568627450986</v>
      </c>
      <c r="DK190" s="44">
        <f t="shared" si="589"/>
        <v>0.76078431372549016</v>
      </c>
      <c r="DL190" s="45">
        <f t="shared" si="579"/>
        <v>0</v>
      </c>
      <c r="DM190" s="44">
        <f t="shared" si="579"/>
        <v>0</v>
      </c>
      <c r="DN190" s="44">
        <f t="shared" si="579"/>
        <v>0</v>
      </c>
      <c r="DO190" s="44">
        <f t="shared" ref="DO190:DS190" si="590">SUM(DO168,DO187)</f>
        <v>0</v>
      </c>
      <c r="DP190" s="44">
        <f t="shared" si="590"/>
        <v>0</v>
      </c>
      <c r="DQ190" s="44">
        <f t="shared" si="590"/>
        <v>0</v>
      </c>
      <c r="DR190" s="44">
        <f t="shared" si="590"/>
        <v>0</v>
      </c>
      <c r="DS190" s="39">
        <f t="shared" si="590"/>
        <v>0</v>
      </c>
    </row>
    <row r="191" spans="1:125" ht="20.100000000000001" customHeight="1" thickBot="1" x14ac:dyDescent="0.45">
      <c r="M191" s="41" t="s">
        <v>96</v>
      </c>
      <c r="N191" s="49" t="s">
        <v>94</v>
      </c>
      <c r="O191" s="531">
        <f>SUM(O189:X189)</f>
        <v>9.3374999999999986</v>
      </c>
      <c r="P191" s="531"/>
      <c r="Q191" s="531"/>
      <c r="R191" s="531"/>
      <c r="S191" s="531"/>
      <c r="T191" s="531"/>
      <c r="U191" s="531"/>
      <c r="V191" s="531"/>
      <c r="W191" s="531"/>
      <c r="X191" s="532"/>
      <c r="Y191" s="531">
        <f>SUM(Y189:AH189)</f>
        <v>8.1968253968253961</v>
      </c>
      <c r="Z191" s="531"/>
      <c r="AA191" s="531"/>
      <c r="AB191" s="531"/>
      <c r="AC191" s="531"/>
      <c r="AD191" s="531"/>
      <c r="AE191" s="531"/>
      <c r="AF191" s="531"/>
      <c r="AG191" s="531"/>
      <c r="AH191" s="532"/>
      <c r="AI191" s="457">
        <f>SUM(AI189:AR189)</f>
        <v>8.5965714285714281</v>
      </c>
      <c r="AJ191" s="531"/>
      <c r="AK191" s="458"/>
      <c r="AL191" s="458"/>
      <c r="AM191" s="458"/>
      <c r="AN191" s="458"/>
      <c r="AO191" s="458"/>
      <c r="AP191" s="458"/>
      <c r="AQ191" s="458"/>
      <c r="AR191" s="458"/>
      <c r="AS191" s="523">
        <f>SUM(AS189:BB189)</f>
        <v>9</v>
      </c>
      <c r="AT191" s="524"/>
      <c r="AU191" s="524"/>
      <c r="AV191" s="524"/>
      <c r="AW191" s="524"/>
      <c r="AX191" s="524"/>
      <c r="AY191" s="525"/>
      <c r="AZ191" s="525"/>
      <c r="BA191" s="525"/>
      <c r="BB191" s="525"/>
      <c r="BC191" s="457">
        <f>SUM(BC189:BL189)</f>
        <v>9.2259682539682526</v>
      </c>
      <c r="BD191" s="458"/>
      <c r="BE191" s="458"/>
      <c r="BF191" s="458"/>
      <c r="BG191" s="458"/>
      <c r="BH191" s="458"/>
      <c r="BI191" s="458"/>
      <c r="BJ191" s="458"/>
      <c r="BK191" s="458"/>
      <c r="BL191" s="459"/>
      <c r="BM191" s="531">
        <f>SUM(BM189:BV189)</f>
        <v>9.9757575757575765</v>
      </c>
      <c r="BN191" s="458"/>
      <c r="BO191" s="458"/>
      <c r="BP191" s="458"/>
      <c r="BQ191" s="458"/>
      <c r="BR191" s="458"/>
      <c r="BS191" s="458"/>
      <c r="BT191" s="458"/>
      <c r="BU191" s="458"/>
      <c r="BV191" s="458"/>
      <c r="BW191" s="457">
        <f>SUM(BW189:CF189)</f>
        <v>9.2266666666666666</v>
      </c>
      <c r="BX191" s="458"/>
      <c r="BY191" s="458"/>
      <c r="BZ191" s="458"/>
      <c r="CA191" s="458"/>
      <c r="CB191" s="458"/>
      <c r="CC191" s="458"/>
      <c r="CD191" s="458"/>
      <c r="CE191" s="458"/>
      <c r="CF191" s="458"/>
      <c r="CG191" s="457">
        <f>SUM(CG189:CP189)</f>
        <v>4.9259259259259265</v>
      </c>
      <c r="CH191" s="458"/>
      <c r="CI191" s="458"/>
      <c r="CJ191" s="458"/>
      <c r="CK191" s="458"/>
      <c r="CL191" s="458"/>
      <c r="CM191" s="458"/>
      <c r="CN191" s="458"/>
      <c r="CO191" s="458"/>
      <c r="CP191" s="458"/>
      <c r="CQ191" s="457">
        <f>SUM(CQ189:CW189)</f>
        <v>5.55</v>
      </c>
      <c r="CR191" s="458"/>
      <c r="CS191" s="458"/>
      <c r="CT191" s="458"/>
      <c r="CU191" s="458"/>
      <c r="CV191" s="458"/>
      <c r="CW191" s="458"/>
      <c r="CX191" s="457">
        <f>SUM(CX189:DD189)</f>
        <v>5.4092063492063485</v>
      </c>
      <c r="CY191" s="458"/>
      <c r="CZ191" s="458"/>
      <c r="DA191" s="458"/>
      <c r="DB191" s="458"/>
      <c r="DC191" s="458"/>
      <c r="DD191" s="458"/>
      <c r="DE191" s="457">
        <f>SUM(DE189:DK189)</f>
        <v>4.7215686274509805</v>
      </c>
      <c r="DF191" s="458"/>
      <c r="DG191" s="458"/>
      <c r="DH191" s="458"/>
      <c r="DI191" s="458"/>
      <c r="DJ191" s="458"/>
      <c r="DK191" s="458"/>
      <c r="DL191" s="457">
        <f>SUM(DL189:DS189)</f>
        <v>0</v>
      </c>
      <c r="DM191" s="458"/>
      <c r="DN191" s="458"/>
      <c r="DO191" s="458"/>
      <c r="DP191" s="458"/>
      <c r="DQ191" s="458"/>
      <c r="DR191" s="458"/>
      <c r="DS191" s="459"/>
    </row>
    <row r="192" spans="1:125" ht="20.100000000000001" customHeight="1" thickTop="1" thickBot="1" x14ac:dyDescent="0.45">
      <c r="M192" s="41" t="s">
        <v>97</v>
      </c>
      <c r="N192" s="50" t="s">
        <v>95</v>
      </c>
      <c r="O192" s="518">
        <f>SUM(O190:X190)</f>
        <v>9.0250000000000004</v>
      </c>
      <c r="P192" s="518"/>
      <c r="Q192" s="518"/>
      <c r="R192" s="518"/>
      <c r="S192" s="518"/>
      <c r="T192" s="518"/>
      <c r="U192" s="518"/>
      <c r="V192" s="518"/>
      <c r="W192" s="518"/>
      <c r="X192" s="520"/>
      <c r="Y192" s="518">
        <f>SUM(Y190:AH190)</f>
        <v>7.7142857142857144</v>
      </c>
      <c r="Z192" s="518"/>
      <c r="AA192" s="518"/>
      <c r="AB192" s="518"/>
      <c r="AC192" s="518"/>
      <c r="AD192" s="518"/>
      <c r="AE192" s="518"/>
      <c r="AF192" s="518"/>
      <c r="AG192" s="518"/>
      <c r="AH192" s="520"/>
      <c r="AI192" s="460">
        <f>SUM(AI190:AR190)</f>
        <v>8.5079365079365061</v>
      </c>
      <c r="AJ192" s="518"/>
      <c r="AK192" s="461"/>
      <c r="AL192" s="461"/>
      <c r="AM192" s="461"/>
      <c r="AN192" s="461"/>
      <c r="AO192" s="461"/>
      <c r="AP192" s="461"/>
      <c r="AQ192" s="461"/>
      <c r="AR192" s="461"/>
      <c r="AS192" s="526">
        <f>SUM(AS190:BB190)</f>
        <v>8.7393939393939384</v>
      </c>
      <c r="AT192" s="527"/>
      <c r="AU192" s="527"/>
      <c r="AV192" s="527"/>
      <c r="AW192" s="527"/>
      <c r="AX192" s="527"/>
      <c r="AY192" s="528"/>
      <c r="AZ192" s="528"/>
      <c r="BA192" s="528"/>
      <c r="BB192" s="528"/>
      <c r="BC192" s="460">
        <f>SUM(BC190:BL190)</f>
        <v>8.9968253968253968</v>
      </c>
      <c r="BD192" s="461"/>
      <c r="BE192" s="461"/>
      <c r="BF192" s="461"/>
      <c r="BG192" s="461"/>
      <c r="BH192" s="461"/>
      <c r="BI192" s="461"/>
      <c r="BJ192" s="461"/>
      <c r="BK192" s="461"/>
      <c r="BL192" s="462"/>
      <c r="BM192" s="518">
        <f>SUM(BM190:BV190)</f>
        <v>9.7848484848484834</v>
      </c>
      <c r="BN192" s="461"/>
      <c r="BO192" s="461"/>
      <c r="BP192" s="461"/>
      <c r="BQ192" s="461"/>
      <c r="BR192" s="461"/>
      <c r="BS192" s="461"/>
      <c r="BT192" s="461"/>
      <c r="BU192" s="461"/>
      <c r="BV192" s="461"/>
      <c r="BW192" s="460">
        <f>SUM(BW190:CF190)</f>
        <v>9.0433333333333312</v>
      </c>
      <c r="BX192" s="461"/>
      <c r="BY192" s="461"/>
      <c r="BZ192" s="461"/>
      <c r="CA192" s="461"/>
      <c r="CB192" s="461"/>
      <c r="CC192" s="461"/>
      <c r="CD192" s="461"/>
      <c r="CE192" s="461"/>
      <c r="CF192" s="461"/>
      <c r="CG192" s="460">
        <f>SUM(CG190:CP190)</f>
        <v>4.2888888888888896</v>
      </c>
      <c r="CH192" s="461"/>
      <c r="CI192" s="461"/>
      <c r="CJ192" s="461"/>
      <c r="CK192" s="461"/>
      <c r="CL192" s="461"/>
      <c r="CM192" s="461"/>
      <c r="CN192" s="461"/>
      <c r="CO192" s="461"/>
      <c r="CP192" s="461"/>
      <c r="CQ192" s="460">
        <f>SUM(CQ190:CW190)</f>
        <v>5.2833333333333332</v>
      </c>
      <c r="CR192" s="461"/>
      <c r="CS192" s="461"/>
      <c r="CT192" s="461"/>
      <c r="CU192" s="461"/>
      <c r="CV192" s="461"/>
      <c r="CW192" s="461"/>
      <c r="CX192" s="460">
        <f>SUM(CX190:DD190)</f>
        <v>5.2984126984126982</v>
      </c>
      <c r="CY192" s="461"/>
      <c r="CZ192" s="461"/>
      <c r="DA192" s="461"/>
      <c r="DB192" s="461"/>
      <c r="DC192" s="461"/>
      <c r="DD192" s="461"/>
      <c r="DE192" s="460">
        <f>SUM(DE190:DK190)</f>
        <v>5.3019607843137262</v>
      </c>
      <c r="DF192" s="461"/>
      <c r="DG192" s="461"/>
      <c r="DH192" s="461"/>
      <c r="DI192" s="461"/>
      <c r="DJ192" s="461"/>
      <c r="DK192" s="461"/>
      <c r="DL192" s="460">
        <f>SUM(DL190:DS190)</f>
        <v>0</v>
      </c>
      <c r="DM192" s="461"/>
      <c r="DN192" s="461"/>
      <c r="DO192" s="461"/>
      <c r="DP192" s="461"/>
      <c r="DQ192" s="461"/>
      <c r="DR192" s="461"/>
      <c r="DS192" s="462"/>
    </row>
    <row r="193" spans="1:124" ht="20.100000000000001" customHeight="1" thickTop="1" x14ac:dyDescent="0.4"/>
    <row r="194" spans="1:124" ht="20.100000000000001" customHeight="1" x14ac:dyDescent="0.4">
      <c r="A194" s="8" t="s">
        <v>18</v>
      </c>
    </row>
    <row r="195" spans="1:124" s="2" customFormat="1" ht="20.100000000000001" customHeight="1" x14ac:dyDescent="0.4">
      <c r="A195" s="506" t="s">
        <v>0</v>
      </c>
      <c r="B195" s="511" t="s">
        <v>88</v>
      </c>
      <c r="C195" s="511" t="s">
        <v>6</v>
      </c>
      <c r="D195" s="511" t="s">
        <v>31</v>
      </c>
      <c r="E195" s="511" t="s">
        <v>2</v>
      </c>
      <c r="F195" s="511" t="s">
        <v>3</v>
      </c>
      <c r="G195" s="540" t="s">
        <v>1</v>
      </c>
      <c r="H195" s="513" t="s">
        <v>24</v>
      </c>
      <c r="I195" s="513" t="s">
        <v>25</v>
      </c>
      <c r="J195" s="513" t="s">
        <v>9</v>
      </c>
      <c r="K195" s="506" t="s">
        <v>7</v>
      </c>
      <c r="L195" s="506" t="s">
        <v>8</v>
      </c>
      <c r="M195" s="506" t="s">
        <v>4</v>
      </c>
      <c r="N195" s="529" t="s">
        <v>5</v>
      </c>
      <c r="O195" s="510"/>
      <c r="P195" s="510"/>
      <c r="Q195" s="510"/>
      <c r="R195" s="510"/>
      <c r="S195" s="510"/>
      <c r="T195" s="510"/>
      <c r="U195" s="510"/>
      <c r="V195" s="510"/>
      <c r="W195" s="510"/>
      <c r="X195" s="510"/>
      <c r="Y195" s="510"/>
      <c r="Z195" s="510"/>
      <c r="AA195" s="510"/>
      <c r="AB195" s="510"/>
      <c r="AC195" s="510"/>
      <c r="AD195" s="510"/>
      <c r="AE195" s="510"/>
      <c r="AF195" s="510"/>
      <c r="AG195" s="510"/>
      <c r="AH195" s="510"/>
      <c r="AI195" s="510"/>
      <c r="AJ195" s="510"/>
      <c r="AK195" s="510"/>
      <c r="AL195" s="510"/>
      <c r="AM195" s="510"/>
      <c r="AN195" s="510"/>
      <c r="AO195" s="510"/>
      <c r="AP195" s="510"/>
      <c r="AQ195" s="510"/>
      <c r="AR195" s="510"/>
      <c r="AS195" s="510"/>
      <c r="AT195" s="510"/>
      <c r="AU195" s="510"/>
      <c r="AV195" s="510"/>
      <c r="AW195" s="510"/>
      <c r="AX195" s="510"/>
      <c r="AY195" s="510"/>
      <c r="AZ195" s="510"/>
      <c r="BA195" s="510"/>
      <c r="BB195" s="510"/>
      <c r="BC195" s="510"/>
      <c r="BD195" s="510"/>
      <c r="BE195" s="510"/>
      <c r="BF195" s="510"/>
      <c r="BG195" s="510"/>
      <c r="BH195" s="510"/>
      <c r="BI195" s="510"/>
      <c r="BJ195" s="510"/>
      <c r="BK195" s="510"/>
      <c r="BL195" s="510"/>
      <c r="BM195" s="510"/>
      <c r="BN195" s="510"/>
      <c r="BO195" s="510"/>
      <c r="BP195" s="510"/>
      <c r="BQ195" s="510"/>
      <c r="BR195" s="510"/>
      <c r="BS195" s="510"/>
      <c r="BT195" s="510"/>
      <c r="BU195" s="510"/>
      <c r="BV195" s="510"/>
      <c r="BW195" s="510"/>
      <c r="BX195" s="510"/>
      <c r="BY195" s="510"/>
      <c r="BZ195" s="510"/>
      <c r="CA195" s="510"/>
      <c r="CB195" s="510"/>
      <c r="CC195" s="510"/>
      <c r="CD195" s="510"/>
      <c r="CE195" s="510"/>
      <c r="CF195" s="510"/>
      <c r="CG195" s="510"/>
      <c r="CH195" s="510"/>
      <c r="CI195" s="510"/>
      <c r="CJ195" s="510"/>
      <c r="CK195" s="510"/>
      <c r="CL195" s="510"/>
      <c r="CM195" s="510"/>
      <c r="CN195" s="510"/>
      <c r="CO195" s="510"/>
      <c r="CP195" s="510"/>
      <c r="CQ195" s="510"/>
      <c r="CR195" s="510"/>
      <c r="CS195" s="510"/>
      <c r="CT195" s="510"/>
      <c r="CU195" s="510"/>
      <c r="CV195" s="510"/>
      <c r="CW195" s="510"/>
      <c r="CX195" s="510"/>
      <c r="CY195" s="510"/>
      <c r="CZ195" s="510"/>
      <c r="DA195" s="510"/>
      <c r="DB195" s="510"/>
      <c r="DC195" s="510"/>
      <c r="DD195" s="510"/>
      <c r="DE195" s="510"/>
      <c r="DF195" s="510"/>
      <c r="DG195" s="510"/>
      <c r="DH195" s="510"/>
      <c r="DI195" s="510"/>
      <c r="DJ195" s="510"/>
      <c r="DK195" s="510"/>
      <c r="DL195" s="510"/>
      <c r="DM195" s="510"/>
      <c r="DN195" s="510"/>
      <c r="DO195" s="510"/>
      <c r="DP195" s="510"/>
      <c r="DQ195" s="510"/>
      <c r="DR195" s="510"/>
      <c r="DS195" s="530"/>
    </row>
    <row r="196" spans="1:124" s="2" customFormat="1" ht="20.100000000000001" customHeight="1" x14ac:dyDescent="0.4">
      <c r="A196" s="507"/>
      <c r="B196" s="511"/>
      <c r="C196" s="511"/>
      <c r="D196" s="511"/>
      <c r="E196" s="511"/>
      <c r="F196" s="511"/>
      <c r="G196" s="541"/>
      <c r="H196" s="514"/>
      <c r="I196" s="514"/>
      <c r="J196" s="514"/>
      <c r="K196" s="507"/>
      <c r="L196" s="507"/>
      <c r="M196" s="507"/>
      <c r="N196" s="529" t="s">
        <v>137</v>
      </c>
      <c r="O196" s="510"/>
      <c r="P196" s="510"/>
      <c r="Q196" s="510"/>
      <c r="R196" s="510"/>
      <c r="S196" s="510"/>
      <c r="T196" s="510"/>
      <c r="U196" s="510"/>
      <c r="V196" s="510"/>
      <c r="W196" s="510"/>
      <c r="X196" s="510"/>
      <c r="Y196" s="509" t="s">
        <v>136</v>
      </c>
      <c r="Z196" s="510"/>
      <c r="AA196" s="510"/>
      <c r="AB196" s="510"/>
      <c r="AC196" s="510"/>
      <c r="AD196" s="510"/>
      <c r="AE196" s="510"/>
      <c r="AF196" s="510"/>
      <c r="AG196" s="510"/>
      <c r="AH196" s="510"/>
      <c r="AI196" s="509" t="s">
        <v>138</v>
      </c>
      <c r="AJ196" s="510"/>
      <c r="AK196" s="510"/>
      <c r="AL196" s="510"/>
      <c r="AM196" s="510"/>
      <c r="AN196" s="510"/>
      <c r="AO196" s="510"/>
      <c r="AP196" s="510"/>
      <c r="AQ196" s="510"/>
      <c r="AR196" s="510"/>
      <c r="AS196" s="509" t="s">
        <v>139</v>
      </c>
      <c r="AT196" s="510"/>
      <c r="AU196" s="510"/>
      <c r="AV196" s="510"/>
      <c r="AW196" s="510"/>
      <c r="AX196" s="510"/>
      <c r="AY196" s="510"/>
      <c r="AZ196" s="510"/>
      <c r="BA196" s="510"/>
      <c r="BB196" s="510"/>
      <c r="BC196" s="509" t="s">
        <v>140</v>
      </c>
      <c r="BD196" s="510"/>
      <c r="BE196" s="510"/>
      <c r="BF196" s="510"/>
      <c r="BG196" s="510"/>
      <c r="BH196" s="510"/>
      <c r="BI196" s="510"/>
      <c r="BJ196" s="510"/>
      <c r="BK196" s="510"/>
      <c r="BL196" s="510"/>
      <c r="BM196" s="509" t="s">
        <v>141</v>
      </c>
      <c r="BN196" s="510"/>
      <c r="BO196" s="510"/>
      <c r="BP196" s="510"/>
      <c r="BQ196" s="510"/>
      <c r="BR196" s="510"/>
      <c r="BS196" s="510"/>
      <c r="BT196" s="510"/>
      <c r="BU196" s="510"/>
      <c r="BV196" s="510"/>
      <c r="BW196" s="509" t="s">
        <v>142</v>
      </c>
      <c r="BX196" s="510"/>
      <c r="BY196" s="510"/>
      <c r="BZ196" s="510"/>
      <c r="CA196" s="510"/>
      <c r="CB196" s="510"/>
      <c r="CC196" s="510"/>
      <c r="CD196" s="510"/>
      <c r="CE196" s="510"/>
      <c r="CF196" s="510"/>
      <c r="CG196" s="509" t="s">
        <v>143</v>
      </c>
      <c r="CH196" s="510"/>
      <c r="CI196" s="510"/>
      <c r="CJ196" s="510"/>
      <c r="CK196" s="510"/>
      <c r="CL196" s="510"/>
      <c r="CM196" s="510"/>
      <c r="CN196" s="510"/>
      <c r="CO196" s="510"/>
      <c r="CP196" s="510"/>
      <c r="CQ196" s="509" t="s">
        <v>144</v>
      </c>
      <c r="CR196" s="510"/>
      <c r="CS196" s="510"/>
      <c r="CT196" s="510"/>
      <c r="CU196" s="510"/>
      <c r="CV196" s="510"/>
      <c r="CW196" s="510"/>
      <c r="CX196" s="509" t="s">
        <v>145</v>
      </c>
      <c r="CY196" s="510"/>
      <c r="CZ196" s="510"/>
      <c r="DA196" s="510"/>
      <c r="DB196" s="510"/>
      <c r="DC196" s="510"/>
      <c r="DD196" s="510"/>
      <c r="DE196" s="509" t="s">
        <v>30</v>
      </c>
      <c r="DF196" s="510"/>
      <c r="DG196" s="510"/>
      <c r="DH196" s="510"/>
      <c r="DI196" s="510"/>
      <c r="DJ196" s="510"/>
      <c r="DK196" s="510"/>
      <c r="DL196" s="509" t="s">
        <v>146</v>
      </c>
      <c r="DM196" s="510"/>
      <c r="DN196" s="510"/>
      <c r="DO196" s="510"/>
      <c r="DP196" s="510"/>
      <c r="DQ196" s="510"/>
      <c r="DR196" s="510"/>
      <c r="DS196" s="530"/>
    </row>
    <row r="197" spans="1:124" s="2" customFormat="1" ht="20.100000000000001" customHeight="1" x14ac:dyDescent="0.4">
      <c r="A197" s="508"/>
      <c r="B197" s="511"/>
      <c r="C197" s="511"/>
      <c r="D197" s="511"/>
      <c r="E197" s="511"/>
      <c r="F197" s="511"/>
      <c r="G197" s="542"/>
      <c r="H197" s="515"/>
      <c r="I197" s="515"/>
      <c r="J197" s="515"/>
      <c r="K197" s="508"/>
      <c r="L197" s="508"/>
      <c r="M197" s="508"/>
      <c r="N197" s="20"/>
      <c r="O197" s="5" t="s">
        <v>163</v>
      </c>
      <c r="P197" s="5" t="s">
        <v>368</v>
      </c>
      <c r="Q197" s="5" t="s">
        <v>164</v>
      </c>
      <c r="R197" s="20" t="s">
        <v>369</v>
      </c>
      <c r="S197" s="20" t="s">
        <v>331</v>
      </c>
      <c r="T197" s="20" t="s">
        <v>372</v>
      </c>
      <c r="U197" s="20" t="s">
        <v>349</v>
      </c>
      <c r="V197" s="20" t="s">
        <v>370</v>
      </c>
      <c r="W197" s="20" t="s">
        <v>371</v>
      </c>
      <c r="X197" s="76" t="s">
        <v>373</v>
      </c>
      <c r="Y197" s="5" t="s">
        <v>163</v>
      </c>
      <c r="Z197" s="5" t="s">
        <v>368</v>
      </c>
      <c r="AA197" s="5" t="s">
        <v>164</v>
      </c>
      <c r="AB197" s="20" t="s">
        <v>369</v>
      </c>
      <c r="AC197" s="20" t="s">
        <v>331</v>
      </c>
      <c r="AD197" s="20" t="s">
        <v>372</v>
      </c>
      <c r="AE197" s="20" t="s">
        <v>349</v>
      </c>
      <c r="AF197" s="20" t="s">
        <v>370</v>
      </c>
      <c r="AG197" s="20" t="s">
        <v>371</v>
      </c>
      <c r="AH197" s="76" t="s">
        <v>373</v>
      </c>
      <c r="AI197" s="5" t="s">
        <v>163</v>
      </c>
      <c r="AJ197" s="5" t="s">
        <v>368</v>
      </c>
      <c r="AK197" s="5" t="s">
        <v>164</v>
      </c>
      <c r="AL197" s="20" t="s">
        <v>369</v>
      </c>
      <c r="AM197" s="20" t="s">
        <v>331</v>
      </c>
      <c r="AN197" s="20" t="s">
        <v>372</v>
      </c>
      <c r="AO197" s="20" t="s">
        <v>349</v>
      </c>
      <c r="AP197" s="20" t="s">
        <v>370</v>
      </c>
      <c r="AQ197" s="20" t="s">
        <v>371</v>
      </c>
      <c r="AR197" s="76" t="s">
        <v>373</v>
      </c>
      <c r="AS197" s="5" t="s">
        <v>163</v>
      </c>
      <c r="AT197" s="5" t="s">
        <v>368</v>
      </c>
      <c r="AU197" s="5" t="s">
        <v>164</v>
      </c>
      <c r="AV197" s="20" t="s">
        <v>369</v>
      </c>
      <c r="AW197" s="20" t="s">
        <v>331</v>
      </c>
      <c r="AX197" s="20" t="s">
        <v>372</v>
      </c>
      <c r="AY197" s="20" t="s">
        <v>349</v>
      </c>
      <c r="AZ197" s="20" t="s">
        <v>370</v>
      </c>
      <c r="BA197" s="20" t="s">
        <v>371</v>
      </c>
      <c r="BB197" s="76" t="s">
        <v>373</v>
      </c>
      <c r="BC197" s="75" t="s">
        <v>163</v>
      </c>
      <c r="BD197" s="5" t="s">
        <v>368</v>
      </c>
      <c r="BE197" s="5" t="s">
        <v>164</v>
      </c>
      <c r="BF197" s="20" t="s">
        <v>369</v>
      </c>
      <c r="BG197" s="20" t="s">
        <v>331</v>
      </c>
      <c r="BH197" s="20" t="s">
        <v>372</v>
      </c>
      <c r="BI197" s="20" t="s">
        <v>349</v>
      </c>
      <c r="BJ197" s="20" t="s">
        <v>370</v>
      </c>
      <c r="BK197" s="20" t="s">
        <v>371</v>
      </c>
      <c r="BL197" s="76" t="s">
        <v>373</v>
      </c>
      <c r="BM197" s="75" t="s">
        <v>163</v>
      </c>
      <c r="BN197" s="5" t="s">
        <v>368</v>
      </c>
      <c r="BO197" s="5" t="s">
        <v>164</v>
      </c>
      <c r="BP197" s="20" t="s">
        <v>369</v>
      </c>
      <c r="BQ197" s="20" t="s">
        <v>331</v>
      </c>
      <c r="BR197" s="20" t="s">
        <v>372</v>
      </c>
      <c r="BS197" s="20" t="s">
        <v>349</v>
      </c>
      <c r="BT197" s="20" t="s">
        <v>370</v>
      </c>
      <c r="BU197" s="20" t="s">
        <v>371</v>
      </c>
      <c r="BV197" s="76" t="s">
        <v>373</v>
      </c>
      <c r="BW197" s="75" t="s">
        <v>163</v>
      </c>
      <c r="BX197" s="5" t="s">
        <v>368</v>
      </c>
      <c r="BY197" s="5" t="s">
        <v>164</v>
      </c>
      <c r="BZ197" s="20" t="s">
        <v>369</v>
      </c>
      <c r="CA197" s="20" t="s">
        <v>331</v>
      </c>
      <c r="CB197" s="20" t="s">
        <v>372</v>
      </c>
      <c r="CC197" s="20" t="s">
        <v>349</v>
      </c>
      <c r="CD197" s="20" t="s">
        <v>370</v>
      </c>
      <c r="CE197" s="20" t="s">
        <v>371</v>
      </c>
      <c r="CF197" s="76" t="s">
        <v>373</v>
      </c>
      <c r="CG197" s="75" t="s">
        <v>163</v>
      </c>
      <c r="CH197" s="5" t="s">
        <v>368</v>
      </c>
      <c r="CI197" s="5" t="s">
        <v>164</v>
      </c>
      <c r="CJ197" s="20" t="s">
        <v>369</v>
      </c>
      <c r="CK197" s="20" t="s">
        <v>331</v>
      </c>
      <c r="CL197" s="20" t="s">
        <v>372</v>
      </c>
      <c r="CM197" s="20" t="s">
        <v>349</v>
      </c>
      <c r="CN197" s="20" t="s">
        <v>370</v>
      </c>
      <c r="CO197" s="20" t="s">
        <v>371</v>
      </c>
      <c r="CP197" s="76" t="s">
        <v>373</v>
      </c>
      <c r="CQ197" s="75" t="s">
        <v>163</v>
      </c>
      <c r="CR197" s="5" t="s">
        <v>368</v>
      </c>
      <c r="CS197" s="5" t="s">
        <v>164</v>
      </c>
      <c r="CT197" s="20" t="s">
        <v>369</v>
      </c>
      <c r="CU197" s="20" t="s">
        <v>372</v>
      </c>
      <c r="CV197" s="20" t="s">
        <v>370</v>
      </c>
      <c r="CW197" s="20" t="s">
        <v>371</v>
      </c>
      <c r="CX197" s="75" t="s">
        <v>163</v>
      </c>
      <c r="CY197" s="5" t="s">
        <v>368</v>
      </c>
      <c r="CZ197" s="5" t="s">
        <v>164</v>
      </c>
      <c r="DA197" s="20" t="s">
        <v>369</v>
      </c>
      <c r="DB197" s="20" t="s">
        <v>372</v>
      </c>
      <c r="DC197" s="20" t="s">
        <v>370</v>
      </c>
      <c r="DD197" s="76" t="s">
        <v>371</v>
      </c>
      <c r="DE197" s="75" t="s">
        <v>163</v>
      </c>
      <c r="DF197" s="5" t="s">
        <v>368</v>
      </c>
      <c r="DG197" s="5" t="s">
        <v>164</v>
      </c>
      <c r="DH197" s="20" t="s">
        <v>369</v>
      </c>
      <c r="DI197" s="20" t="s">
        <v>372</v>
      </c>
      <c r="DJ197" s="20" t="s">
        <v>370</v>
      </c>
      <c r="DK197" s="306" t="s">
        <v>371</v>
      </c>
      <c r="DL197" s="75" t="s">
        <v>174</v>
      </c>
      <c r="DM197" s="5" t="s">
        <v>169</v>
      </c>
      <c r="DN197" s="5" t="s">
        <v>170</v>
      </c>
      <c r="DO197" s="20" t="s">
        <v>171</v>
      </c>
      <c r="DP197" s="20" t="s">
        <v>172</v>
      </c>
      <c r="DQ197" s="20" t="s">
        <v>173</v>
      </c>
      <c r="DR197" s="20" t="s">
        <v>173</v>
      </c>
      <c r="DS197" s="5" t="s">
        <v>331</v>
      </c>
      <c r="DT197" s="229"/>
    </row>
    <row r="198" spans="1:124" ht="25.5" customHeight="1" x14ac:dyDescent="0.4">
      <c r="A198" s="521">
        <v>1</v>
      </c>
      <c r="B198" s="521" t="s">
        <v>46</v>
      </c>
      <c r="C198" s="521" t="s">
        <v>14</v>
      </c>
      <c r="D198" s="470" t="s">
        <v>21</v>
      </c>
      <c r="E198" s="468" t="s">
        <v>177</v>
      </c>
      <c r="F198" s="470" t="s">
        <v>19</v>
      </c>
      <c r="G198" s="471" t="s">
        <v>178</v>
      </c>
      <c r="H198" s="491">
        <f>SUM(DE198:DK198)</f>
        <v>0</v>
      </c>
      <c r="I198" s="496">
        <f>SUM(DE199:DK199)</f>
        <v>0.1764705882352941</v>
      </c>
      <c r="J198" s="12"/>
      <c r="K198" s="13"/>
      <c r="L198" s="13"/>
      <c r="M198" s="538" t="s">
        <v>343</v>
      </c>
      <c r="N198" s="190" t="s">
        <v>24</v>
      </c>
      <c r="O198" s="190">
        <f t="shared" ref="O198:W198" si="591">(0)/120</f>
        <v>0</v>
      </c>
      <c r="P198" s="190">
        <f>(20)/120</f>
        <v>0.16666666666666666</v>
      </c>
      <c r="Q198" s="190">
        <f>(20)/120</f>
        <v>0.16666666666666666</v>
      </c>
      <c r="R198" s="190">
        <f t="shared" si="591"/>
        <v>0</v>
      </c>
      <c r="S198" s="190">
        <f>(20)/120</f>
        <v>0.16666666666666666</v>
      </c>
      <c r="T198" s="190">
        <f t="shared" si="591"/>
        <v>0</v>
      </c>
      <c r="U198" s="190">
        <f t="shared" si="591"/>
        <v>0</v>
      </c>
      <c r="V198" s="190">
        <f>(20)/120</f>
        <v>0.16666666666666666</v>
      </c>
      <c r="W198" s="190">
        <f t="shared" si="591"/>
        <v>0</v>
      </c>
      <c r="X198" s="190">
        <f t="shared" ref="X198:X207" si="592">(0)/120</f>
        <v>0</v>
      </c>
      <c r="Y198" s="23">
        <f>(1.5)/157.5</f>
        <v>9.5238095238095247E-3</v>
      </c>
      <c r="Z198" s="190">
        <f>(5)/157.5</f>
        <v>3.1746031746031744E-2</v>
      </c>
      <c r="AA198" s="190">
        <f>(10)/157.5</f>
        <v>6.3492063492063489E-2</v>
      </c>
      <c r="AB198" s="190">
        <f>(10)/157.5</f>
        <v>6.3492063492063489E-2</v>
      </c>
      <c r="AC198" s="190">
        <f>(10)/157.5</f>
        <v>6.3492063492063489E-2</v>
      </c>
      <c r="AD198" s="190">
        <f t="shared" ref="Y198:AN207" si="593">(0)/157.5</f>
        <v>0</v>
      </c>
      <c r="AE198" s="190">
        <f t="shared" si="593"/>
        <v>0</v>
      </c>
      <c r="AF198" s="190">
        <f>(10)/157.5</f>
        <v>6.3492063492063489E-2</v>
      </c>
      <c r="AG198" s="190">
        <f>(10)/157.5</f>
        <v>6.3492063492063489E-2</v>
      </c>
      <c r="AH198" s="190">
        <f t="shared" si="593"/>
        <v>0</v>
      </c>
      <c r="AI198" s="23">
        <f>(9)/157.5</f>
        <v>5.7142857142857141E-2</v>
      </c>
      <c r="AJ198" s="190">
        <f>(3)/157.5</f>
        <v>1.9047619047619049E-2</v>
      </c>
      <c r="AK198" s="190">
        <f>(9)/157.5</f>
        <v>5.7142857142857141E-2</v>
      </c>
      <c r="AL198" s="190">
        <f>(9)/157.5</f>
        <v>5.7142857142857141E-2</v>
      </c>
      <c r="AM198" s="190">
        <f t="shared" si="593"/>
        <v>0</v>
      </c>
      <c r="AN198" s="190">
        <f t="shared" si="593"/>
        <v>0</v>
      </c>
      <c r="AO198" s="190">
        <f t="shared" ref="AO198:AQ198" si="594">(0)/157.5</f>
        <v>0</v>
      </c>
      <c r="AP198" s="190">
        <f t="shared" si="594"/>
        <v>0</v>
      </c>
      <c r="AQ198" s="190">
        <f t="shared" si="594"/>
        <v>0</v>
      </c>
      <c r="AR198" s="190">
        <f>(3)/157.5</f>
        <v>1.9047619047619049E-2</v>
      </c>
      <c r="AS198" s="23">
        <f>(5)/165</f>
        <v>3.0303030303030304E-2</v>
      </c>
      <c r="AT198" s="190">
        <f>(5)/165</f>
        <v>3.0303030303030304E-2</v>
      </c>
      <c r="AU198" s="190">
        <f>(9)/165</f>
        <v>5.4545454545454543E-2</v>
      </c>
      <c r="AV198" s="190">
        <f t="shared" ref="AS198:BB207" si="595">(0)/165</f>
        <v>0</v>
      </c>
      <c r="AW198" s="190">
        <f>(5)/165</f>
        <v>3.0303030303030304E-2</v>
      </c>
      <c r="AX198" s="190">
        <f t="shared" si="595"/>
        <v>0</v>
      </c>
      <c r="AY198" s="190">
        <f>(5)/165</f>
        <v>3.0303030303030304E-2</v>
      </c>
      <c r="AZ198" s="190">
        <f>(5)/165</f>
        <v>3.0303030303030304E-2</v>
      </c>
      <c r="BA198" s="190">
        <f t="shared" si="595"/>
        <v>0</v>
      </c>
      <c r="BB198" s="225">
        <f t="shared" si="595"/>
        <v>0</v>
      </c>
      <c r="BC198" s="77">
        <f>(10)/157.5</f>
        <v>6.3492063492063489E-2</v>
      </c>
      <c r="BD198" s="190">
        <f>(32)/157.5</f>
        <v>0.20317460317460317</v>
      </c>
      <c r="BE198" s="190">
        <f t="shared" ref="BC198:BL207" si="596">(0)/157.5</f>
        <v>0</v>
      </c>
      <c r="BF198" s="190">
        <f>(20)/157.5</f>
        <v>0.12698412698412698</v>
      </c>
      <c r="BG198" s="190">
        <f t="shared" si="596"/>
        <v>0</v>
      </c>
      <c r="BH198" s="190">
        <f>(20)/157.5</f>
        <v>0.12698412698412698</v>
      </c>
      <c r="BI198" s="190">
        <f>(10)/157.5</f>
        <v>6.3492063492063489E-2</v>
      </c>
      <c r="BJ198" s="190">
        <f>(10)/157.5</f>
        <v>6.3492063492063489E-2</v>
      </c>
      <c r="BK198" s="190">
        <f t="shared" si="596"/>
        <v>0</v>
      </c>
      <c r="BL198" s="190">
        <f>(20)/157.5</f>
        <v>0.12698412698412698</v>
      </c>
      <c r="BM198" s="77">
        <f t="shared" ref="BM198:BV207" si="597">(0)/165</f>
        <v>0</v>
      </c>
      <c r="BN198" s="190">
        <f t="shared" si="597"/>
        <v>0</v>
      </c>
      <c r="BO198" s="190">
        <f>(4)/165</f>
        <v>2.4242424242424242E-2</v>
      </c>
      <c r="BP198" s="190">
        <f t="shared" si="597"/>
        <v>0</v>
      </c>
      <c r="BQ198" s="190">
        <f t="shared" si="597"/>
        <v>0</v>
      </c>
      <c r="BR198" s="190">
        <f t="shared" si="597"/>
        <v>0</v>
      </c>
      <c r="BS198" s="190">
        <f t="shared" si="597"/>
        <v>0</v>
      </c>
      <c r="BT198" s="190">
        <f t="shared" si="597"/>
        <v>0</v>
      </c>
      <c r="BU198" s="190">
        <f t="shared" si="597"/>
        <v>0</v>
      </c>
      <c r="BV198" s="190">
        <f>(0)/165</f>
        <v>0</v>
      </c>
      <c r="BW198" s="23">
        <f t="shared" ref="BW198:BY198" si="598">(0)/150</f>
        <v>0</v>
      </c>
      <c r="BX198" s="190">
        <f>(14.5)/150</f>
        <v>9.6666666666666665E-2</v>
      </c>
      <c r="BY198" s="190">
        <f t="shared" si="598"/>
        <v>0</v>
      </c>
      <c r="BZ198" s="190">
        <f t="shared" ref="BZ198:CF198" si="599">(14.5)/150</f>
        <v>9.6666666666666665E-2</v>
      </c>
      <c r="CA198" s="190">
        <f t="shared" si="599"/>
        <v>9.6666666666666665E-2</v>
      </c>
      <c r="CB198" s="190">
        <f t="shared" si="599"/>
        <v>9.6666666666666665E-2</v>
      </c>
      <c r="CC198" s="190">
        <f t="shared" si="599"/>
        <v>9.6666666666666665E-2</v>
      </c>
      <c r="CD198" s="190">
        <f t="shared" si="599"/>
        <v>9.6666666666666665E-2</v>
      </c>
      <c r="CE198" s="190">
        <f t="shared" si="599"/>
        <v>9.6666666666666665E-2</v>
      </c>
      <c r="CF198" s="190">
        <f t="shared" si="599"/>
        <v>9.6666666666666665E-2</v>
      </c>
      <c r="CG198" s="23">
        <f>(1)/135</f>
        <v>7.4074074074074077E-3</v>
      </c>
      <c r="CH198" s="190">
        <f>(25)/135</f>
        <v>0.18518518518518517</v>
      </c>
      <c r="CI198" s="190">
        <f>(34)/135</f>
        <v>0.25185185185185183</v>
      </c>
      <c r="CJ198" s="190">
        <f>(35)/135</f>
        <v>0.25925925925925924</v>
      </c>
      <c r="CK198" s="190">
        <f>(40)/135</f>
        <v>0.29629629629629628</v>
      </c>
      <c r="CL198" s="190">
        <f>(35)/135</f>
        <v>0.25925925925925924</v>
      </c>
      <c r="CM198" s="190">
        <f>(60)/135</f>
        <v>0.44444444444444442</v>
      </c>
      <c r="CN198" s="190">
        <f>(35)/135</f>
        <v>0.25925925925925924</v>
      </c>
      <c r="CO198" s="190">
        <f>(25)/135</f>
        <v>0.18518518518518517</v>
      </c>
      <c r="CP198" s="190">
        <f>(50)/135</f>
        <v>0.37037037037037035</v>
      </c>
      <c r="CQ198" s="23">
        <f>(20)/150</f>
        <v>0.13333333333333333</v>
      </c>
      <c r="CR198" s="190">
        <f>(15)/150</f>
        <v>0.1</v>
      </c>
      <c r="CS198" s="190">
        <f>(10)/150</f>
        <v>6.6666666666666666E-2</v>
      </c>
      <c r="CT198" s="190">
        <f>(30)/150</f>
        <v>0.2</v>
      </c>
      <c r="CU198" s="190">
        <f t="shared" ref="CQ198:CW207" si="600">(0)/150</f>
        <v>0</v>
      </c>
      <c r="CV198" s="190">
        <f t="shared" si="600"/>
        <v>0</v>
      </c>
      <c r="CW198" s="190">
        <f>(15)/150</f>
        <v>0.1</v>
      </c>
      <c r="CX198" s="77">
        <f t="shared" ref="CX198:DD207" si="601">(0)/157.5</f>
        <v>0</v>
      </c>
      <c r="CY198" s="190">
        <f>(10)/157.5</f>
        <v>6.3492063492063489E-2</v>
      </c>
      <c r="CZ198" s="190">
        <f>(20)/157.5</f>
        <v>0.12698412698412698</v>
      </c>
      <c r="DA198" s="190">
        <f t="shared" ref="DA198:DD198" si="602">(10)/157.5</f>
        <v>6.3492063492063489E-2</v>
      </c>
      <c r="DB198" s="190">
        <f>(15)/157.5</f>
        <v>9.5238095238095233E-2</v>
      </c>
      <c r="DC198" s="190">
        <f t="shared" si="602"/>
        <v>6.3492063492063489E-2</v>
      </c>
      <c r="DD198" s="190">
        <f t="shared" si="602"/>
        <v>6.3492063492063489E-2</v>
      </c>
      <c r="DE198" s="23">
        <f t="shared" ref="DE198:DK207" si="603">(0)/127.5</f>
        <v>0</v>
      </c>
      <c r="DF198" s="190">
        <f t="shared" si="603"/>
        <v>0</v>
      </c>
      <c r="DG198" s="190">
        <f t="shared" si="603"/>
        <v>0</v>
      </c>
      <c r="DH198" s="190">
        <f t="shared" si="603"/>
        <v>0</v>
      </c>
      <c r="DI198" s="190">
        <f t="shared" si="603"/>
        <v>0</v>
      </c>
      <c r="DJ198" s="190">
        <f t="shared" si="603"/>
        <v>0</v>
      </c>
      <c r="DK198" s="190">
        <f t="shared" si="603"/>
        <v>0</v>
      </c>
      <c r="DL198" s="77">
        <f t="shared" ref="DL198:DP198" si="604">(0)/142.5</f>
        <v>0</v>
      </c>
      <c r="DM198" s="190">
        <f t="shared" si="604"/>
        <v>0</v>
      </c>
      <c r="DN198" s="190">
        <f t="shared" si="604"/>
        <v>0</v>
      </c>
      <c r="DO198" s="190">
        <f t="shared" si="604"/>
        <v>0</v>
      </c>
      <c r="DP198" s="190">
        <f t="shared" si="604"/>
        <v>0</v>
      </c>
      <c r="DQ198" s="190">
        <f t="shared" ref="DQ198:DS207" si="605">(0)/172.5</f>
        <v>0</v>
      </c>
      <c r="DR198" s="190">
        <f t="shared" si="605"/>
        <v>0</v>
      </c>
      <c r="DS198" s="190">
        <f t="shared" si="605"/>
        <v>0</v>
      </c>
      <c r="DT198" s="201"/>
    </row>
    <row r="199" spans="1:124" ht="25.5" customHeight="1" x14ac:dyDescent="0.4">
      <c r="A199" s="522"/>
      <c r="B199" s="522"/>
      <c r="C199" s="522"/>
      <c r="D199" s="469"/>
      <c r="E199" s="469"/>
      <c r="F199" s="469"/>
      <c r="G199" s="472"/>
      <c r="H199" s="492"/>
      <c r="I199" s="497"/>
      <c r="J199" s="14"/>
      <c r="K199" s="15"/>
      <c r="L199" s="15"/>
      <c r="M199" s="539"/>
      <c r="N199" s="209" t="s">
        <v>25</v>
      </c>
      <c r="O199" s="209">
        <f t="shared" ref="O199:P207" si="606">(0)/120</f>
        <v>0</v>
      </c>
      <c r="P199" s="209">
        <f>(0+7.5+7.5)/120</f>
        <v>0.125</v>
      </c>
      <c r="Q199" s="209">
        <f>(0+7.5)/120</f>
        <v>6.25E-2</v>
      </c>
      <c r="R199" s="209">
        <f t="shared" ref="R199:R207" si="607">(0)/120</f>
        <v>0</v>
      </c>
      <c r="S199" s="209">
        <f>(4+7.5+15+2)/120</f>
        <v>0.23749999999999999</v>
      </c>
      <c r="T199" s="209">
        <f t="shared" ref="T199:W206" si="608">(0)/120</f>
        <v>0</v>
      </c>
      <c r="U199" s="209">
        <f t="shared" si="608"/>
        <v>0</v>
      </c>
      <c r="V199" s="209">
        <f>(3.5+7.5)/120</f>
        <v>9.166666666666666E-2</v>
      </c>
      <c r="W199" s="209">
        <f t="shared" si="608"/>
        <v>0</v>
      </c>
      <c r="X199" s="209">
        <f>(0+22.5+15)/120</f>
        <v>0.3125</v>
      </c>
      <c r="Y199" s="24">
        <f>(0+3)/157.5</f>
        <v>1.9047619047619049E-2</v>
      </c>
      <c r="Z199" s="209">
        <f>(0+7.5)/157.5</f>
        <v>4.7619047619047616E-2</v>
      </c>
      <c r="AA199" s="209">
        <f>(7.5+15+7.5)/157.5</f>
        <v>0.19047619047619047</v>
      </c>
      <c r="AB199" s="209">
        <f>(0+7.5)/157.5</f>
        <v>4.7619047619047616E-2</v>
      </c>
      <c r="AC199" s="209">
        <f>(7.5)/157.5</f>
        <v>4.7619047619047616E-2</v>
      </c>
      <c r="AD199" s="209">
        <f t="shared" si="593"/>
        <v>0</v>
      </c>
      <c r="AE199" s="209">
        <f t="shared" si="593"/>
        <v>0</v>
      </c>
      <c r="AF199" s="209">
        <f>(0+3.5)/157.5</f>
        <v>2.2222222222222223E-2</v>
      </c>
      <c r="AG199" s="209">
        <f>(7.5)/157.5</f>
        <v>4.7619047619047616E-2</v>
      </c>
      <c r="AH199" s="209">
        <f t="shared" si="593"/>
        <v>0</v>
      </c>
      <c r="AI199" s="58">
        <f>(3+7.5)/157.5</f>
        <v>6.6666666666666666E-2</v>
      </c>
      <c r="AJ199" s="209">
        <f>(0+3)/157.5</f>
        <v>1.9047619047619049E-2</v>
      </c>
      <c r="AK199" s="209">
        <f>(0+7.5)/157.5</f>
        <v>4.7619047619047616E-2</v>
      </c>
      <c r="AL199" s="209">
        <f>(0+7.5)/157.5</f>
        <v>4.7619047619047616E-2</v>
      </c>
      <c r="AM199" s="209">
        <f t="shared" ref="AI199:AR203" si="609">(0)/157.5</f>
        <v>0</v>
      </c>
      <c r="AN199" s="209">
        <f t="shared" si="609"/>
        <v>0</v>
      </c>
      <c r="AO199" s="209">
        <f t="shared" si="609"/>
        <v>0</v>
      </c>
      <c r="AP199" s="209">
        <f t="shared" si="609"/>
        <v>0</v>
      </c>
      <c r="AQ199" s="209">
        <f t="shared" si="609"/>
        <v>0</v>
      </c>
      <c r="AR199" s="53">
        <f>(0+3)/157.5</f>
        <v>1.9047619047619049E-2</v>
      </c>
      <c r="AS199" s="65">
        <f>(0+3)/165</f>
        <v>1.8181818181818181E-2</v>
      </c>
      <c r="AT199" s="210">
        <f>(7.5)/165</f>
        <v>4.5454545454545456E-2</v>
      </c>
      <c r="AU199" s="210">
        <f>(0+7.5+7.5)/165</f>
        <v>9.0909090909090912E-2</v>
      </c>
      <c r="AV199" s="210">
        <f>(0)/165</f>
        <v>0</v>
      </c>
      <c r="AW199" s="210">
        <f>(7.5+15+7.5)/165</f>
        <v>0.18181818181818182</v>
      </c>
      <c r="AX199" s="210">
        <f t="shared" si="595"/>
        <v>0</v>
      </c>
      <c r="AY199" s="210">
        <f>(0+7.5)/165</f>
        <v>4.5454545454545456E-2</v>
      </c>
      <c r="AZ199" s="210">
        <f>(0+7.5+3.5)/165</f>
        <v>6.6666666666666666E-2</v>
      </c>
      <c r="BA199" s="210">
        <f t="shared" si="595"/>
        <v>0</v>
      </c>
      <c r="BB199" s="53">
        <f>(0+3)/165</f>
        <v>1.8181818181818181E-2</v>
      </c>
      <c r="BC199" s="58">
        <f>(0+7.5)/157.5</f>
        <v>4.7619047619047616E-2</v>
      </c>
      <c r="BD199" s="209">
        <f>(3.5+7.5+22.5)/157.5</f>
        <v>0.21269841269841269</v>
      </c>
      <c r="BE199" s="209">
        <f t="shared" si="596"/>
        <v>0</v>
      </c>
      <c r="BF199" s="209">
        <f>(0+15)/157.5</f>
        <v>9.5238095238095233E-2</v>
      </c>
      <c r="BG199" s="209">
        <f t="shared" si="596"/>
        <v>0</v>
      </c>
      <c r="BH199" s="209">
        <f>(0+7.5+10.5+3)/157.5</f>
        <v>0.13333333333333333</v>
      </c>
      <c r="BI199" s="209">
        <f>(7.5)/157.5</f>
        <v>4.7619047619047616E-2</v>
      </c>
      <c r="BJ199" s="209">
        <f>(0+2)/157.5</f>
        <v>1.2698412698412698E-2</v>
      </c>
      <c r="BK199" s="209">
        <f t="shared" si="596"/>
        <v>0</v>
      </c>
      <c r="BL199" s="209">
        <f>(0+14.5+5.5)/157.5</f>
        <v>0.12698412698412698</v>
      </c>
      <c r="BM199" s="58">
        <f>(0+3)/165</f>
        <v>1.8181818181818181E-2</v>
      </c>
      <c r="BN199" s="209">
        <f>(0+1)/165</f>
        <v>6.0606060606060606E-3</v>
      </c>
      <c r="BO199" s="209">
        <f>(0+1+7.5)/165</f>
        <v>5.1515151515151514E-2</v>
      </c>
      <c r="BP199" s="209">
        <f t="shared" si="597"/>
        <v>0</v>
      </c>
      <c r="BQ199" s="209">
        <f t="shared" si="597"/>
        <v>0</v>
      </c>
      <c r="BR199" s="209">
        <f t="shared" si="597"/>
        <v>0</v>
      </c>
      <c r="BS199" s="209">
        <f>(0+7.5)/165</f>
        <v>4.5454545454545456E-2</v>
      </c>
      <c r="BT199" s="209">
        <f>(7.5)/165</f>
        <v>4.5454545454545456E-2</v>
      </c>
      <c r="BU199" s="209">
        <f t="shared" si="597"/>
        <v>0</v>
      </c>
      <c r="BV199" s="209">
        <f>(7.5)/165</f>
        <v>4.5454545454545456E-2</v>
      </c>
      <c r="BW199" s="65">
        <f t="shared" ref="BW199:BW207" si="610">(0)/150</f>
        <v>0</v>
      </c>
      <c r="BX199" s="209">
        <f>(0+7.5+22.5)/150</f>
        <v>0.2</v>
      </c>
      <c r="BY199" s="209">
        <f t="shared" ref="BY199:BZ206" si="611">(0)/150</f>
        <v>0</v>
      </c>
      <c r="BZ199" s="209">
        <f>(0+7.5)/150</f>
        <v>0.05</v>
      </c>
      <c r="CA199" s="209">
        <f>(0+7.5+15)/150</f>
        <v>0.15</v>
      </c>
      <c r="CB199" s="209">
        <f>(0+1.5)/150</f>
        <v>0.01</v>
      </c>
      <c r="CC199" s="209">
        <f>(7.5+22.5+7.5)/150</f>
        <v>0.25</v>
      </c>
      <c r="CD199" s="209">
        <f>(0+15+7)/150</f>
        <v>0.14666666666666667</v>
      </c>
      <c r="CE199" s="209">
        <f>(0+7.5)/150</f>
        <v>0.05</v>
      </c>
      <c r="CF199" s="209">
        <f>(0+3+3+3.5)/150</f>
        <v>6.3333333333333339E-2</v>
      </c>
      <c r="CG199" s="65">
        <f>(0+1)/135</f>
        <v>7.4074074074074077E-3</v>
      </c>
      <c r="CH199" s="209">
        <f>(0+11+12+2.5)/135</f>
        <v>0.18888888888888888</v>
      </c>
      <c r="CI199" s="209">
        <f>(7.5+16+10.5)/135</f>
        <v>0.25185185185185183</v>
      </c>
      <c r="CJ199" s="209">
        <f>(0+22.5+11)/135</f>
        <v>0.24814814814814815</v>
      </c>
      <c r="CK199" s="209">
        <f>(0+27.5+19.5+24.5+9.5)/135</f>
        <v>0.6</v>
      </c>
      <c r="CL199" s="209">
        <f>(1.5+24.5+11.5+2)/135</f>
        <v>0.29259259259259257</v>
      </c>
      <c r="CM199" s="209">
        <f>(0+20+20+19.5+6.5)/135</f>
        <v>0.48888888888888887</v>
      </c>
      <c r="CN199" s="209">
        <f>(3+18+12)/135</f>
        <v>0.24444444444444444</v>
      </c>
      <c r="CO199" s="209">
        <f>(0+18+8)/135</f>
        <v>0.19259259259259259</v>
      </c>
      <c r="CP199" s="209">
        <f>(2+25.5+20+12.5+9.5)/135</f>
        <v>0.51481481481481484</v>
      </c>
      <c r="CQ199" s="65">
        <f>(22.5)/150</f>
        <v>0.15</v>
      </c>
      <c r="CR199" s="209">
        <f>(5+22.5)/150</f>
        <v>0.18333333333333332</v>
      </c>
      <c r="CS199" s="209">
        <f>(2+5)/150</f>
        <v>4.6666666666666669E-2</v>
      </c>
      <c r="CT199" s="209">
        <f>(30+1+5)/150</f>
        <v>0.24</v>
      </c>
      <c r="CU199" s="209">
        <f>(0+5)/150</f>
        <v>3.3333333333333333E-2</v>
      </c>
      <c r="CV199" s="209">
        <f>(0+5)/150</f>
        <v>3.3333333333333333E-2</v>
      </c>
      <c r="CW199" s="209">
        <f>(2+22.5)/150</f>
        <v>0.16333333333333333</v>
      </c>
      <c r="CX199" s="227">
        <f t="shared" si="601"/>
        <v>0</v>
      </c>
      <c r="CY199" s="262">
        <f>(1)/157.5</f>
        <v>6.3492063492063492E-3</v>
      </c>
      <c r="CZ199" s="262">
        <f>(22.5)/157.5</f>
        <v>0.14285714285714285</v>
      </c>
      <c r="DA199" s="262">
        <f>(15)/157.5</f>
        <v>9.5238095238095233E-2</v>
      </c>
      <c r="DB199" s="262">
        <f>(9+1+7.5)/157.5</f>
        <v>0.1111111111111111</v>
      </c>
      <c r="DC199" s="209">
        <f>(10)/157.5</f>
        <v>6.3492063492063489E-2</v>
      </c>
      <c r="DD199" s="209">
        <f>(10+1)/157.5</f>
        <v>6.9841269841269843E-2</v>
      </c>
      <c r="DE199" s="65">
        <f>(0+7.5)/127.5</f>
        <v>5.8823529411764705E-2</v>
      </c>
      <c r="DF199" s="210">
        <f t="shared" si="603"/>
        <v>0</v>
      </c>
      <c r="DG199" s="210">
        <f t="shared" si="603"/>
        <v>0</v>
      </c>
      <c r="DH199" s="210">
        <f t="shared" si="603"/>
        <v>0</v>
      </c>
      <c r="DI199" s="210">
        <f t="shared" si="603"/>
        <v>0</v>
      </c>
      <c r="DJ199" s="210">
        <f>(0+7.5+7.5)/127.5</f>
        <v>0.11764705882352941</v>
      </c>
      <c r="DK199" s="210">
        <f t="shared" si="603"/>
        <v>0</v>
      </c>
      <c r="DL199" s="46">
        <f t="shared" ref="DL199:DP199" si="612">0/142.5</f>
        <v>0</v>
      </c>
      <c r="DM199" s="209">
        <f t="shared" si="612"/>
        <v>0</v>
      </c>
      <c r="DN199" s="209">
        <f t="shared" si="612"/>
        <v>0</v>
      </c>
      <c r="DO199" s="209">
        <f t="shared" si="612"/>
        <v>0</v>
      </c>
      <c r="DP199" s="209">
        <f t="shared" si="612"/>
        <v>0</v>
      </c>
      <c r="DQ199" s="209">
        <f t="shared" si="605"/>
        <v>0</v>
      </c>
      <c r="DR199" s="209">
        <f t="shared" si="605"/>
        <v>0</v>
      </c>
      <c r="DS199" s="209">
        <f t="shared" si="605"/>
        <v>0</v>
      </c>
      <c r="DT199" s="201"/>
    </row>
    <row r="200" spans="1:124" ht="25.5" customHeight="1" x14ac:dyDescent="0.4">
      <c r="A200" s="521">
        <v>2</v>
      </c>
      <c r="B200" s="521" t="s">
        <v>46</v>
      </c>
      <c r="C200" s="521" t="s">
        <v>14</v>
      </c>
      <c r="D200" s="470" t="s">
        <v>19</v>
      </c>
      <c r="E200" s="470" t="s">
        <v>197</v>
      </c>
      <c r="F200" s="470" t="s">
        <v>19</v>
      </c>
      <c r="G200" s="471" t="s">
        <v>179</v>
      </c>
      <c r="H200" s="491">
        <f t="shared" ref="H200" si="613">SUM(DE200:DK200)</f>
        <v>0.5490196078431373</v>
      </c>
      <c r="I200" s="496">
        <f t="shared" ref="I200" si="614">SUM(DE201:DK201)</f>
        <v>0.69803921568627447</v>
      </c>
      <c r="J200" s="16"/>
      <c r="K200" s="17"/>
      <c r="L200" s="17"/>
      <c r="M200" s="441"/>
      <c r="N200" s="10" t="s">
        <v>24</v>
      </c>
      <c r="O200" s="190">
        <f t="shared" si="606"/>
        <v>0</v>
      </c>
      <c r="P200" s="190">
        <f t="shared" si="606"/>
        <v>0</v>
      </c>
      <c r="Q200" s="190">
        <f t="shared" ref="Q200:Q207" si="615">(0)/120</f>
        <v>0</v>
      </c>
      <c r="R200" s="190">
        <f t="shared" si="607"/>
        <v>0</v>
      </c>
      <c r="S200" s="190">
        <f t="shared" ref="S200:S207" si="616">(0)/120</f>
        <v>0</v>
      </c>
      <c r="T200" s="190">
        <f t="shared" si="608"/>
        <v>0</v>
      </c>
      <c r="U200" s="190">
        <f t="shared" si="608"/>
        <v>0</v>
      </c>
      <c r="V200" s="190">
        <f t="shared" si="608"/>
        <v>0</v>
      </c>
      <c r="W200" s="190">
        <f t="shared" si="608"/>
        <v>0</v>
      </c>
      <c r="X200" s="190">
        <f t="shared" si="592"/>
        <v>0</v>
      </c>
      <c r="Y200" s="23">
        <f>8/157.5</f>
        <v>5.0793650793650794E-2</v>
      </c>
      <c r="Z200" s="190">
        <f>20/157.5</f>
        <v>0.12698412698412698</v>
      </c>
      <c r="AA200" s="190">
        <f>25/157.5</f>
        <v>0.15873015873015872</v>
      </c>
      <c r="AB200" s="190">
        <f>25/157.5</f>
        <v>0.15873015873015872</v>
      </c>
      <c r="AC200" s="190">
        <f>25/157.5</f>
        <v>0.15873015873015872</v>
      </c>
      <c r="AD200" s="190">
        <f>25/157.5</f>
        <v>0.15873015873015872</v>
      </c>
      <c r="AE200" s="190">
        <f>25/157.5</f>
        <v>0.15873015873015872</v>
      </c>
      <c r="AF200" s="190">
        <f t="shared" ref="AF200:AG200" si="617">25/157.5</f>
        <v>0.15873015873015872</v>
      </c>
      <c r="AG200" s="190">
        <f t="shared" si="617"/>
        <v>0.15873015873015872</v>
      </c>
      <c r="AH200" s="190">
        <f>25/157.5</f>
        <v>0.15873015873015872</v>
      </c>
      <c r="AI200" s="23">
        <f>(18.8)/157.5</f>
        <v>0.11936507936507937</v>
      </c>
      <c r="AJ200" s="190">
        <f>(18.8)/157.5</f>
        <v>0.11936507936507937</v>
      </c>
      <c r="AK200" s="190">
        <f t="shared" ref="AK200:AR200" si="618">(18.8)/157.5</f>
        <v>0.11936507936507937</v>
      </c>
      <c r="AL200" s="190">
        <f t="shared" si="618"/>
        <v>0.11936507936507937</v>
      </c>
      <c r="AM200" s="190">
        <f t="shared" si="618"/>
        <v>0.11936507936507937</v>
      </c>
      <c r="AN200" s="190">
        <f t="shared" si="618"/>
        <v>0.11936507936507937</v>
      </c>
      <c r="AO200" s="190">
        <f t="shared" si="618"/>
        <v>0.11936507936507937</v>
      </c>
      <c r="AP200" s="190">
        <f t="shared" si="618"/>
        <v>0.11936507936507937</v>
      </c>
      <c r="AQ200" s="190">
        <f t="shared" si="618"/>
        <v>0.11936507936507937</v>
      </c>
      <c r="AR200" s="190">
        <f t="shared" si="618"/>
        <v>0.11936507936507937</v>
      </c>
      <c r="AS200" s="23">
        <f>(14)/165</f>
        <v>8.4848484848484854E-2</v>
      </c>
      <c r="AT200" s="190">
        <f>(13)/165</f>
        <v>7.8787878787878782E-2</v>
      </c>
      <c r="AU200" s="190">
        <f t="shared" ref="AU200:BA200" si="619">(13)/165</f>
        <v>7.8787878787878782E-2</v>
      </c>
      <c r="AV200" s="190">
        <f t="shared" si="619"/>
        <v>7.8787878787878782E-2</v>
      </c>
      <c r="AW200" s="190">
        <f t="shared" si="619"/>
        <v>7.8787878787878782E-2</v>
      </c>
      <c r="AX200" s="190">
        <f t="shared" si="619"/>
        <v>7.8787878787878782E-2</v>
      </c>
      <c r="AY200" s="190">
        <f t="shared" si="619"/>
        <v>7.8787878787878782E-2</v>
      </c>
      <c r="AZ200" s="190">
        <f t="shared" si="619"/>
        <v>7.8787878787878782E-2</v>
      </c>
      <c r="BA200" s="190">
        <f t="shared" si="619"/>
        <v>7.8787878787878782E-2</v>
      </c>
      <c r="BB200" s="225">
        <f>(13)/165</f>
        <v>7.8787878787878782E-2</v>
      </c>
      <c r="BC200" s="77">
        <f t="shared" si="596"/>
        <v>0</v>
      </c>
      <c r="BD200" s="190">
        <f t="shared" si="596"/>
        <v>0</v>
      </c>
      <c r="BE200" s="190">
        <f t="shared" si="596"/>
        <v>0</v>
      </c>
      <c r="BF200" s="190">
        <f t="shared" si="596"/>
        <v>0</v>
      </c>
      <c r="BG200" s="190">
        <f t="shared" si="596"/>
        <v>0</v>
      </c>
      <c r="BH200" s="190">
        <f t="shared" si="596"/>
        <v>0</v>
      </c>
      <c r="BI200" s="190">
        <f t="shared" si="596"/>
        <v>0</v>
      </c>
      <c r="BJ200" s="190">
        <f t="shared" si="596"/>
        <v>0</v>
      </c>
      <c r="BK200" s="190">
        <f t="shared" si="596"/>
        <v>0</v>
      </c>
      <c r="BL200" s="190">
        <f t="shared" si="596"/>
        <v>0</v>
      </c>
      <c r="BM200" s="77">
        <f t="shared" si="597"/>
        <v>0</v>
      </c>
      <c r="BN200" s="190">
        <f t="shared" si="597"/>
        <v>0</v>
      </c>
      <c r="BO200" s="190">
        <f t="shared" si="597"/>
        <v>0</v>
      </c>
      <c r="BP200" s="190">
        <f t="shared" si="597"/>
        <v>0</v>
      </c>
      <c r="BQ200" s="190">
        <f t="shared" si="597"/>
        <v>0</v>
      </c>
      <c r="BR200" s="190">
        <f t="shared" si="597"/>
        <v>0</v>
      </c>
      <c r="BS200" s="190">
        <f t="shared" si="597"/>
        <v>0</v>
      </c>
      <c r="BT200" s="190">
        <f t="shared" si="597"/>
        <v>0</v>
      </c>
      <c r="BU200" s="190">
        <f t="shared" si="597"/>
        <v>0</v>
      </c>
      <c r="BV200" s="190">
        <f t="shared" si="597"/>
        <v>0</v>
      </c>
      <c r="BW200" s="23">
        <f t="shared" si="610"/>
        <v>0</v>
      </c>
      <c r="BX200" s="190">
        <f t="shared" ref="BX200:BX207" si="620">(0)/150</f>
        <v>0</v>
      </c>
      <c r="BY200" s="190">
        <f t="shared" si="611"/>
        <v>0</v>
      </c>
      <c r="BZ200" s="190">
        <f t="shared" si="611"/>
        <v>0</v>
      </c>
      <c r="CA200" s="190">
        <f t="shared" ref="CA200:CA207" si="621">(0)/150</f>
        <v>0</v>
      </c>
      <c r="CB200" s="190">
        <f t="shared" ref="CB200:CB206" si="622">(0)/150</f>
        <v>0</v>
      </c>
      <c r="CC200" s="190">
        <f t="shared" ref="CC200:CD207" si="623">(0)/150</f>
        <v>0</v>
      </c>
      <c r="CD200" s="190">
        <f t="shared" si="623"/>
        <v>0</v>
      </c>
      <c r="CE200" s="190">
        <f t="shared" ref="CE200:CE207" si="624">(0)/150</f>
        <v>0</v>
      </c>
      <c r="CF200" s="190">
        <f t="shared" ref="CF200:CF206" si="625">(0)/150</f>
        <v>0</v>
      </c>
      <c r="CG200" s="23">
        <f>(30)/135</f>
        <v>0.22222222222222221</v>
      </c>
      <c r="CH200" s="190">
        <f>(40)/135</f>
        <v>0.29629629629629628</v>
      </c>
      <c r="CI200" s="190">
        <f t="shared" ref="CI200:CO200" si="626">(30)/135</f>
        <v>0.22222222222222221</v>
      </c>
      <c r="CJ200" s="190">
        <f>(40)/135</f>
        <v>0.29629629629629628</v>
      </c>
      <c r="CK200" s="190">
        <f>(38)/135</f>
        <v>0.2814814814814815</v>
      </c>
      <c r="CL200" s="190">
        <f t="shared" si="626"/>
        <v>0.22222222222222221</v>
      </c>
      <c r="CM200" s="190">
        <f>(40)/135</f>
        <v>0.29629629629629628</v>
      </c>
      <c r="CN200" s="190">
        <f t="shared" si="626"/>
        <v>0.22222222222222221</v>
      </c>
      <c r="CO200" s="190">
        <f t="shared" si="626"/>
        <v>0.22222222222222221</v>
      </c>
      <c r="CP200" s="190">
        <f>(37)/135</f>
        <v>0.27407407407407408</v>
      </c>
      <c r="CQ200" s="23">
        <f>(20)/150</f>
        <v>0.13333333333333333</v>
      </c>
      <c r="CR200" s="190">
        <f>(10)/150</f>
        <v>6.6666666666666666E-2</v>
      </c>
      <c r="CS200" s="190">
        <f t="shared" ref="CS200:CW200" si="627">(20)/150</f>
        <v>0.13333333333333333</v>
      </c>
      <c r="CT200" s="190">
        <f t="shared" si="627"/>
        <v>0.13333333333333333</v>
      </c>
      <c r="CU200" s="190">
        <f t="shared" si="627"/>
        <v>0.13333333333333333</v>
      </c>
      <c r="CV200" s="190">
        <f>(17.5)/150</f>
        <v>0.11666666666666667</v>
      </c>
      <c r="CW200" s="190">
        <f t="shared" si="627"/>
        <v>0.13333333333333333</v>
      </c>
      <c r="CX200" s="77">
        <f>(20)/157.5</f>
        <v>0.12698412698412698</v>
      </c>
      <c r="CY200" s="190">
        <f>(25)/157.5</f>
        <v>0.15873015873015872</v>
      </c>
      <c r="CZ200" s="190">
        <f t="shared" ref="CZ200" si="628">(30)/157.5</f>
        <v>0.19047619047619047</v>
      </c>
      <c r="DA200" s="190">
        <f>(25)/157.5</f>
        <v>0.15873015873015872</v>
      </c>
      <c r="DB200" s="190">
        <f>(25)/157.5</f>
        <v>0.15873015873015872</v>
      </c>
      <c r="DC200" s="190">
        <f>(25)/157.5</f>
        <v>0.15873015873015872</v>
      </c>
      <c r="DD200" s="190">
        <f>(25)/157.5</f>
        <v>0.15873015873015872</v>
      </c>
      <c r="DE200" s="23">
        <f>(10)/127.5</f>
        <v>7.8431372549019607E-2</v>
      </c>
      <c r="DF200" s="190">
        <f>(10)/127.5</f>
        <v>7.8431372549019607E-2</v>
      </c>
      <c r="DG200" s="190">
        <f t="shared" ref="DG200:DK200" si="629">(10)/127.5</f>
        <v>7.8431372549019607E-2</v>
      </c>
      <c r="DH200" s="190">
        <f t="shared" si="629"/>
        <v>7.8431372549019607E-2</v>
      </c>
      <c r="DI200" s="190">
        <f t="shared" si="629"/>
        <v>7.8431372549019607E-2</v>
      </c>
      <c r="DJ200" s="190">
        <f t="shared" si="629"/>
        <v>7.8431372549019607E-2</v>
      </c>
      <c r="DK200" s="190">
        <f t="shared" si="629"/>
        <v>7.8431372549019607E-2</v>
      </c>
      <c r="DL200" s="77">
        <f t="shared" ref="DL200:DP200" si="630">(0)/142.5</f>
        <v>0</v>
      </c>
      <c r="DM200" s="190">
        <f t="shared" si="630"/>
        <v>0</v>
      </c>
      <c r="DN200" s="190">
        <f t="shared" si="630"/>
        <v>0</v>
      </c>
      <c r="DO200" s="190">
        <f t="shared" si="630"/>
        <v>0</v>
      </c>
      <c r="DP200" s="190">
        <f t="shared" si="630"/>
        <v>0</v>
      </c>
      <c r="DQ200" s="190">
        <f t="shared" si="605"/>
        <v>0</v>
      </c>
      <c r="DR200" s="190">
        <f t="shared" si="605"/>
        <v>0</v>
      </c>
      <c r="DS200" s="190">
        <f t="shared" si="605"/>
        <v>0</v>
      </c>
      <c r="DT200" s="201"/>
    </row>
    <row r="201" spans="1:124" ht="25.5" customHeight="1" x14ac:dyDescent="0.4">
      <c r="A201" s="522"/>
      <c r="B201" s="522"/>
      <c r="C201" s="522"/>
      <c r="D201" s="469"/>
      <c r="E201" s="469"/>
      <c r="F201" s="469"/>
      <c r="G201" s="472"/>
      <c r="H201" s="492"/>
      <c r="I201" s="497"/>
      <c r="J201" s="18"/>
      <c r="K201" s="19"/>
      <c r="L201" s="19"/>
      <c r="M201" s="432"/>
      <c r="N201" s="11" t="s">
        <v>25</v>
      </c>
      <c r="O201" s="209">
        <f t="shared" si="606"/>
        <v>0</v>
      </c>
      <c r="P201" s="209">
        <f t="shared" si="606"/>
        <v>0</v>
      </c>
      <c r="Q201" s="209">
        <f t="shared" si="615"/>
        <v>0</v>
      </c>
      <c r="R201" s="209">
        <f t="shared" si="607"/>
        <v>0</v>
      </c>
      <c r="S201" s="209">
        <f t="shared" si="616"/>
        <v>0</v>
      </c>
      <c r="T201" s="209">
        <f t="shared" si="608"/>
        <v>0</v>
      </c>
      <c r="U201" s="209">
        <f t="shared" si="608"/>
        <v>0</v>
      </c>
      <c r="V201" s="209">
        <f t="shared" si="608"/>
        <v>0</v>
      </c>
      <c r="W201" s="209">
        <f t="shared" si="608"/>
        <v>0</v>
      </c>
      <c r="X201" s="209">
        <f t="shared" si="592"/>
        <v>0</v>
      </c>
      <c r="Y201" s="24">
        <f>(0+1)/157.5</f>
        <v>6.3492063492063492E-3</v>
      </c>
      <c r="Z201" s="209">
        <f>(6+7.5+5)/157.5</f>
        <v>0.11746031746031746</v>
      </c>
      <c r="AA201" s="209">
        <f>(4+6+10+2)/157.5</f>
        <v>0.13968253968253969</v>
      </c>
      <c r="AB201" s="209">
        <f>(0+6+6)/157.5</f>
        <v>7.6190476190476197E-2</v>
      </c>
      <c r="AC201" s="209">
        <f>(4+10+10+10+4)/157.5</f>
        <v>0.24126984126984127</v>
      </c>
      <c r="AD201" s="209">
        <f>(0+2+10+2)/157.5</f>
        <v>8.8888888888888892E-2</v>
      </c>
      <c r="AE201" s="209">
        <f>(6+10+10+10+4)/157.5</f>
        <v>0.25396825396825395</v>
      </c>
      <c r="AF201" s="209">
        <f>(2+18.5+10)/157.5</f>
        <v>0.19365079365079366</v>
      </c>
      <c r="AG201" s="209">
        <f>(0+6+10+10+4)/157.5</f>
        <v>0.19047619047619047</v>
      </c>
      <c r="AH201" s="209">
        <f>(6+10+10+8+4)/157.5</f>
        <v>0.24126984126984127</v>
      </c>
      <c r="AI201" s="58">
        <f>(3+5+4.5+5+2)/157.5</f>
        <v>0.12380952380952381</v>
      </c>
      <c r="AJ201" s="209">
        <f>(0+5+2+0)/157.5</f>
        <v>4.4444444444444446E-2</v>
      </c>
      <c r="AK201" s="209">
        <f>(6+7+5+4+3)/157.5</f>
        <v>0.15873015873015872</v>
      </c>
      <c r="AL201" s="209">
        <f>(0+0+3+0)/157.5</f>
        <v>1.9047619047619049E-2</v>
      </c>
      <c r="AM201" s="209">
        <f>(6+7+5+5+3)/157.5</f>
        <v>0.16507936507936508</v>
      </c>
      <c r="AN201" s="209">
        <f>(6+7+5+5+3)/157.5</f>
        <v>0.16507936507936508</v>
      </c>
      <c r="AO201" s="209">
        <f>(6+10+7+5+3)/157.5</f>
        <v>0.19682539682539682</v>
      </c>
      <c r="AP201" s="209">
        <f>(0+3+2+4+3.5)/157.5</f>
        <v>7.9365079365079361E-2</v>
      </c>
      <c r="AQ201" s="209">
        <f>(6+7+5+5+3)/157.5</f>
        <v>0.16507936507936508</v>
      </c>
      <c r="AR201" s="53">
        <f>(6+7+5+5+3)/157.5</f>
        <v>0.16507936507936508</v>
      </c>
      <c r="AS201" s="65">
        <f>(2+4+5+3+3+0.5)/165</f>
        <v>0.10606060606060606</v>
      </c>
      <c r="AT201" s="210">
        <f>(3+2)/165</f>
        <v>3.0303030303030304E-2</v>
      </c>
      <c r="AU201" s="210">
        <f>(2+4+4+1.5+2.5+0.5)/165</f>
        <v>8.7878787878787876E-2</v>
      </c>
      <c r="AV201" s="210">
        <f>(2+1.5)/165</f>
        <v>2.1212121212121213E-2</v>
      </c>
      <c r="AW201" s="210">
        <f>(1+2+5+2)/165</f>
        <v>6.0606060606060608E-2</v>
      </c>
      <c r="AX201" s="210">
        <f>(2+4+6+2.5+2.5+0.5)/165</f>
        <v>0.10606060606060606</v>
      </c>
      <c r="AY201" s="210">
        <f>(3+8+5+1)/165</f>
        <v>0.10303030303030303</v>
      </c>
      <c r="AZ201" s="210">
        <f>(2+4+3)/165</f>
        <v>5.4545454545454543E-2</v>
      </c>
      <c r="BA201" s="210">
        <f>(2+4+5+2.5+2.5+0.5)/165</f>
        <v>0.1</v>
      </c>
      <c r="BB201" s="53">
        <f>(2+6+7+2.5+1.5)/165</f>
        <v>0.11515151515151516</v>
      </c>
      <c r="BC201" s="58">
        <f>(0.5)/157.5</f>
        <v>3.1746031746031746E-3</v>
      </c>
      <c r="BD201" s="209">
        <f>(0+0.5)/157.5</f>
        <v>3.1746031746031746E-3</v>
      </c>
      <c r="BE201" s="209">
        <f>(0.5)/157.5</f>
        <v>3.1746031746031746E-3</v>
      </c>
      <c r="BF201" s="209">
        <f t="shared" si="596"/>
        <v>0</v>
      </c>
      <c r="BG201" s="209">
        <f t="shared" si="596"/>
        <v>0</v>
      </c>
      <c r="BH201" s="209">
        <f>(0.5)/157.5</f>
        <v>3.1746031746031746E-3</v>
      </c>
      <c r="BI201" s="209">
        <f t="shared" si="596"/>
        <v>0</v>
      </c>
      <c r="BJ201" s="209">
        <f t="shared" si="596"/>
        <v>0</v>
      </c>
      <c r="BK201" s="209">
        <f>(0.5)/157.5</f>
        <v>3.1746031746031746E-3</v>
      </c>
      <c r="BL201" s="209">
        <f t="shared" si="596"/>
        <v>0</v>
      </c>
      <c r="BM201" s="58">
        <f t="shared" si="597"/>
        <v>0</v>
      </c>
      <c r="BN201" s="209">
        <f t="shared" si="597"/>
        <v>0</v>
      </c>
      <c r="BO201" s="209">
        <f t="shared" si="597"/>
        <v>0</v>
      </c>
      <c r="BP201" s="209">
        <f t="shared" si="597"/>
        <v>0</v>
      </c>
      <c r="BQ201" s="209">
        <f t="shared" si="597"/>
        <v>0</v>
      </c>
      <c r="BR201" s="209">
        <f t="shared" si="597"/>
        <v>0</v>
      </c>
      <c r="BS201" s="209">
        <f t="shared" si="597"/>
        <v>0</v>
      </c>
      <c r="BT201" s="209">
        <f t="shared" si="597"/>
        <v>0</v>
      </c>
      <c r="BU201" s="209">
        <f t="shared" si="597"/>
        <v>0</v>
      </c>
      <c r="BV201" s="209">
        <f t="shared" si="597"/>
        <v>0</v>
      </c>
      <c r="BW201" s="65">
        <f t="shared" si="610"/>
        <v>0</v>
      </c>
      <c r="BX201" s="209">
        <f t="shared" si="620"/>
        <v>0</v>
      </c>
      <c r="BY201" s="209">
        <f t="shared" si="611"/>
        <v>0</v>
      </c>
      <c r="BZ201" s="209">
        <f t="shared" si="611"/>
        <v>0</v>
      </c>
      <c r="CA201" s="209">
        <f t="shared" si="621"/>
        <v>0</v>
      </c>
      <c r="CB201" s="209">
        <f t="shared" si="622"/>
        <v>0</v>
      </c>
      <c r="CC201" s="209">
        <f t="shared" si="623"/>
        <v>0</v>
      </c>
      <c r="CD201" s="209">
        <f t="shared" si="623"/>
        <v>0</v>
      </c>
      <c r="CE201" s="209">
        <f t="shared" si="624"/>
        <v>0</v>
      </c>
      <c r="CF201" s="209">
        <f t="shared" si="625"/>
        <v>0</v>
      </c>
      <c r="CG201" s="65">
        <f>(11+6+7+2)/135</f>
        <v>0.19259259259259259</v>
      </c>
      <c r="CH201" s="209">
        <f>(11+8+10+4)/135</f>
        <v>0.24444444444444444</v>
      </c>
      <c r="CI201" s="209">
        <f>(8+8+8+2)/135</f>
        <v>0.19259259259259259</v>
      </c>
      <c r="CJ201" s="209">
        <f>(10+8+10+4)/135</f>
        <v>0.23703703703703705</v>
      </c>
      <c r="CK201" s="209">
        <f>(12+8+10+4)/135</f>
        <v>0.25185185185185183</v>
      </c>
      <c r="CL201" s="209">
        <f>(10+6+10+4)/135</f>
        <v>0.22222222222222221</v>
      </c>
      <c r="CM201" s="209">
        <f>(11+8+8+4)/135</f>
        <v>0.22962962962962963</v>
      </c>
      <c r="CN201" s="209">
        <f>(9+6+10+3.5)/135</f>
        <v>0.21111111111111111</v>
      </c>
      <c r="CO201" s="209">
        <f>(10.5+7+5+4)/135</f>
        <v>0.1962962962962963</v>
      </c>
      <c r="CP201" s="209">
        <f>(11+8+10+4)/135</f>
        <v>0.24444444444444444</v>
      </c>
      <c r="CQ201" s="65">
        <f>(4+7+4+1+6)/150</f>
        <v>0.14666666666666667</v>
      </c>
      <c r="CR201" s="209">
        <f>(3+0+7)/150</f>
        <v>6.6666666666666666E-2</v>
      </c>
      <c r="CS201" s="209">
        <f>(6+10+8+8+6)/150</f>
        <v>0.25333333333333335</v>
      </c>
      <c r="CT201" s="209">
        <f>(0+0+8+2)/150</f>
        <v>6.6666666666666666E-2</v>
      </c>
      <c r="CU201" s="209">
        <f>(5+9+6+2)/150</f>
        <v>0.14666666666666667</v>
      </c>
      <c r="CV201" s="209">
        <f>(0+2+2.5+2)/150</f>
        <v>4.3333333333333335E-2</v>
      </c>
      <c r="CW201" s="209">
        <f>(4+5+6+7)/150</f>
        <v>0.14666666666666667</v>
      </c>
      <c r="CX201" s="227">
        <f>(2.5+5+6.5+6.5+3)/157.5</f>
        <v>0.1492063492063492</v>
      </c>
      <c r="CY201" s="270">
        <f>(6+6+3.5)/157.5</f>
        <v>9.841269841269841E-2</v>
      </c>
      <c r="CZ201" s="270">
        <f>(0+12+10+10+4)/157.5</f>
        <v>0.22857142857142856</v>
      </c>
      <c r="DA201" s="305">
        <f>(6+6+2)/157.5</f>
        <v>8.8888888888888892E-2</v>
      </c>
      <c r="DB201" s="305">
        <f>(6+12+4+8+4)/157.5</f>
        <v>0.21587301587301588</v>
      </c>
      <c r="DC201" s="305">
        <f>(6+10+8+8)/157.5</f>
        <v>0.20317460317460317</v>
      </c>
      <c r="DD201" s="209">
        <f>(6+12+10+6+2)/157.5</f>
        <v>0.22857142857142856</v>
      </c>
      <c r="DE201" s="65">
        <f>(3+3.5+5)/127.5</f>
        <v>9.0196078431372548E-2</v>
      </c>
      <c r="DF201" s="210">
        <f>(3)/127.5</f>
        <v>2.3529411764705882E-2</v>
      </c>
      <c r="DG201" s="210">
        <f>(5+5)/127.5</f>
        <v>7.8431372549019607E-2</v>
      </c>
      <c r="DH201" s="210">
        <f>(0+6+1+12)/127.5</f>
        <v>0.14901960784313725</v>
      </c>
      <c r="DI201" s="210">
        <f>(0+4+1+9)/127.5</f>
        <v>0.10980392156862745</v>
      </c>
      <c r="DJ201" s="210">
        <f>(0+6+10)/127.5</f>
        <v>0.12549019607843137</v>
      </c>
      <c r="DK201" s="210">
        <f>(3+4.5+1+7)/127.5</f>
        <v>0.12156862745098039</v>
      </c>
      <c r="DL201" s="46">
        <f t="shared" ref="DL201:DP201" si="631">0/142.5</f>
        <v>0</v>
      </c>
      <c r="DM201" s="209">
        <f t="shared" si="631"/>
        <v>0</v>
      </c>
      <c r="DN201" s="209">
        <f t="shared" si="631"/>
        <v>0</v>
      </c>
      <c r="DO201" s="209">
        <f t="shared" si="631"/>
        <v>0</v>
      </c>
      <c r="DP201" s="209">
        <f t="shared" si="631"/>
        <v>0</v>
      </c>
      <c r="DQ201" s="209">
        <f t="shared" si="605"/>
        <v>0</v>
      </c>
      <c r="DR201" s="209">
        <f t="shared" si="605"/>
        <v>0</v>
      </c>
      <c r="DS201" s="209">
        <f t="shared" si="605"/>
        <v>0</v>
      </c>
      <c r="DT201" s="201"/>
    </row>
    <row r="202" spans="1:124" ht="25.5" customHeight="1" x14ac:dyDescent="0.4">
      <c r="A202" s="521">
        <v>3</v>
      </c>
      <c r="B202" s="521" t="s">
        <v>46</v>
      </c>
      <c r="C202" s="521" t="s">
        <v>14</v>
      </c>
      <c r="D202" s="470" t="s">
        <v>19</v>
      </c>
      <c r="E202" s="470" t="s">
        <v>198</v>
      </c>
      <c r="F202" s="470" t="s">
        <v>19</v>
      </c>
      <c r="G202" s="471" t="s">
        <v>199</v>
      </c>
      <c r="H202" s="491">
        <f t="shared" ref="H202" si="632">SUM(DE202:DK202)</f>
        <v>0</v>
      </c>
      <c r="I202" s="496">
        <f t="shared" ref="I202" si="633">SUM(DE203:DK203)</f>
        <v>0</v>
      </c>
      <c r="J202" s="16"/>
      <c r="K202" s="17"/>
      <c r="L202" s="17"/>
      <c r="M202" s="441"/>
      <c r="N202" s="10" t="s">
        <v>24</v>
      </c>
      <c r="O202" s="190">
        <f t="shared" si="606"/>
        <v>0</v>
      </c>
      <c r="P202" s="190">
        <f t="shared" si="606"/>
        <v>0</v>
      </c>
      <c r="Q202" s="190">
        <f t="shared" si="615"/>
        <v>0</v>
      </c>
      <c r="R202" s="190">
        <f t="shared" si="607"/>
        <v>0</v>
      </c>
      <c r="S202" s="190">
        <f t="shared" si="616"/>
        <v>0</v>
      </c>
      <c r="T202" s="190">
        <f t="shared" si="608"/>
        <v>0</v>
      </c>
      <c r="U202" s="190">
        <f t="shared" si="608"/>
        <v>0</v>
      </c>
      <c r="V202" s="190">
        <f t="shared" si="608"/>
        <v>0</v>
      </c>
      <c r="W202" s="190">
        <f t="shared" si="608"/>
        <v>0</v>
      </c>
      <c r="X202" s="190">
        <f t="shared" si="592"/>
        <v>0</v>
      </c>
      <c r="Y202" s="23">
        <f t="shared" si="593"/>
        <v>0</v>
      </c>
      <c r="Z202" s="190">
        <f t="shared" si="593"/>
        <v>0</v>
      </c>
      <c r="AA202" s="190">
        <f t="shared" si="593"/>
        <v>0</v>
      </c>
      <c r="AB202" s="190">
        <f t="shared" si="593"/>
        <v>0</v>
      </c>
      <c r="AC202" s="190">
        <f t="shared" si="593"/>
        <v>0</v>
      </c>
      <c r="AD202" s="190">
        <f t="shared" si="593"/>
        <v>0</v>
      </c>
      <c r="AE202" s="190">
        <f t="shared" si="593"/>
        <v>0</v>
      </c>
      <c r="AF202" s="190">
        <f t="shared" si="593"/>
        <v>0</v>
      </c>
      <c r="AG202" s="190">
        <f t="shared" si="593"/>
        <v>0</v>
      </c>
      <c r="AH202" s="190">
        <f t="shared" si="593"/>
        <v>0</v>
      </c>
      <c r="AI202" s="77">
        <f t="shared" si="593"/>
        <v>0</v>
      </c>
      <c r="AJ202" s="190">
        <f t="shared" si="593"/>
        <v>0</v>
      </c>
      <c r="AK202" s="190">
        <f t="shared" si="593"/>
        <v>0</v>
      </c>
      <c r="AL202" s="190">
        <f t="shared" si="593"/>
        <v>0</v>
      </c>
      <c r="AM202" s="190">
        <f t="shared" si="593"/>
        <v>0</v>
      </c>
      <c r="AN202" s="190">
        <f t="shared" si="593"/>
        <v>0</v>
      </c>
      <c r="AO202" s="190">
        <f t="shared" si="609"/>
        <v>0</v>
      </c>
      <c r="AP202" s="190">
        <f t="shared" si="609"/>
        <v>0</v>
      </c>
      <c r="AQ202" s="190">
        <f t="shared" si="609"/>
        <v>0</v>
      </c>
      <c r="AR202" s="225">
        <f t="shared" si="609"/>
        <v>0</v>
      </c>
      <c r="AS202" s="23">
        <f t="shared" si="595"/>
        <v>0</v>
      </c>
      <c r="AT202" s="190">
        <f t="shared" si="595"/>
        <v>0</v>
      </c>
      <c r="AU202" s="190">
        <f t="shared" si="595"/>
        <v>0</v>
      </c>
      <c r="AV202" s="190">
        <f t="shared" si="595"/>
        <v>0</v>
      </c>
      <c r="AW202" s="190">
        <f t="shared" si="595"/>
        <v>0</v>
      </c>
      <c r="AX202" s="190">
        <f t="shared" si="595"/>
        <v>0</v>
      </c>
      <c r="AY202" s="190">
        <f t="shared" si="595"/>
        <v>0</v>
      </c>
      <c r="AZ202" s="190">
        <f t="shared" si="595"/>
        <v>0</v>
      </c>
      <c r="BA202" s="190">
        <f t="shared" si="595"/>
        <v>0</v>
      </c>
      <c r="BB202" s="225">
        <f t="shared" si="595"/>
        <v>0</v>
      </c>
      <c r="BC202" s="77">
        <f t="shared" si="596"/>
        <v>0</v>
      </c>
      <c r="BD202" s="190">
        <f t="shared" si="596"/>
        <v>0</v>
      </c>
      <c r="BE202" s="190">
        <f t="shared" si="596"/>
        <v>0</v>
      </c>
      <c r="BF202" s="190">
        <f t="shared" si="596"/>
        <v>0</v>
      </c>
      <c r="BG202" s="190">
        <f t="shared" si="596"/>
        <v>0</v>
      </c>
      <c r="BH202" s="190">
        <f t="shared" si="596"/>
        <v>0</v>
      </c>
      <c r="BI202" s="190">
        <f t="shared" si="596"/>
        <v>0</v>
      </c>
      <c r="BJ202" s="190">
        <f t="shared" si="596"/>
        <v>0</v>
      </c>
      <c r="BK202" s="190">
        <f t="shared" si="596"/>
        <v>0</v>
      </c>
      <c r="BL202" s="190">
        <f t="shared" si="596"/>
        <v>0</v>
      </c>
      <c r="BM202" s="77">
        <f t="shared" si="597"/>
        <v>0</v>
      </c>
      <c r="BN202" s="190">
        <f t="shared" si="597"/>
        <v>0</v>
      </c>
      <c r="BO202" s="190">
        <f t="shared" si="597"/>
        <v>0</v>
      </c>
      <c r="BP202" s="190">
        <f t="shared" si="597"/>
        <v>0</v>
      </c>
      <c r="BQ202" s="190">
        <f t="shared" si="597"/>
        <v>0</v>
      </c>
      <c r="BR202" s="190">
        <f t="shared" si="597"/>
        <v>0</v>
      </c>
      <c r="BS202" s="190">
        <f t="shared" si="597"/>
        <v>0</v>
      </c>
      <c r="BT202" s="190">
        <f t="shared" si="597"/>
        <v>0</v>
      </c>
      <c r="BU202" s="190">
        <f t="shared" si="597"/>
        <v>0</v>
      </c>
      <c r="BV202" s="190">
        <f t="shared" si="597"/>
        <v>0</v>
      </c>
      <c r="BW202" s="23">
        <f t="shared" si="610"/>
        <v>0</v>
      </c>
      <c r="BX202" s="190">
        <f t="shared" si="620"/>
        <v>0</v>
      </c>
      <c r="BY202" s="190">
        <f t="shared" si="611"/>
        <v>0</v>
      </c>
      <c r="BZ202" s="190">
        <f t="shared" si="611"/>
        <v>0</v>
      </c>
      <c r="CA202" s="190">
        <f t="shared" si="621"/>
        <v>0</v>
      </c>
      <c r="CB202" s="190">
        <f t="shared" si="622"/>
        <v>0</v>
      </c>
      <c r="CC202" s="190">
        <f t="shared" si="623"/>
        <v>0</v>
      </c>
      <c r="CD202" s="190">
        <f t="shared" si="623"/>
        <v>0</v>
      </c>
      <c r="CE202" s="190">
        <f t="shared" si="624"/>
        <v>0</v>
      </c>
      <c r="CF202" s="190">
        <f t="shared" si="625"/>
        <v>0</v>
      </c>
      <c r="CG202" s="23">
        <f t="shared" ref="CG202:CP206" si="634">(0)/135</f>
        <v>0</v>
      </c>
      <c r="CH202" s="190">
        <f t="shared" si="634"/>
        <v>0</v>
      </c>
      <c r="CI202" s="190">
        <f t="shared" si="634"/>
        <v>0</v>
      </c>
      <c r="CJ202" s="190">
        <f t="shared" si="634"/>
        <v>0</v>
      </c>
      <c r="CK202" s="190">
        <f t="shared" si="634"/>
        <v>0</v>
      </c>
      <c r="CL202" s="190">
        <f t="shared" si="634"/>
        <v>0</v>
      </c>
      <c r="CM202" s="190">
        <f t="shared" si="634"/>
        <v>0</v>
      </c>
      <c r="CN202" s="190">
        <f t="shared" si="634"/>
        <v>0</v>
      </c>
      <c r="CO202" s="190">
        <f t="shared" si="634"/>
        <v>0</v>
      </c>
      <c r="CP202" s="190">
        <f t="shared" si="634"/>
        <v>0</v>
      </c>
      <c r="CQ202" s="23">
        <f t="shared" si="600"/>
        <v>0</v>
      </c>
      <c r="CR202" s="190">
        <f t="shared" si="600"/>
        <v>0</v>
      </c>
      <c r="CS202" s="190">
        <f t="shared" si="600"/>
        <v>0</v>
      </c>
      <c r="CT202" s="190">
        <f t="shared" si="600"/>
        <v>0</v>
      </c>
      <c r="CU202" s="190">
        <f t="shared" si="600"/>
        <v>0</v>
      </c>
      <c r="CV202" s="190">
        <f t="shared" si="600"/>
        <v>0</v>
      </c>
      <c r="CW202" s="190">
        <f t="shared" si="600"/>
        <v>0</v>
      </c>
      <c r="CX202" s="77">
        <f t="shared" si="601"/>
        <v>0</v>
      </c>
      <c r="CY202" s="190">
        <f t="shared" si="601"/>
        <v>0</v>
      </c>
      <c r="CZ202" s="190">
        <f t="shared" si="601"/>
        <v>0</v>
      </c>
      <c r="DA202" s="190">
        <f t="shared" si="601"/>
        <v>0</v>
      </c>
      <c r="DB202" s="190">
        <f t="shared" si="601"/>
        <v>0</v>
      </c>
      <c r="DC202" s="190">
        <f t="shared" si="601"/>
        <v>0</v>
      </c>
      <c r="DD202" s="190">
        <f t="shared" si="601"/>
        <v>0</v>
      </c>
      <c r="DE202" s="23">
        <f t="shared" si="603"/>
        <v>0</v>
      </c>
      <c r="DF202" s="190">
        <f t="shared" si="603"/>
        <v>0</v>
      </c>
      <c r="DG202" s="190">
        <f t="shared" si="603"/>
        <v>0</v>
      </c>
      <c r="DH202" s="190">
        <f t="shared" si="603"/>
        <v>0</v>
      </c>
      <c r="DI202" s="190">
        <f t="shared" si="603"/>
        <v>0</v>
      </c>
      <c r="DJ202" s="190">
        <f t="shared" si="603"/>
        <v>0</v>
      </c>
      <c r="DK202" s="190">
        <f t="shared" si="603"/>
        <v>0</v>
      </c>
      <c r="DL202" s="77">
        <f t="shared" ref="DL202:DP202" si="635">(0)/142.5</f>
        <v>0</v>
      </c>
      <c r="DM202" s="190">
        <f t="shared" si="635"/>
        <v>0</v>
      </c>
      <c r="DN202" s="190">
        <f t="shared" si="635"/>
        <v>0</v>
      </c>
      <c r="DO202" s="190">
        <f t="shared" si="635"/>
        <v>0</v>
      </c>
      <c r="DP202" s="190">
        <f t="shared" si="635"/>
        <v>0</v>
      </c>
      <c r="DQ202" s="190">
        <f t="shared" si="605"/>
        <v>0</v>
      </c>
      <c r="DR202" s="190">
        <f t="shared" si="605"/>
        <v>0</v>
      </c>
      <c r="DS202" s="190">
        <f t="shared" si="605"/>
        <v>0</v>
      </c>
    </row>
    <row r="203" spans="1:124" ht="25.5" customHeight="1" x14ac:dyDescent="0.4">
      <c r="A203" s="522"/>
      <c r="B203" s="522"/>
      <c r="C203" s="522"/>
      <c r="D203" s="469"/>
      <c r="E203" s="469"/>
      <c r="F203" s="469"/>
      <c r="G203" s="472"/>
      <c r="H203" s="492"/>
      <c r="I203" s="497"/>
      <c r="J203" s="18"/>
      <c r="K203" s="19"/>
      <c r="L203" s="19"/>
      <c r="M203" s="432"/>
      <c r="N203" s="11" t="s">
        <v>25</v>
      </c>
      <c r="O203" s="209">
        <f t="shared" si="606"/>
        <v>0</v>
      </c>
      <c r="P203" s="209">
        <f t="shared" si="606"/>
        <v>0</v>
      </c>
      <c r="Q203" s="209">
        <f t="shared" si="615"/>
        <v>0</v>
      </c>
      <c r="R203" s="209">
        <f t="shared" si="607"/>
        <v>0</v>
      </c>
      <c r="S203" s="209">
        <f t="shared" si="616"/>
        <v>0</v>
      </c>
      <c r="T203" s="209">
        <f t="shared" si="608"/>
        <v>0</v>
      </c>
      <c r="U203" s="209">
        <f t="shared" si="608"/>
        <v>0</v>
      </c>
      <c r="V203" s="209">
        <f t="shared" si="608"/>
        <v>0</v>
      </c>
      <c r="W203" s="209">
        <f t="shared" si="608"/>
        <v>0</v>
      </c>
      <c r="X203" s="209">
        <f t="shared" si="592"/>
        <v>0</v>
      </c>
      <c r="Y203" s="24">
        <f t="shared" si="593"/>
        <v>0</v>
      </c>
      <c r="Z203" s="209">
        <f t="shared" si="593"/>
        <v>0</v>
      </c>
      <c r="AA203" s="209">
        <f t="shared" si="593"/>
        <v>0</v>
      </c>
      <c r="AB203" s="209">
        <f t="shared" si="593"/>
        <v>0</v>
      </c>
      <c r="AC203" s="209">
        <f t="shared" si="593"/>
        <v>0</v>
      </c>
      <c r="AD203" s="209">
        <f t="shared" si="593"/>
        <v>0</v>
      </c>
      <c r="AE203" s="209">
        <f t="shared" si="593"/>
        <v>0</v>
      </c>
      <c r="AF203" s="209">
        <f t="shared" si="593"/>
        <v>0</v>
      </c>
      <c r="AG203" s="209">
        <f t="shared" si="593"/>
        <v>0</v>
      </c>
      <c r="AH203" s="209">
        <f t="shared" si="593"/>
        <v>0</v>
      </c>
      <c r="AI203" s="58">
        <f t="shared" si="609"/>
        <v>0</v>
      </c>
      <c r="AJ203" s="209">
        <f t="shared" si="609"/>
        <v>0</v>
      </c>
      <c r="AK203" s="209">
        <f t="shared" si="609"/>
        <v>0</v>
      </c>
      <c r="AL203" s="209">
        <f t="shared" si="609"/>
        <v>0</v>
      </c>
      <c r="AM203" s="209">
        <f t="shared" si="609"/>
        <v>0</v>
      </c>
      <c r="AN203" s="209">
        <f t="shared" si="609"/>
        <v>0</v>
      </c>
      <c r="AO203" s="209">
        <f t="shared" si="609"/>
        <v>0</v>
      </c>
      <c r="AP203" s="209">
        <f t="shared" si="609"/>
        <v>0</v>
      </c>
      <c r="AQ203" s="209">
        <f t="shared" si="609"/>
        <v>0</v>
      </c>
      <c r="AR203" s="53">
        <f t="shared" si="609"/>
        <v>0</v>
      </c>
      <c r="AS203" s="65">
        <f t="shared" si="595"/>
        <v>0</v>
      </c>
      <c r="AT203" s="210">
        <f t="shared" si="595"/>
        <v>0</v>
      </c>
      <c r="AU203" s="210">
        <f t="shared" si="595"/>
        <v>0</v>
      </c>
      <c r="AV203" s="210">
        <f t="shared" si="595"/>
        <v>0</v>
      </c>
      <c r="AW203" s="210">
        <f t="shared" si="595"/>
        <v>0</v>
      </c>
      <c r="AX203" s="210">
        <f t="shared" si="595"/>
        <v>0</v>
      </c>
      <c r="AY203" s="210">
        <f t="shared" si="595"/>
        <v>0</v>
      </c>
      <c r="AZ203" s="210">
        <f t="shared" si="595"/>
        <v>0</v>
      </c>
      <c r="BA203" s="210">
        <f t="shared" si="595"/>
        <v>0</v>
      </c>
      <c r="BB203" s="53">
        <f t="shared" si="595"/>
        <v>0</v>
      </c>
      <c r="BC203" s="58">
        <f t="shared" si="596"/>
        <v>0</v>
      </c>
      <c r="BD203" s="209">
        <f t="shared" si="596"/>
        <v>0</v>
      </c>
      <c r="BE203" s="209">
        <f t="shared" si="596"/>
        <v>0</v>
      </c>
      <c r="BF203" s="209">
        <f t="shared" si="596"/>
        <v>0</v>
      </c>
      <c r="BG203" s="209">
        <f t="shared" si="596"/>
        <v>0</v>
      </c>
      <c r="BH203" s="209">
        <f t="shared" si="596"/>
        <v>0</v>
      </c>
      <c r="BI203" s="209">
        <f t="shared" si="596"/>
        <v>0</v>
      </c>
      <c r="BJ203" s="209">
        <f t="shared" si="596"/>
        <v>0</v>
      </c>
      <c r="BK203" s="209">
        <f t="shared" si="596"/>
        <v>0</v>
      </c>
      <c r="BL203" s="209">
        <f t="shared" si="596"/>
        <v>0</v>
      </c>
      <c r="BM203" s="58">
        <f t="shared" si="597"/>
        <v>0</v>
      </c>
      <c r="BN203" s="209">
        <f t="shared" si="597"/>
        <v>0</v>
      </c>
      <c r="BO203" s="209">
        <f t="shared" si="597"/>
        <v>0</v>
      </c>
      <c r="BP203" s="209">
        <f t="shared" si="597"/>
        <v>0</v>
      </c>
      <c r="BQ203" s="209">
        <f t="shared" si="597"/>
        <v>0</v>
      </c>
      <c r="BR203" s="209">
        <f t="shared" si="597"/>
        <v>0</v>
      </c>
      <c r="BS203" s="209">
        <f t="shared" si="597"/>
        <v>0</v>
      </c>
      <c r="BT203" s="209">
        <f t="shared" si="597"/>
        <v>0</v>
      </c>
      <c r="BU203" s="209">
        <f t="shared" si="597"/>
        <v>0</v>
      </c>
      <c r="BV203" s="209">
        <f t="shared" si="597"/>
        <v>0</v>
      </c>
      <c r="BW203" s="65">
        <f t="shared" si="610"/>
        <v>0</v>
      </c>
      <c r="BX203" s="209">
        <f t="shared" si="620"/>
        <v>0</v>
      </c>
      <c r="BY203" s="209">
        <f t="shared" si="611"/>
        <v>0</v>
      </c>
      <c r="BZ203" s="209">
        <f t="shared" si="611"/>
        <v>0</v>
      </c>
      <c r="CA203" s="209">
        <f t="shared" si="621"/>
        <v>0</v>
      </c>
      <c r="CB203" s="209">
        <f t="shared" si="622"/>
        <v>0</v>
      </c>
      <c r="CC203" s="209">
        <f t="shared" si="623"/>
        <v>0</v>
      </c>
      <c r="CD203" s="209">
        <f t="shared" si="623"/>
        <v>0</v>
      </c>
      <c r="CE203" s="209">
        <f t="shared" si="624"/>
        <v>0</v>
      </c>
      <c r="CF203" s="209">
        <f t="shared" si="625"/>
        <v>0</v>
      </c>
      <c r="CG203" s="65">
        <f t="shared" si="634"/>
        <v>0</v>
      </c>
      <c r="CH203" s="209">
        <f t="shared" si="634"/>
        <v>0</v>
      </c>
      <c r="CI203" s="209">
        <f t="shared" si="634"/>
        <v>0</v>
      </c>
      <c r="CJ203" s="209">
        <f t="shared" si="634"/>
        <v>0</v>
      </c>
      <c r="CK203" s="209">
        <f t="shared" si="634"/>
        <v>0</v>
      </c>
      <c r="CL203" s="209">
        <f t="shared" si="634"/>
        <v>0</v>
      </c>
      <c r="CM203" s="209">
        <f t="shared" si="634"/>
        <v>0</v>
      </c>
      <c r="CN203" s="209">
        <f t="shared" si="634"/>
        <v>0</v>
      </c>
      <c r="CO203" s="209">
        <f t="shared" si="634"/>
        <v>0</v>
      </c>
      <c r="CP203" s="209">
        <f t="shared" si="634"/>
        <v>0</v>
      </c>
      <c r="CQ203" s="65">
        <f t="shared" si="600"/>
        <v>0</v>
      </c>
      <c r="CR203" s="209">
        <f t="shared" si="600"/>
        <v>0</v>
      </c>
      <c r="CS203" s="209">
        <f t="shared" si="600"/>
        <v>0</v>
      </c>
      <c r="CT203" s="209">
        <f t="shared" si="600"/>
        <v>0</v>
      </c>
      <c r="CU203" s="209">
        <f t="shared" si="600"/>
        <v>0</v>
      </c>
      <c r="CV203" s="209">
        <f t="shared" si="600"/>
        <v>0</v>
      </c>
      <c r="CW203" s="209">
        <f t="shared" si="600"/>
        <v>0</v>
      </c>
      <c r="CX203" s="227">
        <f t="shared" si="601"/>
        <v>0</v>
      </c>
      <c r="CY203" s="219">
        <f t="shared" si="601"/>
        <v>0</v>
      </c>
      <c r="CZ203" s="219">
        <f t="shared" si="601"/>
        <v>0</v>
      </c>
      <c r="DA203" s="219">
        <f t="shared" si="601"/>
        <v>0</v>
      </c>
      <c r="DB203" s="219">
        <f t="shared" si="601"/>
        <v>0</v>
      </c>
      <c r="DC203" s="305">
        <f t="shared" si="601"/>
        <v>0</v>
      </c>
      <c r="DD203" s="209">
        <f t="shared" si="601"/>
        <v>0</v>
      </c>
      <c r="DE203" s="65">
        <f t="shared" si="603"/>
        <v>0</v>
      </c>
      <c r="DF203" s="210">
        <f t="shared" si="603"/>
        <v>0</v>
      </c>
      <c r="DG203" s="210">
        <f t="shared" si="603"/>
        <v>0</v>
      </c>
      <c r="DH203" s="210">
        <f t="shared" si="603"/>
        <v>0</v>
      </c>
      <c r="DI203" s="210">
        <f t="shared" si="603"/>
        <v>0</v>
      </c>
      <c r="DJ203" s="210">
        <f t="shared" si="603"/>
        <v>0</v>
      </c>
      <c r="DK203" s="210">
        <f t="shared" si="603"/>
        <v>0</v>
      </c>
      <c r="DL203" s="46">
        <f t="shared" ref="DL203:DP203" si="636">0/142.5</f>
        <v>0</v>
      </c>
      <c r="DM203" s="209">
        <f t="shared" si="636"/>
        <v>0</v>
      </c>
      <c r="DN203" s="209">
        <f t="shared" si="636"/>
        <v>0</v>
      </c>
      <c r="DO203" s="209">
        <f t="shared" si="636"/>
        <v>0</v>
      </c>
      <c r="DP203" s="209">
        <f t="shared" si="636"/>
        <v>0</v>
      </c>
      <c r="DQ203" s="209">
        <f t="shared" si="605"/>
        <v>0</v>
      </c>
      <c r="DR203" s="209">
        <f t="shared" si="605"/>
        <v>0</v>
      </c>
      <c r="DS203" s="209">
        <f t="shared" si="605"/>
        <v>0</v>
      </c>
    </row>
    <row r="204" spans="1:124" ht="25.5" customHeight="1" x14ac:dyDescent="0.4">
      <c r="A204" s="521">
        <v>4</v>
      </c>
      <c r="B204" s="521" t="s">
        <v>46</v>
      </c>
      <c r="C204" s="521" t="s">
        <v>14</v>
      </c>
      <c r="D204" s="470" t="s">
        <v>21</v>
      </c>
      <c r="E204" s="470" t="s">
        <v>20</v>
      </c>
      <c r="F204" s="470" t="s">
        <v>21</v>
      </c>
      <c r="G204" s="471" t="s">
        <v>22</v>
      </c>
      <c r="H204" s="491">
        <f t="shared" ref="H204" si="637">SUM(DE204:DK204)</f>
        <v>0</v>
      </c>
      <c r="I204" s="496">
        <f t="shared" ref="I204" si="638">SUM(DE205:DK205)</f>
        <v>0</v>
      </c>
      <c r="J204" s="16"/>
      <c r="K204" s="17"/>
      <c r="L204" s="17"/>
      <c r="M204" s="441" t="s">
        <v>43</v>
      </c>
      <c r="N204" s="10" t="s">
        <v>89</v>
      </c>
      <c r="O204" s="190">
        <f t="shared" si="606"/>
        <v>0</v>
      </c>
      <c r="P204" s="190">
        <f t="shared" si="606"/>
        <v>0</v>
      </c>
      <c r="Q204" s="190">
        <f t="shared" si="615"/>
        <v>0</v>
      </c>
      <c r="R204" s="190">
        <f t="shared" si="607"/>
        <v>0</v>
      </c>
      <c r="S204" s="190">
        <f t="shared" si="616"/>
        <v>0</v>
      </c>
      <c r="T204" s="190">
        <f t="shared" si="608"/>
        <v>0</v>
      </c>
      <c r="U204" s="190">
        <f t="shared" si="608"/>
        <v>0</v>
      </c>
      <c r="V204" s="190">
        <f t="shared" si="608"/>
        <v>0</v>
      </c>
      <c r="W204" s="190">
        <f t="shared" si="608"/>
        <v>0</v>
      </c>
      <c r="X204" s="190">
        <f t="shared" si="592"/>
        <v>0</v>
      </c>
      <c r="Y204" s="23">
        <f t="shared" si="593"/>
        <v>0</v>
      </c>
      <c r="Z204" s="190">
        <f t="shared" si="593"/>
        <v>0</v>
      </c>
      <c r="AA204" s="190">
        <f t="shared" si="593"/>
        <v>0</v>
      </c>
      <c r="AB204" s="190">
        <f t="shared" si="593"/>
        <v>0</v>
      </c>
      <c r="AC204" s="190">
        <f t="shared" si="593"/>
        <v>0</v>
      </c>
      <c r="AD204" s="190">
        <f t="shared" si="593"/>
        <v>0</v>
      </c>
      <c r="AE204" s="190">
        <f t="shared" si="593"/>
        <v>0</v>
      </c>
      <c r="AF204" s="190">
        <f t="shared" si="593"/>
        <v>0</v>
      </c>
      <c r="AG204" s="190">
        <f t="shared" si="593"/>
        <v>0</v>
      </c>
      <c r="AH204" s="190">
        <f t="shared" si="593"/>
        <v>0</v>
      </c>
      <c r="AI204" s="77">
        <f t="shared" si="593"/>
        <v>0</v>
      </c>
      <c r="AJ204" s="190">
        <f t="shared" si="593"/>
        <v>0</v>
      </c>
      <c r="AK204" s="190">
        <f t="shared" si="593"/>
        <v>0</v>
      </c>
      <c r="AL204" s="190">
        <f t="shared" si="593"/>
        <v>0</v>
      </c>
      <c r="AM204" s="190">
        <f t="shared" si="593"/>
        <v>0</v>
      </c>
      <c r="AN204" s="190">
        <f t="shared" si="593"/>
        <v>0</v>
      </c>
      <c r="AO204" s="190">
        <f t="shared" ref="AI204:AR207" si="639">(0)/157.5</f>
        <v>0</v>
      </c>
      <c r="AP204" s="190">
        <f t="shared" si="639"/>
        <v>0</v>
      </c>
      <c r="AQ204" s="190">
        <f t="shared" si="639"/>
        <v>0</v>
      </c>
      <c r="AR204" s="225">
        <f t="shared" si="639"/>
        <v>0</v>
      </c>
      <c r="AS204" s="23">
        <f t="shared" si="595"/>
        <v>0</v>
      </c>
      <c r="AT204" s="190">
        <f t="shared" si="595"/>
        <v>0</v>
      </c>
      <c r="AU204" s="190">
        <f t="shared" si="595"/>
        <v>0</v>
      </c>
      <c r="AV204" s="190">
        <f t="shared" si="595"/>
        <v>0</v>
      </c>
      <c r="AW204" s="190">
        <f t="shared" si="595"/>
        <v>0</v>
      </c>
      <c r="AX204" s="190">
        <f t="shared" si="595"/>
        <v>0</v>
      </c>
      <c r="AY204" s="190">
        <f t="shared" si="595"/>
        <v>0</v>
      </c>
      <c r="AZ204" s="190">
        <f t="shared" si="595"/>
        <v>0</v>
      </c>
      <c r="BA204" s="190">
        <f t="shared" si="595"/>
        <v>0</v>
      </c>
      <c r="BB204" s="225">
        <f t="shared" si="595"/>
        <v>0</v>
      </c>
      <c r="BC204" s="77">
        <f t="shared" si="596"/>
        <v>0</v>
      </c>
      <c r="BD204" s="190">
        <f t="shared" si="596"/>
        <v>0</v>
      </c>
      <c r="BE204" s="190">
        <f t="shared" si="596"/>
        <v>0</v>
      </c>
      <c r="BF204" s="190">
        <f t="shared" si="596"/>
        <v>0</v>
      </c>
      <c r="BG204" s="190">
        <f t="shared" si="596"/>
        <v>0</v>
      </c>
      <c r="BH204" s="190">
        <f t="shared" si="596"/>
        <v>0</v>
      </c>
      <c r="BI204" s="190">
        <f t="shared" si="596"/>
        <v>0</v>
      </c>
      <c r="BJ204" s="190">
        <f t="shared" si="596"/>
        <v>0</v>
      </c>
      <c r="BK204" s="190">
        <f t="shared" si="596"/>
        <v>0</v>
      </c>
      <c r="BL204" s="190">
        <f t="shared" si="596"/>
        <v>0</v>
      </c>
      <c r="BM204" s="77">
        <f t="shared" si="597"/>
        <v>0</v>
      </c>
      <c r="BN204" s="190">
        <f t="shared" si="597"/>
        <v>0</v>
      </c>
      <c r="BO204" s="190">
        <f t="shared" si="597"/>
        <v>0</v>
      </c>
      <c r="BP204" s="190">
        <f t="shared" si="597"/>
        <v>0</v>
      </c>
      <c r="BQ204" s="190">
        <f t="shared" si="597"/>
        <v>0</v>
      </c>
      <c r="BR204" s="190">
        <f t="shared" si="597"/>
        <v>0</v>
      </c>
      <c r="BS204" s="190">
        <f t="shared" si="597"/>
        <v>0</v>
      </c>
      <c r="BT204" s="190">
        <f t="shared" si="597"/>
        <v>0</v>
      </c>
      <c r="BU204" s="190">
        <f t="shared" si="597"/>
        <v>0</v>
      </c>
      <c r="BV204" s="190">
        <f t="shared" si="597"/>
        <v>0</v>
      </c>
      <c r="BW204" s="23">
        <f t="shared" si="610"/>
        <v>0</v>
      </c>
      <c r="BX204" s="190">
        <f t="shared" si="620"/>
        <v>0</v>
      </c>
      <c r="BY204" s="190">
        <f t="shared" si="611"/>
        <v>0</v>
      </c>
      <c r="BZ204" s="190">
        <f t="shared" si="611"/>
        <v>0</v>
      </c>
      <c r="CA204" s="190">
        <f t="shared" si="621"/>
        <v>0</v>
      </c>
      <c r="CB204" s="190">
        <f t="shared" si="622"/>
        <v>0</v>
      </c>
      <c r="CC204" s="190">
        <f t="shared" si="623"/>
        <v>0</v>
      </c>
      <c r="CD204" s="190">
        <f t="shared" si="623"/>
        <v>0</v>
      </c>
      <c r="CE204" s="190">
        <f t="shared" si="624"/>
        <v>0</v>
      </c>
      <c r="CF204" s="190">
        <f t="shared" si="625"/>
        <v>0</v>
      </c>
      <c r="CG204" s="23">
        <f t="shared" si="634"/>
        <v>0</v>
      </c>
      <c r="CH204" s="190">
        <f t="shared" si="634"/>
        <v>0</v>
      </c>
      <c r="CI204" s="190">
        <f t="shared" si="634"/>
        <v>0</v>
      </c>
      <c r="CJ204" s="190">
        <f t="shared" si="634"/>
        <v>0</v>
      </c>
      <c r="CK204" s="190">
        <f t="shared" si="634"/>
        <v>0</v>
      </c>
      <c r="CL204" s="190">
        <f t="shared" si="634"/>
        <v>0</v>
      </c>
      <c r="CM204" s="190">
        <f t="shared" si="634"/>
        <v>0</v>
      </c>
      <c r="CN204" s="190">
        <f t="shared" si="634"/>
        <v>0</v>
      </c>
      <c r="CO204" s="190">
        <f t="shared" si="634"/>
        <v>0</v>
      </c>
      <c r="CP204" s="190">
        <f t="shared" si="634"/>
        <v>0</v>
      </c>
      <c r="CQ204" s="23">
        <f t="shared" si="600"/>
        <v>0</v>
      </c>
      <c r="CR204" s="190">
        <f t="shared" si="600"/>
        <v>0</v>
      </c>
      <c r="CS204" s="190">
        <f t="shared" si="600"/>
        <v>0</v>
      </c>
      <c r="CT204" s="190">
        <f t="shared" si="600"/>
        <v>0</v>
      </c>
      <c r="CU204" s="190">
        <f t="shared" si="600"/>
        <v>0</v>
      </c>
      <c r="CV204" s="190">
        <f t="shared" si="600"/>
        <v>0</v>
      </c>
      <c r="CW204" s="190">
        <f t="shared" si="600"/>
        <v>0</v>
      </c>
      <c r="CX204" s="77">
        <f t="shared" si="601"/>
        <v>0</v>
      </c>
      <c r="CY204" s="190">
        <f t="shared" si="601"/>
        <v>0</v>
      </c>
      <c r="CZ204" s="190">
        <f t="shared" si="601"/>
        <v>0</v>
      </c>
      <c r="DA204" s="190">
        <f t="shared" si="601"/>
        <v>0</v>
      </c>
      <c r="DB204" s="190">
        <f t="shared" si="601"/>
        <v>0</v>
      </c>
      <c r="DC204" s="190">
        <f t="shared" si="601"/>
        <v>0</v>
      </c>
      <c r="DD204" s="190">
        <f t="shared" si="601"/>
        <v>0</v>
      </c>
      <c r="DE204" s="23">
        <f t="shared" si="603"/>
        <v>0</v>
      </c>
      <c r="DF204" s="190">
        <f t="shared" si="603"/>
        <v>0</v>
      </c>
      <c r="DG204" s="190">
        <f t="shared" si="603"/>
        <v>0</v>
      </c>
      <c r="DH204" s="190">
        <f t="shared" si="603"/>
        <v>0</v>
      </c>
      <c r="DI204" s="190">
        <f t="shared" si="603"/>
        <v>0</v>
      </c>
      <c r="DJ204" s="190">
        <f t="shared" si="603"/>
        <v>0</v>
      </c>
      <c r="DK204" s="190">
        <f t="shared" si="603"/>
        <v>0</v>
      </c>
      <c r="DL204" s="77">
        <f t="shared" ref="DL204:DP204" si="640">(0)/142.5</f>
        <v>0</v>
      </c>
      <c r="DM204" s="190">
        <f t="shared" si="640"/>
        <v>0</v>
      </c>
      <c r="DN204" s="190">
        <f t="shared" si="640"/>
        <v>0</v>
      </c>
      <c r="DO204" s="190">
        <f t="shared" si="640"/>
        <v>0</v>
      </c>
      <c r="DP204" s="190">
        <f t="shared" si="640"/>
        <v>0</v>
      </c>
      <c r="DQ204" s="190">
        <f t="shared" si="605"/>
        <v>0</v>
      </c>
      <c r="DR204" s="190">
        <f t="shared" si="605"/>
        <v>0</v>
      </c>
      <c r="DS204" s="190">
        <f t="shared" si="605"/>
        <v>0</v>
      </c>
    </row>
    <row r="205" spans="1:124" ht="25.5" customHeight="1" x14ac:dyDescent="0.4">
      <c r="A205" s="522"/>
      <c r="B205" s="522"/>
      <c r="C205" s="522"/>
      <c r="D205" s="469"/>
      <c r="E205" s="469"/>
      <c r="F205" s="469"/>
      <c r="G205" s="472"/>
      <c r="H205" s="492"/>
      <c r="I205" s="497"/>
      <c r="J205" s="18"/>
      <c r="K205" s="19"/>
      <c r="L205" s="19"/>
      <c r="M205" s="432"/>
      <c r="N205" s="11" t="s">
        <v>90</v>
      </c>
      <c r="O205" s="209">
        <f t="shared" si="606"/>
        <v>0</v>
      </c>
      <c r="P205" s="209">
        <f t="shared" si="606"/>
        <v>0</v>
      </c>
      <c r="Q205" s="209">
        <f t="shared" si="615"/>
        <v>0</v>
      </c>
      <c r="R205" s="209">
        <f t="shared" si="607"/>
        <v>0</v>
      </c>
      <c r="S205" s="209">
        <f t="shared" si="616"/>
        <v>0</v>
      </c>
      <c r="T205" s="209">
        <f t="shared" si="608"/>
        <v>0</v>
      </c>
      <c r="U205" s="209">
        <f t="shared" si="608"/>
        <v>0</v>
      </c>
      <c r="V205" s="209">
        <f t="shared" si="608"/>
        <v>0</v>
      </c>
      <c r="W205" s="209">
        <f t="shared" si="608"/>
        <v>0</v>
      </c>
      <c r="X205" s="209">
        <f t="shared" si="592"/>
        <v>0</v>
      </c>
      <c r="Y205" s="24">
        <f t="shared" si="593"/>
        <v>0</v>
      </c>
      <c r="Z205" s="209">
        <f t="shared" si="593"/>
        <v>0</v>
      </c>
      <c r="AA205" s="209">
        <f t="shared" si="593"/>
        <v>0</v>
      </c>
      <c r="AB205" s="209">
        <f t="shared" si="593"/>
        <v>0</v>
      </c>
      <c r="AC205" s="209">
        <f t="shared" si="593"/>
        <v>0</v>
      </c>
      <c r="AD205" s="209">
        <f t="shared" si="593"/>
        <v>0</v>
      </c>
      <c r="AE205" s="209">
        <f t="shared" si="593"/>
        <v>0</v>
      </c>
      <c r="AF205" s="209">
        <f t="shared" si="593"/>
        <v>0</v>
      </c>
      <c r="AG205" s="209">
        <f t="shared" si="593"/>
        <v>0</v>
      </c>
      <c r="AH205" s="209">
        <f t="shared" si="593"/>
        <v>0</v>
      </c>
      <c r="AI205" s="58">
        <f t="shared" si="639"/>
        <v>0</v>
      </c>
      <c r="AJ205" s="209">
        <f t="shared" si="639"/>
        <v>0</v>
      </c>
      <c r="AK205" s="209">
        <f t="shared" si="639"/>
        <v>0</v>
      </c>
      <c r="AL205" s="209">
        <f t="shared" si="639"/>
        <v>0</v>
      </c>
      <c r="AM205" s="209">
        <f t="shared" si="639"/>
        <v>0</v>
      </c>
      <c r="AN205" s="209">
        <f t="shared" si="639"/>
        <v>0</v>
      </c>
      <c r="AO205" s="209">
        <f t="shared" si="639"/>
        <v>0</v>
      </c>
      <c r="AP205" s="209">
        <f t="shared" si="639"/>
        <v>0</v>
      </c>
      <c r="AQ205" s="209">
        <f t="shared" si="639"/>
        <v>0</v>
      </c>
      <c r="AR205" s="53">
        <f t="shared" si="639"/>
        <v>0</v>
      </c>
      <c r="AS205" s="65">
        <f t="shared" si="595"/>
        <v>0</v>
      </c>
      <c r="AT205" s="210">
        <f t="shared" si="595"/>
        <v>0</v>
      </c>
      <c r="AU205" s="210">
        <f t="shared" si="595"/>
        <v>0</v>
      </c>
      <c r="AV205" s="210">
        <f t="shared" si="595"/>
        <v>0</v>
      </c>
      <c r="AW205" s="210">
        <f t="shared" si="595"/>
        <v>0</v>
      </c>
      <c r="AX205" s="210">
        <f t="shared" si="595"/>
        <v>0</v>
      </c>
      <c r="AY205" s="210">
        <f t="shared" si="595"/>
        <v>0</v>
      </c>
      <c r="AZ205" s="210">
        <f t="shared" si="595"/>
        <v>0</v>
      </c>
      <c r="BA205" s="210">
        <f t="shared" si="595"/>
        <v>0</v>
      </c>
      <c r="BB205" s="53">
        <f t="shared" si="595"/>
        <v>0</v>
      </c>
      <c r="BC205" s="58">
        <f t="shared" si="596"/>
        <v>0</v>
      </c>
      <c r="BD205" s="209">
        <f t="shared" si="596"/>
        <v>0</v>
      </c>
      <c r="BE205" s="209">
        <f t="shared" si="596"/>
        <v>0</v>
      </c>
      <c r="BF205" s="209">
        <f t="shared" si="596"/>
        <v>0</v>
      </c>
      <c r="BG205" s="209">
        <f t="shared" si="596"/>
        <v>0</v>
      </c>
      <c r="BH205" s="209">
        <f>(3+5+2+1)/157.5</f>
        <v>6.9841269841269843E-2</v>
      </c>
      <c r="BI205" s="209">
        <f>(0+3+3)/157.5</f>
        <v>3.8095238095238099E-2</v>
      </c>
      <c r="BJ205" s="209">
        <f>(15+5+5+2+1)/157.5</f>
        <v>0.17777777777777778</v>
      </c>
      <c r="BK205" s="209">
        <f t="shared" si="596"/>
        <v>0</v>
      </c>
      <c r="BL205" s="209">
        <f>(0+2+2)/157.5</f>
        <v>2.5396825396825397E-2</v>
      </c>
      <c r="BM205" s="58">
        <f t="shared" si="597"/>
        <v>0</v>
      </c>
      <c r="BN205" s="209">
        <f t="shared" si="597"/>
        <v>0</v>
      </c>
      <c r="BO205" s="209">
        <f t="shared" si="597"/>
        <v>0</v>
      </c>
      <c r="BP205" s="209">
        <f t="shared" si="597"/>
        <v>0</v>
      </c>
      <c r="BQ205" s="209">
        <f t="shared" si="597"/>
        <v>0</v>
      </c>
      <c r="BR205" s="209">
        <f t="shared" si="597"/>
        <v>0</v>
      </c>
      <c r="BS205" s="209">
        <f t="shared" si="597"/>
        <v>0</v>
      </c>
      <c r="BT205" s="209">
        <f t="shared" si="597"/>
        <v>0</v>
      </c>
      <c r="BU205" s="209">
        <f t="shared" si="597"/>
        <v>0</v>
      </c>
      <c r="BV205" s="209">
        <f t="shared" si="597"/>
        <v>0</v>
      </c>
      <c r="BW205" s="65">
        <f t="shared" si="610"/>
        <v>0</v>
      </c>
      <c r="BX205" s="209">
        <f t="shared" si="620"/>
        <v>0</v>
      </c>
      <c r="BY205" s="209">
        <f t="shared" si="611"/>
        <v>0</v>
      </c>
      <c r="BZ205" s="209">
        <f t="shared" si="611"/>
        <v>0</v>
      </c>
      <c r="CA205" s="209">
        <f t="shared" si="621"/>
        <v>0</v>
      </c>
      <c r="CB205" s="209">
        <f t="shared" si="622"/>
        <v>0</v>
      </c>
      <c r="CC205" s="209">
        <f t="shared" si="623"/>
        <v>0</v>
      </c>
      <c r="CD205" s="209">
        <f t="shared" si="623"/>
        <v>0</v>
      </c>
      <c r="CE205" s="209">
        <f t="shared" si="624"/>
        <v>0</v>
      </c>
      <c r="CF205" s="209">
        <f t="shared" si="625"/>
        <v>0</v>
      </c>
      <c r="CG205" s="65">
        <f t="shared" si="634"/>
        <v>0</v>
      </c>
      <c r="CH205" s="209">
        <f t="shared" si="634"/>
        <v>0</v>
      </c>
      <c r="CI205" s="209">
        <f t="shared" si="634"/>
        <v>0</v>
      </c>
      <c r="CJ205" s="209">
        <f t="shared" si="634"/>
        <v>0</v>
      </c>
      <c r="CK205" s="209">
        <f t="shared" si="634"/>
        <v>0</v>
      </c>
      <c r="CL205" s="209">
        <f t="shared" si="634"/>
        <v>0</v>
      </c>
      <c r="CM205" s="209">
        <f t="shared" si="634"/>
        <v>0</v>
      </c>
      <c r="CN205" s="209">
        <f t="shared" si="634"/>
        <v>0</v>
      </c>
      <c r="CO205" s="209">
        <f t="shared" si="634"/>
        <v>0</v>
      </c>
      <c r="CP205" s="209">
        <f t="shared" si="634"/>
        <v>0</v>
      </c>
      <c r="CQ205" s="65">
        <f t="shared" si="600"/>
        <v>0</v>
      </c>
      <c r="CR205" s="209">
        <f t="shared" si="600"/>
        <v>0</v>
      </c>
      <c r="CS205" s="209">
        <f t="shared" si="600"/>
        <v>0</v>
      </c>
      <c r="CT205" s="209">
        <f t="shared" si="600"/>
        <v>0</v>
      </c>
      <c r="CU205" s="209">
        <f t="shared" si="600"/>
        <v>0</v>
      </c>
      <c r="CV205" s="209">
        <f t="shared" si="600"/>
        <v>0</v>
      </c>
      <c r="CW205" s="209">
        <f t="shared" si="600"/>
        <v>0</v>
      </c>
      <c r="CX205" s="227">
        <f t="shared" si="601"/>
        <v>0</v>
      </c>
      <c r="CY205" s="219">
        <f t="shared" si="601"/>
        <v>0</v>
      </c>
      <c r="CZ205" s="219">
        <f t="shared" si="601"/>
        <v>0</v>
      </c>
      <c r="DA205" s="219">
        <f t="shared" si="601"/>
        <v>0</v>
      </c>
      <c r="DB205" s="219">
        <f t="shared" si="601"/>
        <v>0</v>
      </c>
      <c r="DC205" s="305">
        <f t="shared" si="601"/>
        <v>0</v>
      </c>
      <c r="DD205" s="209">
        <f t="shared" si="601"/>
        <v>0</v>
      </c>
      <c r="DE205" s="65">
        <f t="shared" si="603"/>
        <v>0</v>
      </c>
      <c r="DF205" s="210">
        <f t="shared" si="603"/>
        <v>0</v>
      </c>
      <c r="DG205" s="210">
        <f t="shared" si="603"/>
        <v>0</v>
      </c>
      <c r="DH205" s="210">
        <f t="shared" si="603"/>
        <v>0</v>
      </c>
      <c r="DI205" s="210">
        <f t="shared" si="603"/>
        <v>0</v>
      </c>
      <c r="DJ205" s="210">
        <f t="shared" si="603"/>
        <v>0</v>
      </c>
      <c r="DK205" s="210">
        <f t="shared" si="603"/>
        <v>0</v>
      </c>
      <c r="DL205" s="46">
        <f t="shared" ref="DL205:DP205" si="641">0/142.5</f>
        <v>0</v>
      </c>
      <c r="DM205" s="209">
        <f t="shared" si="641"/>
        <v>0</v>
      </c>
      <c r="DN205" s="209">
        <f t="shared" si="641"/>
        <v>0</v>
      </c>
      <c r="DO205" s="209">
        <f t="shared" si="641"/>
        <v>0</v>
      </c>
      <c r="DP205" s="209">
        <f t="shared" si="641"/>
        <v>0</v>
      </c>
      <c r="DQ205" s="209">
        <f t="shared" si="605"/>
        <v>0</v>
      </c>
      <c r="DR205" s="209">
        <f t="shared" si="605"/>
        <v>0</v>
      </c>
      <c r="DS205" s="209">
        <f t="shared" si="605"/>
        <v>0</v>
      </c>
    </row>
    <row r="206" spans="1:124" ht="25.5" customHeight="1" x14ac:dyDescent="0.4">
      <c r="A206" s="521">
        <v>5</v>
      </c>
      <c r="B206" s="521" t="s">
        <v>46</v>
      </c>
      <c r="C206" s="521" t="s">
        <v>14</v>
      </c>
      <c r="D206" s="470" t="s">
        <v>20</v>
      </c>
      <c r="E206" s="470" t="s">
        <v>21</v>
      </c>
      <c r="F206" s="470" t="s">
        <v>21</v>
      </c>
      <c r="G206" s="546" t="s">
        <v>23</v>
      </c>
      <c r="H206" s="491">
        <f t="shared" ref="H206" si="642">SUM(DE206:DK206)</f>
        <v>0</v>
      </c>
      <c r="I206" s="496">
        <f t="shared" ref="I206" si="643">SUM(DE207:DK207)</f>
        <v>0</v>
      </c>
      <c r="J206" s="16"/>
      <c r="K206" s="17"/>
      <c r="L206" s="17"/>
      <c r="M206" s="545" t="s">
        <v>20</v>
      </c>
      <c r="N206" s="10" t="s">
        <v>89</v>
      </c>
      <c r="O206" s="190">
        <f t="shared" si="606"/>
        <v>0</v>
      </c>
      <c r="P206" s="190">
        <f t="shared" si="606"/>
        <v>0</v>
      </c>
      <c r="Q206" s="190">
        <f t="shared" si="615"/>
        <v>0</v>
      </c>
      <c r="R206" s="190">
        <f t="shared" si="607"/>
        <v>0</v>
      </c>
      <c r="S206" s="190">
        <f t="shared" si="616"/>
        <v>0</v>
      </c>
      <c r="T206" s="190">
        <f t="shared" si="608"/>
        <v>0</v>
      </c>
      <c r="U206" s="190">
        <f t="shared" si="608"/>
        <v>0</v>
      </c>
      <c r="V206" s="190">
        <f t="shared" si="608"/>
        <v>0</v>
      </c>
      <c r="W206" s="190">
        <f t="shared" si="608"/>
        <v>0</v>
      </c>
      <c r="X206" s="190">
        <f t="shared" si="592"/>
        <v>0</v>
      </c>
      <c r="Y206" s="23">
        <f t="shared" si="593"/>
        <v>0</v>
      </c>
      <c r="Z206" s="190">
        <f t="shared" si="593"/>
        <v>0</v>
      </c>
      <c r="AA206" s="190">
        <f t="shared" si="593"/>
        <v>0</v>
      </c>
      <c r="AB206" s="190">
        <f t="shared" si="593"/>
        <v>0</v>
      </c>
      <c r="AC206" s="190">
        <f t="shared" si="593"/>
        <v>0</v>
      </c>
      <c r="AD206" s="190">
        <f t="shared" si="593"/>
        <v>0</v>
      </c>
      <c r="AE206" s="190">
        <f t="shared" si="593"/>
        <v>0</v>
      </c>
      <c r="AF206" s="190">
        <f t="shared" si="593"/>
        <v>0</v>
      </c>
      <c r="AG206" s="190">
        <f t="shared" si="593"/>
        <v>0</v>
      </c>
      <c r="AH206" s="190">
        <f t="shared" si="593"/>
        <v>0</v>
      </c>
      <c r="AI206" s="77">
        <f t="shared" si="593"/>
        <v>0</v>
      </c>
      <c r="AJ206" s="190">
        <f t="shared" si="593"/>
        <v>0</v>
      </c>
      <c r="AK206" s="190">
        <f t="shared" si="593"/>
        <v>0</v>
      </c>
      <c r="AL206" s="190">
        <f t="shared" si="593"/>
        <v>0</v>
      </c>
      <c r="AM206" s="190">
        <f t="shared" si="593"/>
        <v>0</v>
      </c>
      <c r="AN206" s="190">
        <f t="shared" si="593"/>
        <v>0</v>
      </c>
      <c r="AO206" s="190">
        <f t="shared" si="639"/>
        <v>0</v>
      </c>
      <c r="AP206" s="190">
        <f t="shared" si="639"/>
        <v>0</v>
      </c>
      <c r="AQ206" s="190">
        <f t="shared" si="639"/>
        <v>0</v>
      </c>
      <c r="AR206" s="225">
        <f t="shared" si="639"/>
        <v>0</v>
      </c>
      <c r="AS206" s="23">
        <f t="shared" si="595"/>
        <v>0</v>
      </c>
      <c r="AT206" s="190">
        <f t="shared" si="595"/>
        <v>0</v>
      </c>
      <c r="AU206" s="190">
        <f t="shared" si="595"/>
        <v>0</v>
      </c>
      <c r="AV206" s="190">
        <f t="shared" si="595"/>
        <v>0</v>
      </c>
      <c r="AW206" s="190">
        <f t="shared" si="595"/>
        <v>0</v>
      </c>
      <c r="AX206" s="190">
        <f t="shared" si="595"/>
        <v>0</v>
      </c>
      <c r="AY206" s="190">
        <f t="shared" si="595"/>
        <v>0</v>
      </c>
      <c r="AZ206" s="190">
        <f t="shared" si="595"/>
        <v>0</v>
      </c>
      <c r="BA206" s="190">
        <f t="shared" si="595"/>
        <v>0</v>
      </c>
      <c r="BB206" s="225">
        <f t="shared" si="595"/>
        <v>0</v>
      </c>
      <c r="BC206" s="77">
        <f t="shared" si="596"/>
        <v>0</v>
      </c>
      <c r="BD206" s="190">
        <f t="shared" si="596"/>
        <v>0</v>
      </c>
      <c r="BE206" s="190">
        <f t="shared" si="596"/>
        <v>0</v>
      </c>
      <c r="BF206" s="190">
        <f t="shared" si="596"/>
        <v>0</v>
      </c>
      <c r="BG206" s="190">
        <f t="shared" si="596"/>
        <v>0</v>
      </c>
      <c r="BH206" s="190">
        <f t="shared" si="596"/>
        <v>0</v>
      </c>
      <c r="BI206" s="190">
        <f t="shared" si="596"/>
        <v>0</v>
      </c>
      <c r="BJ206" s="190">
        <f t="shared" si="596"/>
        <v>0</v>
      </c>
      <c r="BK206" s="190">
        <f t="shared" si="596"/>
        <v>0</v>
      </c>
      <c r="BL206" s="190">
        <f t="shared" si="596"/>
        <v>0</v>
      </c>
      <c r="BM206" s="77">
        <f t="shared" si="597"/>
        <v>0</v>
      </c>
      <c r="BN206" s="190">
        <f t="shared" si="597"/>
        <v>0</v>
      </c>
      <c r="BO206" s="190">
        <f t="shared" si="597"/>
        <v>0</v>
      </c>
      <c r="BP206" s="190">
        <f t="shared" si="597"/>
        <v>0</v>
      </c>
      <c r="BQ206" s="190">
        <f t="shared" si="597"/>
        <v>0</v>
      </c>
      <c r="BR206" s="190">
        <f t="shared" si="597"/>
        <v>0</v>
      </c>
      <c r="BS206" s="190">
        <f t="shared" si="597"/>
        <v>0</v>
      </c>
      <c r="BT206" s="190">
        <f t="shared" si="597"/>
        <v>0</v>
      </c>
      <c r="BU206" s="190">
        <f t="shared" si="597"/>
        <v>0</v>
      </c>
      <c r="BV206" s="190">
        <f t="shared" si="597"/>
        <v>0</v>
      </c>
      <c r="BW206" s="23">
        <f t="shared" si="610"/>
        <v>0</v>
      </c>
      <c r="BX206" s="190">
        <f t="shared" si="620"/>
        <v>0</v>
      </c>
      <c r="BY206" s="190">
        <f t="shared" si="611"/>
        <v>0</v>
      </c>
      <c r="BZ206" s="190">
        <f t="shared" si="611"/>
        <v>0</v>
      </c>
      <c r="CA206" s="190">
        <f t="shared" si="621"/>
        <v>0</v>
      </c>
      <c r="CB206" s="190">
        <f t="shared" si="622"/>
        <v>0</v>
      </c>
      <c r="CC206" s="190">
        <f t="shared" si="623"/>
        <v>0</v>
      </c>
      <c r="CD206" s="190">
        <f t="shared" si="623"/>
        <v>0</v>
      </c>
      <c r="CE206" s="190">
        <f t="shared" si="624"/>
        <v>0</v>
      </c>
      <c r="CF206" s="190">
        <f t="shared" si="625"/>
        <v>0</v>
      </c>
      <c r="CG206" s="23">
        <f t="shared" si="634"/>
        <v>0</v>
      </c>
      <c r="CH206" s="190">
        <f t="shared" si="634"/>
        <v>0</v>
      </c>
      <c r="CI206" s="190">
        <f t="shared" si="634"/>
        <v>0</v>
      </c>
      <c r="CJ206" s="190">
        <f t="shared" si="634"/>
        <v>0</v>
      </c>
      <c r="CK206" s="190">
        <f t="shared" si="634"/>
        <v>0</v>
      </c>
      <c r="CL206" s="190">
        <f t="shared" si="634"/>
        <v>0</v>
      </c>
      <c r="CM206" s="190">
        <f t="shared" si="634"/>
        <v>0</v>
      </c>
      <c r="CN206" s="190">
        <f t="shared" si="634"/>
        <v>0</v>
      </c>
      <c r="CO206" s="190">
        <f t="shared" si="634"/>
        <v>0</v>
      </c>
      <c r="CP206" s="190">
        <f t="shared" si="634"/>
        <v>0</v>
      </c>
      <c r="CQ206" s="23">
        <f t="shared" si="600"/>
        <v>0</v>
      </c>
      <c r="CR206" s="190">
        <f t="shared" si="600"/>
        <v>0</v>
      </c>
      <c r="CS206" s="190">
        <f t="shared" si="600"/>
        <v>0</v>
      </c>
      <c r="CT206" s="190">
        <f t="shared" si="600"/>
        <v>0</v>
      </c>
      <c r="CU206" s="190">
        <f t="shared" si="600"/>
        <v>0</v>
      </c>
      <c r="CV206" s="190">
        <f t="shared" si="600"/>
        <v>0</v>
      </c>
      <c r="CW206" s="190">
        <f t="shared" si="600"/>
        <v>0</v>
      </c>
      <c r="CX206" s="77">
        <f t="shared" si="601"/>
        <v>0</v>
      </c>
      <c r="CY206" s="190">
        <f t="shared" si="601"/>
        <v>0</v>
      </c>
      <c r="CZ206" s="190">
        <f t="shared" si="601"/>
        <v>0</v>
      </c>
      <c r="DA206" s="190">
        <f t="shared" si="601"/>
        <v>0</v>
      </c>
      <c r="DB206" s="190">
        <f t="shared" si="601"/>
        <v>0</v>
      </c>
      <c r="DC206" s="190">
        <f t="shared" si="601"/>
        <v>0</v>
      </c>
      <c r="DD206" s="190">
        <f t="shared" si="601"/>
        <v>0</v>
      </c>
      <c r="DE206" s="23">
        <f t="shared" si="603"/>
        <v>0</v>
      </c>
      <c r="DF206" s="190">
        <f t="shared" si="603"/>
        <v>0</v>
      </c>
      <c r="DG206" s="190">
        <f t="shared" si="603"/>
        <v>0</v>
      </c>
      <c r="DH206" s="190">
        <f t="shared" si="603"/>
        <v>0</v>
      </c>
      <c r="DI206" s="190">
        <f t="shared" si="603"/>
        <v>0</v>
      </c>
      <c r="DJ206" s="190">
        <f t="shared" si="603"/>
        <v>0</v>
      </c>
      <c r="DK206" s="190">
        <f t="shared" si="603"/>
        <v>0</v>
      </c>
      <c r="DL206" s="77">
        <f t="shared" ref="DL206:DP206" si="644">(0)/142.5</f>
        <v>0</v>
      </c>
      <c r="DM206" s="190">
        <f t="shared" si="644"/>
        <v>0</v>
      </c>
      <c r="DN206" s="190">
        <f t="shared" si="644"/>
        <v>0</v>
      </c>
      <c r="DO206" s="190">
        <f t="shared" si="644"/>
        <v>0</v>
      </c>
      <c r="DP206" s="190">
        <f t="shared" si="644"/>
        <v>0</v>
      </c>
      <c r="DQ206" s="190">
        <f t="shared" si="605"/>
        <v>0</v>
      </c>
      <c r="DR206" s="190">
        <f t="shared" si="605"/>
        <v>0</v>
      </c>
      <c r="DS206" s="190">
        <f t="shared" si="605"/>
        <v>0</v>
      </c>
    </row>
    <row r="207" spans="1:124" ht="25.5" customHeight="1" x14ac:dyDescent="0.4">
      <c r="A207" s="522"/>
      <c r="B207" s="522"/>
      <c r="C207" s="522"/>
      <c r="D207" s="469"/>
      <c r="E207" s="469"/>
      <c r="F207" s="469"/>
      <c r="G207" s="547"/>
      <c r="H207" s="492"/>
      <c r="I207" s="497"/>
      <c r="J207" s="18"/>
      <c r="K207" s="19"/>
      <c r="L207" s="19"/>
      <c r="M207" s="432"/>
      <c r="N207" s="11" t="s">
        <v>90</v>
      </c>
      <c r="O207" s="209">
        <f t="shared" si="606"/>
        <v>0</v>
      </c>
      <c r="P207" s="209">
        <f>(2)/120</f>
        <v>1.6666666666666666E-2</v>
      </c>
      <c r="Q207" s="209">
        <f t="shared" si="615"/>
        <v>0</v>
      </c>
      <c r="R207" s="209">
        <f t="shared" si="607"/>
        <v>0</v>
      </c>
      <c r="S207" s="209">
        <f t="shared" si="616"/>
        <v>0</v>
      </c>
      <c r="T207" s="209">
        <f>(0)/120</f>
        <v>0</v>
      </c>
      <c r="U207" s="209">
        <f>(7.5+4+2)/120</f>
        <v>0.1125</v>
      </c>
      <c r="V207" s="209">
        <f>(1+1)/120</f>
        <v>1.6666666666666666E-2</v>
      </c>
      <c r="W207" s="209">
        <f>(0)/120</f>
        <v>0</v>
      </c>
      <c r="X207" s="209">
        <f t="shared" si="592"/>
        <v>0</v>
      </c>
      <c r="Y207" s="24">
        <f t="shared" si="593"/>
        <v>0</v>
      </c>
      <c r="Z207" s="209">
        <f>(2+3+2)/157.5</f>
        <v>4.4444444444444446E-2</v>
      </c>
      <c r="AA207" s="209">
        <f t="shared" si="593"/>
        <v>0</v>
      </c>
      <c r="AB207" s="209">
        <f>(8.5)/157.5</f>
        <v>5.3968253968253971E-2</v>
      </c>
      <c r="AC207" s="209">
        <f>(4+3+2+1)/157.5</f>
        <v>6.3492063492063489E-2</v>
      </c>
      <c r="AD207" s="209">
        <f t="shared" si="593"/>
        <v>0</v>
      </c>
      <c r="AE207" s="209">
        <f>(4.5+2+2)/157.5</f>
        <v>5.3968253968253971E-2</v>
      </c>
      <c r="AF207" s="209">
        <f>(12+2+1.5)/157.5</f>
        <v>9.841269841269841E-2</v>
      </c>
      <c r="AG207" s="209">
        <f t="shared" si="593"/>
        <v>0</v>
      </c>
      <c r="AH207" s="209">
        <f t="shared" si="593"/>
        <v>0</v>
      </c>
      <c r="AI207" s="58">
        <f t="shared" si="639"/>
        <v>0</v>
      </c>
      <c r="AJ207" s="209">
        <f t="shared" si="639"/>
        <v>0</v>
      </c>
      <c r="AK207" s="209">
        <f t="shared" si="639"/>
        <v>0</v>
      </c>
      <c r="AL207" s="209">
        <f t="shared" si="639"/>
        <v>0</v>
      </c>
      <c r="AM207" s="209">
        <f t="shared" si="639"/>
        <v>0</v>
      </c>
      <c r="AN207" s="209">
        <f>(0+1)/157.5</f>
        <v>6.3492063492063492E-3</v>
      </c>
      <c r="AO207" s="209">
        <f t="shared" si="639"/>
        <v>0</v>
      </c>
      <c r="AP207" s="209">
        <f>(0+1)/157.5</f>
        <v>6.3492063492063492E-3</v>
      </c>
      <c r="AQ207" s="209">
        <f t="shared" si="639"/>
        <v>0</v>
      </c>
      <c r="AR207" s="53">
        <f t="shared" si="639"/>
        <v>0</v>
      </c>
      <c r="AS207" s="65">
        <f t="shared" si="595"/>
        <v>0</v>
      </c>
      <c r="AT207" s="210">
        <f t="shared" si="595"/>
        <v>0</v>
      </c>
      <c r="AU207" s="210">
        <f t="shared" si="595"/>
        <v>0</v>
      </c>
      <c r="AV207" s="210">
        <f t="shared" si="595"/>
        <v>0</v>
      </c>
      <c r="AW207" s="210">
        <f t="shared" si="595"/>
        <v>0</v>
      </c>
      <c r="AX207" s="210">
        <f t="shared" si="595"/>
        <v>0</v>
      </c>
      <c r="AY207" s="210">
        <f t="shared" si="595"/>
        <v>0</v>
      </c>
      <c r="AZ207" s="210">
        <f t="shared" si="595"/>
        <v>0</v>
      </c>
      <c r="BA207" s="210">
        <f t="shared" si="595"/>
        <v>0</v>
      </c>
      <c r="BB207" s="53">
        <f>(1)/165</f>
        <v>6.0606060606060606E-3</v>
      </c>
      <c r="BC207" s="58">
        <f t="shared" si="596"/>
        <v>0</v>
      </c>
      <c r="BD207" s="209">
        <f t="shared" si="596"/>
        <v>0</v>
      </c>
      <c r="BE207" s="209">
        <f t="shared" si="596"/>
        <v>0</v>
      </c>
      <c r="BF207" s="209">
        <f t="shared" si="596"/>
        <v>0</v>
      </c>
      <c r="BG207" s="209">
        <f t="shared" si="596"/>
        <v>0</v>
      </c>
      <c r="BH207" s="209">
        <f t="shared" si="596"/>
        <v>0</v>
      </c>
      <c r="BI207" s="209">
        <f t="shared" si="596"/>
        <v>0</v>
      </c>
      <c r="BJ207" s="209">
        <f t="shared" si="596"/>
        <v>0</v>
      </c>
      <c r="BK207" s="209">
        <f t="shared" si="596"/>
        <v>0</v>
      </c>
      <c r="BL207" s="209">
        <f t="shared" si="596"/>
        <v>0</v>
      </c>
      <c r="BM207" s="58">
        <f t="shared" si="597"/>
        <v>0</v>
      </c>
      <c r="BN207" s="209">
        <f t="shared" si="597"/>
        <v>0</v>
      </c>
      <c r="BO207" s="209">
        <f t="shared" si="597"/>
        <v>0</v>
      </c>
      <c r="BP207" s="209">
        <f t="shared" si="597"/>
        <v>0</v>
      </c>
      <c r="BQ207" s="209">
        <f t="shared" si="597"/>
        <v>0</v>
      </c>
      <c r="BR207" s="209">
        <f t="shared" si="597"/>
        <v>0</v>
      </c>
      <c r="BS207" s="209">
        <f t="shared" si="597"/>
        <v>0</v>
      </c>
      <c r="BT207" s="209">
        <f t="shared" si="597"/>
        <v>0</v>
      </c>
      <c r="BU207" s="209">
        <f t="shared" si="597"/>
        <v>0</v>
      </c>
      <c r="BV207" s="209">
        <f t="shared" si="597"/>
        <v>0</v>
      </c>
      <c r="BW207" s="65">
        <f t="shared" si="610"/>
        <v>0</v>
      </c>
      <c r="BX207" s="209">
        <f t="shared" si="620"/>
        <v>0</v>
      </c>
      <c r="BY207" s="209">
        <f>(1)/150</f>
        <v>6.6666666666666671E-3</v>
      </c>
      <c r="BZ207" s="209">
        <f>(1)/150</f>
        <v>6.6666666666666671E-3</v>
      </c>
      <c r="CA207" s="209">
        <f t="shared" si="621"/>
        <v>0</v>
      </c>
      <c r="CB207" s="209">
        <f>(1)/150</f>
        <v>6.6666666666666671E-3</v>
      </c>
      <c r="CC207" s="209">
        <f t="shared" si="623"/>
        <v>0</v>
      </c>
      <c r="CD207" s="209">
        <f>(1)/150</f>
        <v>6.6666666666666671E-3</v>
      </c>
      <c r="CE207" s="209">
        <f t="shared" si="624"/>
        <v>0</v>
      </c>
      <c r="CF207" s="209">
        <f>(1)/150</f>
        <v>6.6666666666666671E-3</v>
      </c>
      <c r="CG207" s="65">
        <f>(5+3)/135</f>
        <v>5.9259259259259262E-2</v>
      </c>
      <c r="CH207" s="209">
        <f>(2)/135</f>
        <v>1.4814814814814815E-2</v>
      </c>
      <c r="CI207" s="209">
        <f>(2)/135</f>
        <v>1.4814814814814815E-2</v>
      </c>
      <c r="CJ207" s="209">
        <f>(9.5)/135</f>
        <v>7.0370370370370375E-2</v>
      </c>
      <c r="CK207" s="209">
        <f>(2)/135</f>
        <v>1.4814814814814815E-2</v>
      </c>
      <c r="CL207" s="209">
        <f>(7.5+5)/135</f>
        <v>9.2592592592592587E-2</v>
      </c>
      <c r="CM207" s="209">
        <f>(2+7.5)/135</f>
        <v>7.0370370370370375E-2</v>
      </c>
      <c r="CN207" s="209">
        <f>(2+4.5+3.5)/135</f>
        <v>7.407407407407407E-2</v>
      </c>
      <c r="CO207" s="209">
        <f t="shared" ref="CO207" si="645">(2)/135</f>
        <v>1.4814814814814815E-2</v>
      </c>
      <c r="CP207" s="209">
        <f>(5)/135</f>
        <v>3.7037037037037035E-2</v>
      </c>
      <c r="CQ207" s="65">
        <f t="shared" si="600"/>
        <v>0</v>
      </c>
      <c r="CR207" s="209">
        <f t="shared" si="600"/>
        <v>0</v>
      </c>
      <c r="CS207" s="209">
        <f t="shared" si="600"/>
        <v>0</v>
      </c>
      <c r="CT207" s="209">
        <f t="shared" si="600"/>
        <v>0</v>
      </c>
      <c r="CU207" s="209">
        <f t="shared" si="600"/>
        <v>0</v>
      </c>
      <c r="CV207" s="209">
        <f t="shared" si="600"/>
        <v>0</v>
      </c>
      <c r="CW207" s="209">
        <f t="shared" si="600"/>
        <v>0</v>
      </c>
      <c r="CX207" s="227">
        <f t="shared" si="601"/>
        <v>0</v>
      </c>
      <c r="CY207" s="219">
        <f t="shared" si="601"/>
        <v>0</v>
      </c>
      <c r="CZ207" s="219">
        <f t="shared" si="601"/>
        <v>0</v>
      </c>
      <c r="DA207" s="219">
        <f t="shared" si="601"/>
        <v>0</v>
      </c>
      <c r="DB207" s="219">
        <f t="shared" si="601"/>
        <v>0</v>
      </c>
      <c r="DC207" s="305">
        <f t="shared" si="601"/>
        <v>0</v>
      </c>
      <c r="DD207" s="209">
        <f t="shared" si="601"/>
        <v>0</v>
      </c>
      <c r="DE207" s="65">
        <f t="shared" si="603"/>
        <v>0</v>
      </c>
      <c r="DF207" s="210">
        <f t="shared" si="603"/>
        <v>0</v>
      </c>
      <c r="DG207" s="210">
        <f t="shared" si="603"/>
        <v>0</v>
      </c>
      <c r="DH207" s="210">
        <f t="shared" si="603"/>
        <v>0</v>
      </c>
      <c r="DI207" s="210">
        <f t="shared" si="603"/>
        <v>0</v>
      </c>
      <c r="DJ207" s="210">
        <f t="shared" si="603"/>
        <v>0</v>
      </c>
      <c r="DK207" s="210">
        <f t="shared" si="603"/>
        <v>0</v>
      </c>
      <c r="DL207" s="46">
        <f t="shared" ref="DL207:DP207" si="646">0/142.5</f>
        <v>0</v>
      </c>
      <c r="DM207" s="209">
        <f t="shared" si="646"/>
        <v>0</v>
      </c>
      <c r="DN207" s="209">
        <f t="shared" si="646"/>
        <v>0</v>
      </c>
      <c r="DO207" s="209">
        <f t="shared" si="646"/>
        <v>0</v>
      </c>
      <c r="DP207" s="209">
        <f t="shared" si="646"/>
        <v>0</v>
      </c>
      <c r="DQ207" s="209">
        <f t="shared" si="605"/>
        <v>0</v>
      </c>
      <c r="DR207" s="209">
        <f t="shared" si="605"/>
        <v>0</v>
      </c>
      <c r="DS207" s="209">
        <f t="shared" si="605"/>
        <v>0</v>
      </c>
    </row>
    <row r="208" spans="1:124" ht="20.100000000000001" customHeight="1" x14ac:dyDescent="0.4">
      <c r="A208" s="498" t="s">
        <v>35</v>
      </c>
      <c r="B208" s="499"/>
      <c r="C208" s="499"/>
      <c r="D208" s="499"/>
      <c r="E208" s="499"/>
      <c r="F208" s="499"/>
      <c r="G208" s="500"/>
      <c r="H208" s="491">
        <f>SUM(H198:H207)</f>
        <v>0.5490196078431373</v>
      </c>
      <c r="I208" s="491">
        <f>SUM(I198:I207)</f>
        <v>0.87450980392156863</v>
      </c>
      <c r="J208" s="433" t="s">
        <v>37</v>
      </c>
      <c r="K208" s="434"/>
      <c r="L208" s="434"/>
      <c r="M208" s="435"/>
      <c r="N208" s="10" t="s">
        <v>89</v>
      </c>
      <c r="O208" s="10">
        <f>SUM(O198,O200,O202,O204,O206)</f>
        <v>0</v>
      </c>
      <c r="P208" s="10">
        <f t="shared" ref="P208:T208" si="647">SUM(P198,P200,P202,P204,P206)</f>
        <v>0.16666666666666666</v>
      </c>
      <c r="Q208" s="10">
        <f t="shared" si="647"/>
        <v>0.16666666666666666</v>
      </c>
      <c r="R208" s="10">
        <f t="shared" si="647"/>
        <v>0</v>
      </c>
      <c r="S208" s="10">
        <f t="shared" si="647"/>
        <v>0.16666666666666666</v>
      </c>
      <c r="T208" s="10">
        <f t="shared" si="647"/>
        <v>0</v>
      </c>
      <c r="U208" s="10">
        <f t="shared" ref="U208:X209" si="648">SUM(U198,U200,U202,U204,U206)</f>
        <v>0</v>
      </c>
      <c r="V208" s="190">
        <f t="shared" ref="V208:W208" si="649">SUM(V198,V200,V202,V204,V206)</f>
        <v>0.16666666666666666</v>
      </c>
      <c r="W208" s="190">
        <f t="shared" si="649"/>
        <v>0</v>
      </c>
      <c r="X208" s="86">
        <f t="shared" si="648"/>
        <v>0</v>
      </c>
      <c r="Y208" s="190">
        <f>SUM(Y198,Y200,Y202,Y204,Y206)</f>
        <v>6.0317460317460318E-2</v>
      </c>
      <c r="Z208" s="190">
        <f t="shared" ref="Z208:AH208" si="650">SUM(Z198,Z200,Z202,Z204,Z206)</f>
        <v>0.15873015873015872</v>
      </c>
      <c r="AA208" s="190">
        <f t="shared" si="650"/>
        <v>0.22222222222222221</v>
      </c>
      <c r="AB208" s="190">
        <f t="shared" si="650"/>
        <v>0.22222222222222221</v>
      </c>
      <c r="AC208" s="190">
        <f t="shared" si="650"/>
        <v>0.22222222222222221</v>
      </c>
      <c r="AD208" s="190">
        <f t="shared" si="650"/>
        <v>0.15873015873015872</v>
      </c>
      <c r="AE208" s="190">
        <f t="shared" si="650"/>
        <v>0.15873015873015872</v>
      </c>
      <c r="AF208" s="190">
        <f t="shared" si="650"/>
        <v>0.22222222222222221</v>
      </c>
      <c r="AG208" s="190">
        <f t="shared" si="650"/>
        <v>0.22222222222222221</v>
      </c>
      <c r="AH208" s="86">
        <f t="shared" si="650"/>
        <v>0.15873015873015872</v>
      </c>
      <c r="AI208" s="59">
        <f>SUM(AI198,AI200,AI202,AI204,AI206)</f>
        <v>0.1765079365079365</v>
      </c>
      <c r="AJ208" s="10">
        <f t="shared" ref="AJ208:AP208" si="651">SUM(AJ198,AJ200,AJ202,AJ204,AJ206)</f>
        <v>0.13841269841269843</v>
      </c>
      <c r="AK208" s="10">
        <f t="shared" si="651"/>
        <v>0.1765079365079365</v>
      </c>
      <c r="AL208" s="10">
        <f t="shared" si="651"/>
        <v>0.1765079365079365</v>
      </c>
      <c r="AM208" s="10">
        <f t="shared" si="651"/>
        <v>0.11936507936507937</v>
      </c>
      <c r="AN208" s="190">
        <f t="shared" ref="AN208" si="652">SUM(AN198,AN200,AN202,AN204,AN206)</f>
        <v>0.11936507936507937</v>
      </c>
      <c r="AO208" s="190">
        <f t="shared" ref="AO208:AQ208" si="653">SUM(AO198,AO200,AO202,AO204,AO206)</f>
        <v>0.11936507936507937</v>
      </c>
      <c r="AP208" s="10">
        <f t="shared" si="651"/>
        <v>0.11936507936507937</v>
      </c>
      <c r="AQ208" s="190">
        <f t="shared" si="653"/>
        <v>0.11936507936507937</v>
      </c>
      <c r="AR208" s="86">
        <f>SUM(AR198,AR200,AR202,AR204,AR206)</f>
        <v>0.13841269841269843</v>
      </c>
      <c r="AS208" s="10">
        <f>SUM(AS198,AS200,AS202,AS204,AS206)</f>
        <v>0.11515151515151516</v>
      </c>
      <c r="AT208" s="10">
        <f t="shared" ref="AT208:BA209" si="654">SUM(AT198,AT200,AT202,AT204,AT206)</f>
        <v>0.10909090909090909</v>
      </c>
      <c r="AU208" s="10">
        <f t="shared" si="654"/>
        <v>0.13333333333333333</v>
      </c>
      <c r="AV208" s="10">
        <f t="shared" si="654"/>
        <v>7.8787878787878782E-2</v>
      </c>
      <c r="AW208" s="10">
        <f t="shared" si="654"/>
        <v>0.10909090909090909</v>
      </c>
      <c r="AX208" s="190">
        <f t="shared" si="654"/>
        <v>7.8787878787878782E-2</v>
      </c>
      <c r="AY208" s="190">
        <f t="shared" ref="AY208:AZ208" si="655">SUM(AY198,AY200,AY202,AY204,AY206)</f>
        <v>0.10909090909090909</v>
      </c>
      <c r="AZ208" s="190">
        <f t="shared" si="655"/>
        <v>0.10909090909090909</v>
      </c>
      <c r="BA208" s="190">
        <f t="shared" si="654"/>
        <v>7.8787878787878782E-2</v>
      </c>
      <c r="BB208" s="86">
        <f>SUM(BB198,BB200,BB202,BB204,BB206)</f>
        <v>7.8787878787878782E-2</v>
      </c>
      <c r="BC208" s="10">
        <f>SUM(BC198,BC200,BC202,BC204,BC206)</f>
        <v>6.3492063492063489E-2</v>
      </c>
      <c r="BD208" s="10">
        <f t="shared" ref="BD208:BK208" si="656">SUM(BD198,BD200,BD202,BD204,BD206)</f>
        <v>0.20317460317460317</v>
      </c>
      <c r="BE208" s="10">
        <f t="shared" si="656"/>
        <v>0</v>
      </c>
      <c r="BF208" s="190">
        <f t="shared" ref="BF208:BG208" si="657">SUM(BF198,BF200,BF202,BF204,BF206)</f>
        <v>0.12698412698412698</v>
      </c>
      <c r="BG208" s="190">
        <f t="shared" si="657"/>
        <v>0</v>
      </c>
      <c r="BH208" s="10">
        <f t="shared" si="656"/>
        <v>0.12698412698412698</v>
      </c>
      <c r="BI208" s="10">
        <f t="shared" si="656"/>
        <v>6.3492063492063489E-2</v>
      </c>
      <c r="BJ208" s="190">
        <f t="shared" si="656"/>
        <v>6.3492063492063489E-2</v>
      </c>
      <c r="BK208" s="190">
        <f t="shared" si="656"/>
        <v>0</v>
      </c>
      <c r="BL208" s="190">
        <f>SUM(BL198,BL200,BL202,BL204,BL206)</f>
        <v>0.12698412698412698</v>
      </c>
      <c r="BM208" s="59">
        <f t="shared" ref="BM208:BM209" si="658">SUM(BM198,BM200,BM202,BM204,BM206)</f>
        <v>0</v>
      </c>
      <c r="BN208" s="10">
        <f t="shared" ref="BN208:BQ208" si="659">SUM(BN198,BN200,BN202,BN204,BN206)</f>
        <v>0</v>
      </c>
      <c r="BO208" s="10">
        <f t="shared" si="659"/>
        <v>2.4242424242424242E-2</v>
      </c>
      <c r="BP208" s="10">
        <f t="shared" si="659"/>
        <v>0</v>
      </c>
      <c r="BQ208" s="10">
        <f t="shared" si="659"/>
        <v>0</v>
      </c>
      <c r="BR208" s="190">
        <f t="shared" ref="BR208:BW209" si="660">SUM(BR198,BR200,BR202,BR204,BR206)</f>
        <v>0</v>
      </c>
      <c r="BS208" s="190">
        <f t="shared" ref="BS208:BU208" si="661">SUM(BS198,BS200,BS202,BS204,BS206)</f>
        <v>0</v>
      </c>
      <c r="BT208" s="190">
        <f t="shared" si="661"/>
        <v>0</v>
      </c>
      <c r="BU208" s="190">
        <f t="shared" si="661"/>
        <v>0</v>
      </c>
      <c r="BV208" s="86">
        <f t="shared" si="660"/>
        <v>0</v>
      </c>
      <c r="BW208" s="10">
        <f t="shared" si="660"/>
        <v>0</v>
      </c>
      <c r="BX208" s="10">
        <f t="shared" ref="BX208:CF209" si="662">SUM(BX198,BX200,BX202,BX204,BX206)</f>
        <v>9.6666666666666665E-2</v>
      </c>
      <c r="BY208" s="10">
        <f t="shared" si="662"/>
        <v>0</v>
      </c>
      <c r="BZ208" s="10">
        <f t="shared" si="662"/>
        <v>9.6666666666666665E-2</v>
      </c>
      <c r="CA208" s="10">
        <f t="shared" si="662"/>
        <v>9.6666666666666665E-2</v>
      </c>
      <c r="CB208" s="190">
        <f t="shared" si="662"/>
        <v>9.6666666666666665E-2</v>
      </c>
      <c r="CC208" s="190">
        <f t="shared" ref="CC208:CD208" si="663">SUM(CC198,CC200,CC202,CC204,CC206)</f>
        <v>9.6666666666666665E-2</v>
      </c>
      <c r="CD208" s="190">
        <f t="shared" si="663"/>
        <v>9.6666666666666665E-2</v>
      </c>
      <c r="CE208" s="190">
        <f t="shared" si="662"/>
        <v>9.6666666666666665E-2</v>
      </c>
      <c r="CF208" s="86">
        <f t="shared" si="662"/>
        <v>9.6666666666666665E-2</v>
      </c>
      <c r="CG208" s="10">
        <f>SUM(CG198,CG200,CG202,CG204,CG206)</f>
        <v>0.22962962962962963</v>
      </c>
      <c r="CH208" s="10">
        <f t="shared" ref="CH208:CP208" si="664">SUM(CH198,CH200,CH202,CH204,CH206)</f>
        <v>0.48148148148148145</v>
      </c>
      <c r="CI208" s="10">
        <f t="shared" si="664"/>
        <v>0.47407407407407404</v>
      </c>
      <c r="CJ208" s="10">
        <f t="shared" si="664"/>
        <v>0.55555555555555558</v>
      </c>
      <c r="CK208" s="10">
        <f t="shared" si="664"/>
        <v>0.57777777777777772</v>
      </c>
      <c r="CL208" s="190">
        <f t="shared" ref="CL208:CM208" si="665">SUM(CL198,CL200,CL202,CL204,CL206)</f>
        <v>0.48148148148148145</v>
      </c>
      <c r="CM208" s="190">
        <f t="shared" si="665"/>
        <v>0.7407407407407407</v>
      </c>
      <c r="CN208" s="190">
        <f t="shared" si="664"/>
        <v>0.48148148148148145</v>
      </c>
      <c r="CO208" s="190">
        <f t="shared" si="664"/>
        <v>0.40740740740740738</v>
      </c>
      <c r="CP208" s="86">
        <f t="shared" si="664"/>
        <v>0.64444444444444438</v>
      </c>
      <c r="CQ208" s="10">
        <f>SUM(CQ198,CQ200,CQ202,CQ204,CQ206)</f>
        <v>0.26666666666666666</v>
      </c>
      <c r="CR208" s="10">
        <f t="shared" ref="CR208:CW208" si="666">SUM(CR198,CR200,CR202,CR204,CR206)</f>
        <v>0.16666666666666669</v>
      </c>
      <c r="CS208" s="10">
        <f t="shared" si="666"/>
        <v>0.2</v>
      </c>
      <c r="CT208" s="10">
        <f t="shared" si="666"/>
        <v>0.33333333333333337</v>
      </c>
      <c r="CU208" s="10">
        <f t="shared" si="666"/>
        <v>0.13333333333333333</v>
      </c>
      <c r="CV208" s="190">
        <f t="shared" si="666"/>
        <v>0.11666666666666667</v>
      </c>
      <c r="CW208" s="190">
        <f t="shared" si="666"/>
        <v>0.23333333333333334</v>
      </c>
      <c r="CX208" s="10">
        <f>SUM(CX198,CX200,CX202,CX204,CX206)</f>
        <v>0.12698412698412698</v>
      </c>
      <c r="CY208" s="10">
        <f t="shared" ref="CY208:DD208" si="667">SUM(CY198,CY200,CY202,CY204,CY206)</f>
        <v>0.22222222222222221</v>
      </c>
      <c r="CZ208" s="10">
        <f t="shared" si="667"/>
        <v>0.31746031746031744</v>
      </c>
      <c r="DA208" s="10">
        <f t="shared" si="667"/>
        <v>0.22222222222222221</v>
      </c>
      <c r="DB208" s="10">
        <f t="shared" si="667"/>
        <v>0.25396825396825395</v>
      </c>
      <c r="DC208" s="190">
        <f t="shared" si="667"/>
        <v>0.22222222222222221</v>
      </c>
      <c r="DD208" s="190">
        <f t="shared" si="667"/>
        <v>0.22222222222222221</v>
      </c>
      <c r="DE208" s="23">
        <f>SUM(DE198,DE200,DE202,DE204,DE206)</f>
        <v>7.8431372549019607E-2</v>
      </c>
      <c r="DF208" s="10">
        <f t="shared" ref="DF208:DK208" si="668">SUM(DF198,DF200,DF202,DF204,DF206)</f>
        <v>7.8431372549019607E-2</v>
      </c>
      <c r="DG208" s="10">
        <f t="shared" si="668"/>
        <v>7.8431372549019607E-2</v>
      </c>
      <c r="DH208" s="10">
        <f t="shared" si="668"/>
        <v>7.8431372549019607E-2</v>
      </c>
      <c r="DI208" s="10">
        <f t="shared" si="668"/>
        <v>7.8431372549019607E-2</v>
      </c>
      <c r="DJ208" s="190">
        <f t="shared" si="668"/>
        <v>7.8431372549019607E-2</v>
      </c>
      <c r="DK208" s="190">
        <f t="shared" si="668"/>
        <v>7.8431372549019607E-2</v>
      </c>
      <c r="DL208" s="10">
        <f>SUM(DL198,DL200,DL202,DL204,DL206)</f>
        <v>0</v>
      </c>
      <c r="DM208" s="10">
        <f t="shared" ref="DM208:DS208" si="669">SUM(DM198,DM200,DM202,DM204,DM206)</f>
        <v>0</v>
      </c>
      <c r="DN208" s="10">
        <f t="shared" si="669"/>
        <v>0</v>
      </c>
      <c r="DO208" s="10">
        <f t="shared" si="669"/>
        <v>0</v>
      </c>
      <c r="DP208" s="10">
        <f t="shared" si="669"/>
        <v>0</v>
      </c>
      <c r="DQ208" s="190">
        <f t="shared" si="669"/>
        <v>0</v>
      </c>
      <c r="DR208" s="190">
        <f t="shared" si="669"/>
        <v>0</v>
      </c>
      <c r="DS208" s="190">
        <f t="shared" si="669"/>
        <v>0</v>
      </c>
      <c r="DT208" s="281">
        <f>SUM(CX208:DD208)</f>
        <v>1.5873015873015874</v>
      </c>
    </row>
    <row r="209" spans="1:132" ht="20.100000000000001" customHeight="1" x14ac:dyDescent="0.4">
      <c r="A209" s="501"/>
      <c r="B209" s="502"/>
      <c r="C209" s="502"/>
      <c r="D209" s="502"/>
      <c r="E209" s="502"/>
      <c r="F209" s="502"/>
      <c r="G209" s="503"/>
      <c r="H209" s="492"/>
      <c r="I209" s="492"/>
      <c r="J209" s="436" t="s">
        <v>81</v>
      </c>
      <c r="K209" s="437"/>
      <c r="L209" s="437"/>
      <c r="M209" s="438"/>
      <c r="N209" s="11" t="s">
        <v>90</v>
      </c>
      <c r="O209" s="11">
        <f>SUM(O199,O201,O203,O205,O207)</f>
        <v>0</v>
      </c>
      <c r="P209" s="11">
        <f t="shared" ref="P209:T209" si="670">SUM(P199,P201,P203,P205,P207)</f>
        <v>0.14166666666666666</v>
      </c>
      <c r="Q209" s="11">
        <f t="shared" si="670"/>
        <v>6.25E-2</v>
      </c>
      <c r="R209" s="11">
        <f t="shared" si="670"/>
        <v>0</v>
      </c>
      <c r="S209" s="11">
        <f t="shared" si="670"/>
        <v>0.23749999999999999</v>
      </c>
      <c r="T209" s="11">
        <f t="shared" si="670"/>
        <v>0</v>
      </c>
      <c r="U209" s="11">
        <f t="shared" si="648"/>
        <v>0.1125</v>
      </c>
      <c r="V209" s="209">
        <f t="shared" ref="V209:W209" si="671">SUM(V199,V201,V203,V205,V207)</f>
        <v>0.10833333333333332</v>
      </c>
      <c r="W209" s="209">
        <f t="shared" si="671"/>
        <v>0</v>
      </c>
      <c r="X209" s="53">
        <f t="shared" si="648"/>
        <v>0.3125</v>
      </c>
      <c r="Y209" s="209">
        <f>SUM(Y199,Y201,Y203,Y205,Y207)</f>
        <v>2.5396825396825397E-2</v>
      </c>
      <c r="Z209" s="209">
        <f t="shared" ref="Z209:AH209" si="672">SUM(Z199,Z201,Z203,Z205,Z207)</f>
        <v>0.20952380952380953</v>
      </c>
      <c r="AA209" s="209">
        <f t="shared" si="672"/>
        <v>0.33015873015873015</v>
      </c>
      <c r="AB209" s="209">
        <f t="shared" si="672"/>
        <v>0.17777777777777778</v>
      </c>
      <c r="AC209" s="209">
        <f t="shared" si="672"/>
        <v>0.35238095238095235</v>
      </c>
      <c r="AD209" s="209">
        <f t="shared" si="672"/>
        <v>8.8888888888888892E-2</v>
      </c>
      <c r="AE209" s="209">
        <f t="shared" si="672"/>
        <v>0.30793650793650795</v>
      </c>
      <c r="AF209" s="209">
        <f t="shared" si="672"/>
        <v>0.31428571428571428</v>
      </c>
      <c r="AG209" s="209">
        <f t="shared" si="672"/>
        <v>0.23809523809523808</v>
      </c>
      <c r="AH209" s="53">
        <f t="shared" si="672"/>
        <v>0.24126984126984127</v>
      </c>
      <c r="AI209" s="56">
        <f>SUM(AI199,AI201,AI203,AI205,AI207)</f>
        <v>0.19047619047619047</v>
      </c>
      <c r="AJ209" s="11">
        <f t="shared" ref="AJ209:AP209" si="673">SUM(AJ199,AJ201,AJ203,AJ205,AJ207)</f>
        <v>6.3492063492063489E-2</v>
      </c>
      <c r="AK209" s="11">
        <f t="shared" si="673"/>
        <v>0.20634920634920634</v>
      </c>
      <c r="AL209" s="11">
        <f t="shared" si="673"/>
        <v>6.6666666666666666E-2</v>
      </c>
      <c r="AM209" s="11">
        <f t="shared" si="673"/>
        <v>0.16507936507936508</v>
      </c>
      <c r="AN209" s="209">
        <f t="shared" ref="AN209" si="674">SUM(AN199,AN201,AN203,AN205,AN207)</f>
        <v>0.17142857142857143</v>
      </c>
      <c r="AO209" s="209">
        <f t="shared" ref="AO209:AQ209" si="675">SUM(AO199,AO201,AO203,AO205,AO207)</f>
        <v>0.19682539682539682</v>
      </c>
      <c r="AP209" s="11">
        <f t="shared" si="673"/>
        <v>8.5714285714285715E-2</v>
      </c>
      <c r="AQ209" s="209">
        <f t="shared" si="675"/>
        <v>0.16507936507936508</v>
      </c>
      <c r="AR209" s="53">
        <f>SUM(AR199,AR201,AR203,AR205,AR207)</f>
        <v>0.18412698412698414</v>
      </c>
      <c r="AS209" s="11">
        <f>SUM(AS199,AS201,AS203,AS205,AS207)</f>
        <v>0.12424242424242424</v>
      </c>
      <c r="AT209" s="11">
        <f t="shared" ref="AT209:AZ209" si="676">SUM(AT199,AT201,AT203,AT205,AT207)</f>
        <v>7.575757575757576E-2</v>
      </c>
      <c r="AU209" s="11">
        <f t="shared" si="676"/>
        <v>0.17878787878787877</v>
      </c>
      <c r="AV209" s="11">
        <f t="shared" si="676"/>
        <v>2.1212121212121213E-2</v>
      </c>
      <c r="AW209" s="11">
        <f t="shared" si="676"/>
        <v>0.24242424242424243</v>
      </c>
      <c r="AX209" s="209">
        <f t="shared" si="676"/>
        <v>0.10606060606060606</v>
      </c>
      <c r="AY209" s="209">
        <f t="shared" si="676"/>
        <v>0.1484848484848485</v>
      </c>
      <c r="AZ209" s="209">
        <f t="shared" si="676"/>
        <v>0.12121212121212122</v>
      </c>
      <c r="BA209" s="209">
        <f t="shared" si="654"/>
        <v>0.1</v>
      </c>
      <c r="BB209" s="53">
        <f>SUM(BB199,BB201,BB203,BB205,BB207)</f>
        <v>0.1393939393939394</v>
      </c>
      <c r="BC209" s="11">
        <f>SUM(BC199,BC201,BC203,BC205,BC207)</f>
        <v>5.0793650793650794E-2</v>
      </c>
      <c r="BD209" s="11">
        <f t="shared" ref="BD209:BK209" si="677">SUM(BD199,BD201,BD203,BD205,BD207)</f>
        <v>0.21587301587301586</v>
      </c>
      <c r="BE209" s="11">
        <f t="shared" si="677"/>
        <v>3.1746031746031746E-3</v>
      </c>
      <c r="BF209" s="209">
        <f t="shared" ref="BF209:BG209" si="678">SUM(BF199,BF201,BF203,BF205,BF207)</f>
        <v>9.5238095238095233E-2</v>
      </c>
      <c r="BG209" s="209">
        <f t="shared" si="678"/>
        <v>0</v>
      </c>
      <c r="BH209" s="11">
        <f t="shared" si="677"/>
        <v>0.20634920634920634</v>
      </c>
      <c r="BI209" s="11">
        <f t="shared" si="677"/>
        <v>8.5714285714285715E-2</v>
      </c>
      <c r="BJ209" s="209">
        <f t="shared" si="677"/>
        <v>0.19047619047619049</v>
      </c>
      <c r="BK209" s="209">
        <f t="shared" si="677"/>
        <v>3.1746031746031746E-3</v>
      </c>
      <c r="BL209" s="209">
        <f>SUM(BL199,BL201,BL203,BL205,BL207)</f>
        <v>0.15238095238095237</v>
      </c>
      <c r="BM209" s="56">
        <f t="shared" si="658"/>
        <v>1.8181818181818181E-2</v>
      </c>
      <c r="BN209" s="11">
        <f t="shared" ref="BN209:BQ209" si="679">SUM(BN199,BN201,BN203,BN205,BN207)</f>
        <v>6.0606060606060606E-3</v>
      </c>
      <c r="BO209" s="11">
        <f t="shared" si="679"/>
        <v>5.1515151515151514E-2</v>
      </c>
      <c r="BP209" s="11">
        <f t="shared" si="679"/>
        <v>0</v>
      </c>
      <c r="BQ209" s="11">
        <f t="shared" si="679"/>
        <v>0</v>
      </c>
      <c r="BR209" s="209">
        <f t="shared" si="660"/>
        <v>0</v>
      </c>
      <c r="BS209" s="209">
        <f t="shared" ref="BS209:BU209" si="680">SUM(BS199,BS201,BS203,BS205,BS207)</f>
        <v>4.5454545454545456E-2</v>
      </c>
      <c r="BT209" s="209">
        <f t="shared" si="680"/>
        <v>4.5454545454545456E-2</v>
      </c>
      <c r="BU209" s="209">
        <f t="shared" si="680"/>
        <v>0</v>
      </c>
      <c r="BV209" s="53">
        <f t="shared" si="660"/>
        <v>4.5454545454545456E-2</v>
      </c>
      <c r="BW209" s="11">
        <f t="shared" si="660"/>
        <v>0</v>
      </c>
      <c r="BX209" s="11">
        <f t="shared" ref="BX209:CD209" si="681">SUM(BX199,BX201,BX203,BX205,BX207)</f>
        <v>0.2</v>
      </c>
      <c r="BY209" s="11">
        <f t="shared" si="681"/>
        <v>6.6666666666666671E-3</v>
      </c>
      <c r="BZ209" s="11">
        <f t="shared" si="681"/>
        <v>5.6666666666666671E-2</v>
      </c>
      <c r="CA209" s="11">
        <f t="shared" si="681"/>
        <v>0.15</v>
      </c>
      <c r="CB209" s="209">
        <f t="shared" si="681"/>
        <v>1.6666666666666666E-2</v>
      </c>
      <c r="CC209" s="209">
        <f t="shared" ref="CC209" si="682">SUM(CC199,CC201,CC203,CC205,CC207)</f>
        <v>0.25</v>
      </c>
      <c r="CD209" s="209">
        <f t="shared" si="681"/>
        <v>0.15333333333333332</v>
      </c>
      <c r="CE209" s="209">
        <f t="shared" si="662"/>
        <v>0.05</v>
      </c>
      <c r="CF209" s="53">
        <f t="shared" si="662"/>
        <v>7.0000000000000007E-2</v>
      </c>
      <c r="CG209" s="11">
        <f>SUM(CG199,CG201,CG203,CG205,CG207)</f>
        <v>0.2592592592592593</v>
      </c>
      <c r="CH209" s="11">
        <f t="shared" ref="CH209:CP209" si="683">SUM(CH199,CH201,CH203,CH205,CH207)</f>
        <v>0.44814814814814818</v>
      </c>
      <c r="CI209" s="11">
        <f t="shared" si="683"/>
        <v>0.45925925925925926</v>
      </c>
      <c r="CJ209" s="11">
        <f t="shared" si="683"/>
        <v>0.55555555555555558</v>
      </c>
      <c r="CK209" s="11">
        <f t="shared" si="683"/>
        <v>0.8666666666666667</v>
      </c>
      <c r="CL209" s="209">
        <f t="shared" ref="CL209:CM209" si="684">SUM(CL199,CL201,CL203,CL205,CL207)</f>
        <v>0.6074074074074074</v>
      </c>
      <c r="CM209" s="209">
        <f t="shared" si="684"/>
        <v>0.78888888888888897</v>
      </c>
      <c r="CN209" s="209">
        <f t="shared" si="683"/>
        <v>0.52962962962962967</v>
      </c>
      <c r="CO209" s="209">
        <f t="shared" si="683"/>
        <v>0.40370370370370373</v>
      </c>
      <c r="CP209" s="53">
        <f t="shared" si="683"/>
        <v>0.79629629629629628</v>
      </c>
      <c r="CQ209" s="11">
        <f>SUM(CQ199,CQ201,CQ203,CQ205,CQ207)</f>
        <v>0.29666666666666663</v>
      </c>
      <c r="CR209" s="11">
        <f t="shared" ref="CR209:CW209" si="685">SUM(CR199,CR201,CR203,CR205,CR207)</f>
        <v>0.25</v>
      </c>
      <c r="CS209" s="11">
        <f t="shared" si="685"/>
        <v>0.30000000000000004</v>
      </c>
      <c r="CT209" s="11">
        <f t="shared" si="685"/>
        <v>0.30666666666666664</v>
      </c>
      <c r="CU209" s="11">
        <f t="shared" si="685"/>
        <v>0.18</v>
      </c>
      <c r="CV209" s="209">
        <f t="shared" si="685"/>
        <v>7.6666666666666661E-2</v>
      </c>
      <c r="CW209" s="209">
        <f t="shared" si="685"/>
        <v>0.31</v>
      </c>
      <c r="CX209" s="11">
        <f>SUM(CX199,CX201,CX203,CX205,CX207)</f>
        <v>0.1492063492063492</v>
      </c>
      <c r="CY209" s="11">
        <f t="shared" ref="CY209:DD209" si="686">SUM(CY199,CY201,CY203,CY205,CY207)</f>
        <v>0.10476190476190476</v>
      </c>
      <c r="CZ209" s="11">
        <f t="shared" si="686"/>
        <v>0.37142857142857144</v>
      </c>
      <c r="DA209" s="11">
        <f t="shared" si="686"/>
        <v>0.18412698412698414</v>
      </c>
      <c r="DB209" s="11">
        <f t="shared" si="686"/>
        <v>0.32698412698412699</v>
      </c>
      <c r="DC209" s="209">
        <f t="shared" si="686"/>
        <v>0.26666666666666666</v>
      </c>
      <c r="DD209" s="209">
        <f t="shared" si="686"/>
        <v>0.29841269841269841</v>
      </c>
      <c r="DE209" s="24">
        <f>SUM(DE199,DE201,DE203,DE205,DE207)</f>
        <v>0.14901960784313725</v>
      </c>
      <c r="DF209" s="11">
        <f t="shared" ref="DF209:DK209" si="687">SUM(DF199,DF201,DF203,DF205,DF207)</f>
        <v>2.3529411764705882E-2</v>
      </c>
      <c r="DG209" s="11">
        <f t="shared" si="687"/>
        <v>7.8431372549019607E-2</v>
      </c>
      <c r="DH209" s="11">
        <f t="shared" si="687"/>
        <v>0.14901960784313725</v>
      </c>
      <c r="DI209" s="11">
        <f t="shared" si="687"/>
        <v>0.10980392156862745</v>
      </c>
      <c r="DJ209" s="209">
        <f t="shared" si="687"/>
        <v>0.24313725490196078</v>
      </c>
      <c r="DK209" s="209">
        <f t="shared" si="687"/>
        <v>0.12156862745098039</v>
      </c>
      <c r="DL209" s="11">
        <f>SUM(DL199,DL201,DL203,DL205,DL207)</f>
        <v>0</v>
      </c>
      <c r="DM209" s="11">
        <f t="shared" ref="DM209:DS209" si="688">SUM(DM199,DM201,DM203,DM205,DM207)</f>
        <v>0</v>
      </c>
      <c r="DN209" s="11">
        <f t="shared" si="688"/>
        <v>0</v>
      </c>
      <c r="DO209" s="11">
        <f t="shared" si="688"/>
        <v>0</v>
      </c>
      <c r="DP209" s="11">
        <f t="shared" si="688"/>
        <v>0</v>
      </c>
      <c r="DQ209" s="209">
        <f t="shared" si="688"/>
        <v>0</v>
      </c>
      <c r="DR209" s="209">
        <f t="shared" si="688"/>
        <v>0</v>
      </c>
      <c r="DS209" s="209">
        <f t="shared" si="688"/>
        <v>0</v>
      </c>
      <c r="DT209" s="268">
        <f>SUM(CX209:DD209)</f>
        <v>1.7015873015873015</v>
      </c>
      <c r="DU209" s="57"/>
      <c r="DV209" s="57"/>
    </row>
    <row r="210" spans="1:132" ht="20.100000000000001" customHeight="1" x14ac:dyDescent="0.4">
      <c r="M210" s="27"/>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c r="BR210" s="28"/>
      <c r="BS210" s="28"/>
      <c r="BT210" s="28"/>
      <c r="BU210" s="28"/>
      <c r="BV210" s="28"/>
      <c r="BW210" s="28"/>
      <c r="BX210" s="28"/>
      <c r="BY210" s="28"/>
      <c r="BZ210" s="28"/>
      <c r="CA210" s="28"/>
      <c r="CB210" s="28"/>
      <c r="CC210" s="28"/>
      <c r="CD210" s="28"/>
      <c r="CE210" s="28"/>
      <c r="CF210" s="28"/>
      <c r="CG210" s="28"/>
      <c r="CH210" s="28"/>
      <c r="CI210" s="28"/>
      <c r="CJ210" s="28"/>
      <c r="CK210" s="28"/>
      <c r="CL210" s="28"/>
      <c r="CM210" s="28"/>
      <c r="CN210" s="28"/>
      <c r="CO210" s="28"/>
      <c r="CP210" s="28"/>
      <c r="CQ210" s="28"/>
      <c r="CR210" s="28"/>
      <c r="CS210" s="28"/>
      <c r="CT210" s="28"/>
      <c r="CU210" s="28"/>
      <c r="CV210" s="28"/>
      <c r="CW210" s="28"/>
      <c r="CX210" s="28"/>
      <c r="CY210" s="28"/>
      <c r="CZ210" s="28"/>
      <c r="DA210" s="28"/>
      <c r="DB210" s="28"/>
      <c r="DC210" s="28"/>
      <c r="DD210" s="28"/>
      <c r="DE210" s="28"/>
      <c r="DF210" s="28"/>
      <c r="DG210" s="28"/>
      <c r="DH210" s="28"/>
      <c r="DI210" s="28"/>
      <c r="DJ210" s="28"/>
      <c r="DK210" s="28"/>
      <c r="DL210" s="28"/>
      <c r="DM210" s="28"/>
      <c r="DN210" s="28"/>
      <c r="DO210" s="28"/>
      <c r="DP210" s="28"/>
      <c r="DQ210" s="28"/>
      <c r="DR210" s="28"/>
      <c r="DS210" s="28"/>
    </row>
    <row r="211" spans="1:132" ht="30" customHeight="1" thickBot="1" x14ac:dyDescent="0.45">
      <c r="G211" s="42" t="s">
        <v>82</v>
      </c>
      <c r="H211" s="188">
        <f>SUM(H167,H186)</f>
        <v>4.7215686274509796</v>
      </c>
      <c r="I211" s="188">
        <f>SUM(I167,I186)</f>
        <v>5.3019607843137262</v>
      </c>
      <c r="K211" s="505" t="s">
        <v>98</v>
      </c>
      <c r="L211" s="505"/>
      <c r="M211" s="505"/>
      <c r="N211" s="47" t="s">
        <v>89</v>
      </c>
      <c r="O211" s="29">
        <f>SUM(O189,O208)</f>
        <v>0.74583333333333335</v>
      </c>
      <c r="P211" s="29">
        <f t="shared" ref="P211:AW211" si="689">SUM(P189,P208)</f>
        <v>1.6583333333333334</v>
      </c>
      <c r="Q211" s="29">
        <f t="shared" si="689"/>
        <v>1.0979166666666667</v>
      </c>
      <c r="R211" s="29">
        <f t="shared" si="689"/>
        <v>1.0729166666666665</v>
      </c>
      <c r="S211" s="29">
        <f t="shared" si="689"/>
        <v>1.1583333333333334</v>
      </c>
      <c r="T211" s="29">
        <f t="shared" si="689"/>
        <v>0.89583333333333326</v>
      </c>
      <c r="U211" s="29">
        <f t="shared" si="689"/>
        <v>0.84791666666666665</v>
      </c>
      <c r="V211" s="29">
        <f t="shared" ref="V211:W211" si="690">SUM(V189,V208)</f>
        <v>1.2583333333333333</v>
      </c>
      <c r="W211" s="29">
        <f t="shared" si="690"/>
        <v>1.1437499999999998</v>
      </c>
      <c r="X211" s="87">
        <f t="shared" si="689"/>
        <v>0.125</v>
      </c>
      <c r="Y211" s="29">
        <f>SUM(Y189,Y208)</f>
        <v>0.84126984126984128</v>
      </c>
      <c r="Z211" s="29">
        <f t="shared" ref="Z211:AH211" si="691">SUM(Z189,Z208)</f>
        <v>1.3079365079365077</v>
      </c>
      <c r="AA211" s="29">
        <f t="shared" si="691"/>
        <v>0.62222222222222223</v>
      </c>
      <c r="AB211" s="29">
        <f t="shared" si="691"/>
        <v>1.1809523809523808</v>
      </c>
      <c r="AC211" s="29">
        <f t="shared" si="691"/>
        <v>0.88888888888888873</v>
      </c>
      <c r="AD211" s="29">
        <f t="shared" si="691"/>
        <v>1.1619047619047618</v>
      </c>
      <c r="AE211" s="29">
        <f t="shared" si="691"/>
        <v>0.81269841269841259</v>
      </c>
      <c r="AF211" s="29">
        <f t="shared" si="691"/>
        <v>1.2888888888888888</v>
      </c>
      <c r="AG211" s="29">
        <f t="shared" si="691"/>
        <v>1.0222222222222221</v>
      </c>
      <c r="AH211" s="87">
        <f t="shared" si="691"/>
        <v>0.87619047619047608</v>
      </c>
      <c r="AI211" s="31">
        <f t="shared" si="689"/>
        <v>1.0158730158730158</v>
      </c>
      <c r="AJ211" s="32">
        <f t="shared" si="689"/>
        <v>1.1950476190476191</v>
      </c>
      <c r="AK211" s="32">
        <f t="shared" si="689"/>
        <v>0.87650793650793646</v>
      </c>
      <c r="AL211" s="32">
        <f t="shared" si="689"/>
        <v>1.1307936507936507</v>
      </c>
      <c r="AM211" s="32">
        <f t="shared" si="689"/>
        <v>0.89917460317460307</v>
      </c>
      <c r="AN211" s="195">
        <f t="shared" ref="AN211" si="692">SUM(AN189,AN208)</f>
        <v>0.78476190476190477</v>
      </c>
      <c r="AO211" s="195">
        <f t="shared" ref="AO211:AQ211" si="693">SUM(AO189,AO208)</f>
        <v>1.117142857142857</v>
      </c>
      <c r="AP211" s="32">
        <f t="shared" si="689"/>
        <v>1.152063492063492</v>
      </c>
      <c r="AQ211" s="195">
        <f t="shared" si="693"/>
        <v>0.77428571428571424</v>
      </c>
      <c r="AR211" s="32">
        <f t="shared" si="689"/>
        <v>1.054095238095238</v>
      </c>
      <c r="AS211" s="31">
        <f t="shared" si="689"/>
        <v>0.95454545454545447</v>
      </c>
      <c r="AT211" s="32">
        <f t="shared" si="689"/>
        <v>1.3121212121212122</v>
      </c>
      <c r="AU211" s="32">
        <f t="shared" si="689"/>
        <v>1.0757575757575757</v>
      </c>
      <c r="AV211" s="32">
        <f t="shared" si="689"/>
        <v>0.86666666666666659</v>
      </c>
      <c r="AW211" s="32">
        <f t="shared" si="689"/>
        <v>0.83636363636363642</v>
      </c>
      <c r="AX211" s="195">
        <f t="shared" ref="AX211:BB212" si="694">SUM(AX189,AX208)</f>
        <v>1.1121212121212121</v>
      </c>
      <c r="AY211" s="195">
        <f t="shared" ref="AY211:AZ211" si="695">SUM(AY189,AY208)</f>
        <v>0.98484848484848486</v>
      </c>
      <c r="AZ211" s="195">
        <f t="shared" si="695"/>
        <v>0.90909090909090917</v>
      </c>
      <c r="BA211" s="195">
        <f t="shared" si="694"/>
        <v>0.90909090909090906</v>
      </c>
      <c r="BB211" s="195">
        <f t="shared" si="694"/>
        <v>1.0393939393939393</v>
      </c>
      <c r="BC211" s="31">
        <f t="shared" ref="BC211:CK212" si="696">SUM(BC189,BC208)</f>
        <v>1.1751746031746031</v>
      </c>
      <c r="BD211" s="32">
        <f t="shared" si="696"/>
        <v>0.99682539682539684</v>
      </c>
      <c r="BE211" s="32">
        <f t="shared" si="696"/>
        <v>1.2666666666666666</v>
      </c>
      <c r="BF211" s="195">
        <f t="shared" ref="BF211:BG211" si="697">SUM(BF189,BF208)</f>
        <v>0.99682539682539684</v>
      </c>
      <c r="BG211" s="195">
        <f t="shared" si="697"/>
        <v>0.99047619047619051</v>
      </c>
      <c r="BH211" s="32">
        <f t="shared" si="696"/>
        <v>0.90158730158730149</v>
      </c>
      <c r="BI211" s="32">
        <f t="shared" si="696"/>
        <v>0.99047619047619051</v>
      </c>
      <c r="BJ211" s="195">
        <f t="shared" si="696"/>
        <v>0.80634920634920637</v>
      </c>
      <c r="BK211" s="195">
        <f t="shared" si="696"/>
        <v>1.0380952380952382</v>
      </c>
      <c r="BL211" s="195">
        <f t="shared" si="696"/>
        <v>0.838095238095238</v>
      </c>
      <c r="BM211" s="31">
        <f t="shared" si="696"/>
        <v>0.90909090909090895</v>
      </c>
      <c r="BN211" s="32">
        <f t="shared" si="696"/>
        <v>0.8666666666666667</v>
      </c>
      <c r="BO211" s="32">
        <f t="shared" si="696"/>
        <v>1.1696969696969697</v>
      </c>
      <c r="BP211" s="32">
        <f t="shared" si="696"/>
        <v>1.0787878787878789</v>
      </c>
      <c r="BQ211" s="32">
        <f t="shared" si="696"/>
        <v>0.83636363636363642</v>
      </c>
      <c r="BR211" s="195">
        <f t="shared" ref="BR211:BS211" si="698">SUM(BR189,BR208)</f>
        <v>0.94545454545454533</v>
      </c>
      <c r="BS211" s="195">
        <f t="shared" si="698"/>
        <v>0.92727272727272725</v>
      </c>
      <c r="BT211" s="195">
        <f t="shared" ref="BT211:BU211" si="699">SUM(BT189,BT208)</f>
        <v>1.1090909090909091</v>
      </c>
      <c r="BU211" s="195">
        <f t="shared" si="699"/>
        <v>1.2303030303030302</v>
      </c>
      <c r="BV211" s="32">
        <f t="shared" si="696"/>
        <v>0.92727272727272725</v>
      </c>
      <c r="BW211" s="31">
        <f t="shared" si="696"/>
        <v>1.1400000000000001</v>
      </c>
      <c r="BX211" s="32">
        <f t="shared" si="696"/>
        <v>0.76333333333333342</v>
      </c>
      <c r="BY211" s="32">
        <f t="shared" si="696"/>
        <v>0.97666666666666657</v>
      </c>
      <c r="BZ211" s="32">
        <f t="shared" si="696"/>
        <v>1.1033333333333333</v>
      </c>
      <c r="CA211" s="32">
        <f t="shared" si="696"/>
        <v>1.0533333333333332</v>
      </c>
      <c r="CB211" s="195">
        <f t="shared" si="696"/>
        <v>1.0699999999999998</v>
      </c>
      <c r="CC211" s="195">
        <f t="shared" ref="CC211:CD211" si="700">SUM(CC189,CC208)</f>
        <v>0.91</v>
      </c>
      <c r="CD211" s="195">
        <f t="shared" si="700"/>
        <v>0.92333333333333334</v>
      </c>
      <c r="CE211" s="195">
        <f t="shared" si="696"/>
        <v>1.0833333333333333</v>
      </c>
      <c r="CF211" s="195">
        <f t="shared" ref="CF211" si="701">SUM(CF189,CF208)</f>
        <v>0.97666666666666657</v>
      </c>
      <c r="CG211" s="31">
        <f t="shared" si="696"/>
        <v>1.2740740740740739</v>
      </c>
      <c r="CH211" s="32">
        <f t="shared" si="696"/>
        <v>1.0444444444444443</v>
      </c>
      <c r="CI211" s="32">
        <f t="shared" si="696"/>
        <v>0.88888888888888884</v>
      </c>
      <c r="CJ211" s="32">
        <f t="shared" si="696"/>
        <v>1.0814814814814815</v>
      </c>
      <c r="CK211" s="32">
        <f t="shared" si="696"/>
        <v>0.73333333333333328</v>
      </c>
      <c r="CL211" s="195">
        <f t="shared" ref="CL211:CM211" si="702">SUM(CL189,CL208)</f>
        <v>0.97037037037037033</v>
      </c>
      <c r="CM211" s="195">
        <f t="shared" si="702"/>
        <v>0.97037037037037033</v>
      </c>
      <c r="CN211" s="195">
        <f t="shared" ref="CN211:CP212" si="703">SUM(CN189,CN208)</f>
        <v>1.0074074074074073</v>
      </c>
      <c r="CO211" s="195">
        <f t="shared" si="703"/>
        <v>1.0444444444444445</v>
      </c>
      <c r="CP211" s="195">
        <f t="shared" si="703"/>
        <v>0.98518518518518516</v>
      </c>
      <c r="CQ211" s="31">
        <f t="shared" ref="CQ211:DS211" si="704">SUM(CQ189,CQ208)</f>
        <v>0.99666666666666659</v>
      </c>
      <c r="CR211" s="32">
        <f t="shared" si="704"/>
        <v>1.0033333333333334</v>
      </c>
      <c r="CS211" s="32">
        <f t="shared" si="704"/>
        <v>0.87666666666666671</v>
      </c>
      <c r="CT211" s="32">
        <f t="shared" si="704"/>
        <v>1.0433333333333334</v>
      </c>
      <c r="CU211" s="32">
        <f t="shared" si="704"/>
        <v>1.0166666666666666</v>
      </c>
      <c r="CV211" s="195">
        <f t="shared" si="704"/>
        <v>1.04</v>
      </c>
      <c r="CW211" s="195">
        <f t="shared" si="704"/>
        <v>1.0233333333333332</v>
      </c>
      <c r="CX211" s="31">
        <f t="shared" si="704"/>
        <v>0.99650793650793645</v>
      </c>
      <c r="CY211" s="32">
        <f t="shared" si="704"/>
        <v>1.1333333333333333</v>
      </c>
      <c r="CZ211" s="32">
        <f t="shared" si="704"/>
        <v>1.0825396825396825</v>
      </c>
      <c r="DA211" s="32">
        <f t="shared" si="704"/>
        <v>0.99999999999999989</v>
      </c>
      <c r="DB211" s="32">
        <f t="shared" si="704"/>
        <v>0.76507936507936503</v>
      </c>
      <c r="DC211" s="195">
        <f t="shared" ref="DC211:DD211" si="705">SUM(DC189,DC208)</f>
        <v>1.0031746031746032</v>
      </c>
      <c r="DD211" s="195">
        <f t="shared" si="705"/>
        <v>1.0158730158730158</v>
      </c>
      <c r="DE211" s="31">
        <f t="shared" si="704"/>
        <v>0.94117647058823528</v>
      </c>
      <c r="DF211" s="32">
        <f t="shared" si="704"/>
        <v>0.83921568627450993</v>
      </c>
      <c r="DG211" s="32">
        <f t="shared" si="704"/>
        <v>0.77647058823529425</v>
      </c>
      <c r="DH211" s="32">
        <f t="shared" si="704"/>
        <v>0.69803921568627447</v>
      </c>
      <c r="DI211" s="32">
        <f t="shared" si="704"/>
        <v>0.69803921568627447</v>
      </c>
      <c r="DJ211" s="195">
        <f t="shared" ref="DJ211:DK211" si="706">SUM(DJ189,DJ208)</f>
        <v>0.69803921568627447</v>
      </c>
      <c r="DK211" s="195">
        <f t="shared" si="706"/>
        <v>0.61960784313725492</v>
      </c>
      <c r="DL211" s="31">
        <f t="shared" si="704"/>
        <v>0</v>
      </c>
      <c r="DM211" s="32">
        <f t="shared" si="704"/>
        <v>0</v>
      </c>
      <c r="DN211" s="32">
        <f t="shared" si="704"/>
        <v>0</v>
      </c>
      <c r="DO211" s="32">
        <f t="shared" si="704"/>
        <v>0</v>
      </c>
      <c r="DP211" s="32">
        <f t="shared" si="704"/>
        <v>0</v>
      </c>
      <c r="DQ211" s="195">
        <f t="shared" si="704"/>
        <v>0</v>
      </c>
      <c r="DR211" s="195">
        <f t="shared" si="704"/>
        <v>0</v>
      </c>
      <c r="DS211" s="195">
        <f t="shared" si="704"/>
        <v>0</v>
      </c>
      <c r="DT211" s="235"/>
    </row>
    <row r="212" spans="1:132" ht="30" customHeight="1" thickTop="1" thickBot="1" x14ac:dyDescent="0.45">
      <c r="G212" s="42" t="s">
        <v>83</v>
      </c>
      <c r="H212" s="188">
        <f>H208</f>
        <v>0.5490196078431373</v>
      </c>
      <c r="I212" s="188">
        <f>I208</f>
        <v>0.87450980392156863</v>
      </c>
      <c r="K212" s="505" t="s">
        <v>98</v>
      </c>
      <c r="L212" s="505"/>
      <c r="M212" s="505"/>
      <c r="N212" s="48" t="s">
        <v>90</v>
      </c>
      <c r="O212" s="30">
        <f t="shared" ref="O212:AW212" si="707">SUM(O190,O209)</f>
        <v>1</v>
      </c>
      <c r="P212" s="30">
        <f t="shared" si="707"/>
        <v>1</v>
      </c>
      <c r="Q212" s="30">
        <f t="shared" si="707"/>
        <v>1</v>
      </c>
      <c r="R212" s="30">
        <f t="shared" si="707"/>
        <v>1</v>
      </c>
      <c r="S212" s="30">
        <f t="shared" si="707"/>
        <v>1</v>
      </c>
      <c r="T212" s="30">
        <f t="shared" si="707"/>
        <v>1</v>
      </c>
      <c r="U212" s="30">
        <f t="shared" si="707"/>
        <v>1</v>
      </c>
      <c r="V212" s="30">
        <f t="shared" ref="V212:W212" si="708">SUM(V190,V209)</f>
        <v>0.99999999999999989</v>
      </c>
      <c r="W212" s="30">
        <f t="shared" si="708"/>
        <v>1</v>
      </c>
      <c r="X212" s="88">
        <f t="shared" si="707"/>
        <v>1</v>
      </c>
      <c r="Y212" s="30">
        <f t="shared" ref="Y212:AH212" si="709">SUM(Y190,Y209)</f>
        <v>0.99999999999999989</v>
      </c>
      <c r="Z212" s="30">
        <f t="shared" si="709"/>
        <v>0.99682539682539673</v>
      </c>
      <c r="AA212" s="30">
        <f t="shared" si="709"/>
        <v>1</v>
      </c>
      <c r="AB212" s="30">
        <f t="shared" si="709"/>
        <v>1</v>
      </c>
      <c r="AC212" s="30">
        <f t="shared" si="709"/>
        <v>1.0031746031746032</v>
      </c>
      <c r="AD212" s="30">
        <f t="shared" si="709"/>
        <v>0.99999999999999989</v>
      </c>
      <c r="AE212" s="30">
        <f t="shared" si="709"/>
        <v>0.99999999999999989</v>
      </c>
      <c r="AF212" s="30">
        <f t="shared" si="709"/>
        <v>1</v>
      </c>
      <c r="AG212" s="30">
        <f t="shared" si="709"/>
        <v>0.99999999999999978</v>
      </c>
      <c r="AH212" s="88">
        <f t="shared" si="709"/>
        <v>1</v>
      </c>
      <c r="AI212" s="64">
        <f t="shared" si="707"/>
        <v>0.99999999999999989</v>
      </c>
      <c r="AJ212" s="30">
        <f t="shared" si="707"/>
        <v>1</v>
      </c>
      <c r="AK212" s="30">
        <f t="shared" si="707"/>
        <v>1</v>
      </c>
      <c r="AL212" s="30">
        <f t="shared" si="707"/>
        <v>1</v>
      </c>
      <c r="AM212" s="30">
        <f t="shared" si="707"/>
        <v>1</v>
      </c>
      <c r="AN212" s="30">
        <f t="shared" ref="AN212" si="710">SUM(AN190,AN209)</f>
        <v>1</v>
      </c>
      <c r="AO212" s="30">
        <f t="shared" ref="AO212:AQ212" si="711">SUM(AO190,AO209)</f>
        <v>1.0031746031746029</v>
      </c>
      <c r="AP212" s="30">
        <f t="shared" si="707"/>
        <v>0.99999999999999989</v>
      </c>
      <c r="AQ212" s="30">
        <f t="shared" si="711"/>
        <v>0.99999999999999989</v>
      </c>
      <c r="AR212" s="63">
        <f t="shared" si="707"/>
        <v>1</v>
      </c>
      <c r="AS212" s="64">
        <f t="shared" si="707"/>
        <v>1</v>
      </c>
      <c r="AT212" s="30">
        <f t="shared" si="707"/>
        <v>1</v>
      </c>
      <c r="AU212" s="30">
        <f t="shared" si="707"/>
        <v>1</v>
      </c>
      <c r="AV212" s="30">
        <f t="shared" si="707"/>
        <v>1</v>
      </c>
      <c r="AW212" s="30">
        <f t="shared" si="707"/>
        <v>1</v>
      </c>
      <c r="AX212" s="30">
        <f t="shared" ref="AX212:AZ212" si="712">SUM(AX190,AX209)</f>
        <v>1</v>
      </c>
      <c r="AY212" s="30">
        <f t="shared" si="712"/>
        <v>1</v>
      </c>
      <c r="AZ212" s="30">
        <f t="shared" si="712"/>
        <v>1</v>
      </c>
      <c r="BA212" s="30">
        <f t="shared" si="694"/>
        <v>0.99999999999999989</v>
      </c>
      <c r="BB212" s="63">
        <f t="shared" si="694"/>
        <v>0.99696969696969706</v>
      </c>
      <c r="BC212" s="64">
        <f t="shared" ref="BC212:CM212" si="713">SUM(BC190,BC209)</f>
        <v>1</v>
      </c>
      <c r="BD212" s="30">
        <f t="shared" si="713"/>
        <v>1</v>
      </c>
      <c r="BE212" s="30">
        <f t="shared" si="713"/>
        <v>0.99999999999999978</v>
      </c>
      <c r="BF212" s="30">
        <f t="shared" ref="BF212" si="714">SUM(BF190,BF209)</f>
        <v>0.99999999999999989</v>
      </c>
      <c r="BG212" s="30">
        <f>SUM(BG190,BG209)</f>
        <v>1</v>
      </c>
      <c r="BH212" s="30">
        <f t="shared" si="713"/>
        <v>1</v>
      </c>
      <c r="BI212" s="30">
        <f t="shared" si="713"/>
        <v>1</v>
      </c>
      <c r="BJ212" s="30">
        <f t="shared" si="696"/>
        <v>1</v>
      </c>
      <c r="BK212" s="30">
        <f t="shared" si="696"/>
        <v>1</v>
      </c>
      <c r="BL212" s="63">
        <f t="shared" si="696"/>
        <v>1</v>
      </c>
      <c r="BM212" s="64">
        <f t="shared" si="713"/>
        <v>1</v>
      </c>
      <c r="BN212" s="30">
        <f t="shared" si="713"/>
        <v>1</v>
      </c>
      <c r="BO212" s="30">
        <f t="shared" si="713"/>
        <v>0.99999999999999978</v>
      </c>
      <c r="BP212" s="30">
        <f t="shared" si="713"/>
        <v>1</v>
      </c>
      <c r="BQ212" s="30">
        <f t="shared" si="713"/>
        <v>1.0030303030303029</v>
      </c>
      <c r="BR212" s="63">
        <f t="shared" ref="BR212:BS212" si="715">SUM(BR190,BR209)</f>
        <v>1</v>
      </c>
      <c r="BS212" s="63">
        <f t="shared" si="715"/>
        <v>0.99999999999999978</v>
      </c>
      <c r="BT212" s="63">
        <f t="shared" ref="BT212:BU212" si="716">SUM(BT190,BT209)</f>
        <v>0.99090909090909085</v>
      </c>
      <c r="BU212" s="63">
        <f t="shared" si="716"/>
        <v>1.0030303030303029</v>
      </c>
      <c r="BV212" s="63">
        <f t="shared" si="713"/>
        <v>0.99999999999999978</v>
      </c>
      <c r="BW212" s="64">
        <f t="shared" si="713"/>
        <v>1</v>
      </c>
      <c r="BX212" s="30">
        <f t="shared" si="713"/>
        <v>1.0033333333333332</v>
      </c>
      <c r="BY212" s="30">
        <f t="shared" si="713"/>
        <v>0.99999999999999989</v>
      </c>
      <c r="BZ212" s="30">
        <f t="shared" si="713"/>
        <v>1</v>
      </c>
      <c r="CA212" s="30">
        <f t="shared" si="713"/>
        <v>1</v>
      </c>
      <c r="CB212" s="63">
        <f t="shared" si="713"/>
        <v>0.99666666666666659</v>
      </c>
      <c r="CC212" s="63">
        <f t="shared" ref="CC212:CD212" si="717">SUM(CC190,CC209)</f>
        <v>1</v>
      </c>
      <c r="CD212" s="63">
        <f t="shared" si="717"/>
        <v>1</v>
      </c>
      <c r="CE212" s="63">
        <f t="shared" si="713"/>
        <v>1</v>
      </c>
      <c r="CF212" s="63">
        <f t="shared" ref="CF212" si="718">SUM(CF190,CF209)</f>
        <v>0.99666666666666659</v>
      </c>
      <c r="CG212" s="64">
        <f t="shared" si="713"/>
        <v>1</v>
      </c>
      <c r="CH212" s="30">
        <f t="shared" si="713"/>
        <v>1</v>
      </c>
      <c r="CI212" s="30">
        <f t="shared" si="713"/>
        <v>0.99814814814814812</v>
      </c>
      <c r="CJ212" s="30">
        <f t="shared" si="713"/>
        <v>1.0055555555555555</v>
      </c>
      <c r="CK212" s="30">
        <f t="shared" si="713"/>
        <v>0.99814814814814823</v>
      </c>
      <c r="CL212" s="63">
        <f t="shared" si="713"/>
        <v>1.001851851851852</v>
      </c>
      <c r="CM212" s="63">
        <f t="shared" si="713"/>
        <v>1</v>
      </c>
      <c r="CN212" s="63">
        <f t="shared" ref="CN212:CO212" si="719">SUM(CN190,CN209)</f>
        <v>1</v>
      </c>
      <c r="CO212" s="63">
        <f t="shared" si="719"/>
        <v>1</v>
      </c>
      <c r="CP212" s="63">
        <f t="shared" si="703"/>
        <v>1</v>
      </c>
      <c r="CQ212" s="64">
        <f t="shared" ref="CQ212:DS212" si="720">SUM(CQ190,CQ209)</f>
        <v>1</v>
      </c>
      <c r="CR212" s="30">
        <f t="shared" si="720"/>
        <v>1</v>
      </c>
      <c r="CS212" s="30">
        <f t="shared" si="720"/>
        <v>1</v>
      </c>
      <c r="CT212" s="30">
        <f t="shared" si="720"/>
        <v>1</v>
      </c>
      <c r="CU212" s="30">
        <f t="shared" si="720"/>
        <v>1</v>
      </c>
      <c r="CV212" s="63">
        <f t="shared" si="720"/>
        <v>0.99999999999999989</v>
      </c>
      <c r="CW212" s="63">
        <f t="shared" si="720"/>
        <v>1.0033333333333334</v>
      </c>
      <c r="CX212" s="64">
        <f>SUM(CX190,CX209)</f>
        <v>1</v>
      </c>
      <c r="CY212" s="30">
        <f t="shared" si="720"/>
        <v>1</v>
      </c>
      <c r="CZ212" s="30">
        <f t="shared" si="720"/>
        <v>0.99999999999999989</v>
      </c>
      <c r="DA212" s="30">
        <f t="shared" si="720"/>
        <v>1</v>
      </c>
      <c r="DB212" s="30">
        <f t="shared" si="720"/>
        <v>1</v>
      </c>
      <c r="DC212" s="63">
        <f t="shared" ref="DC212:DD212" si="721">SUM(DC190,DC209)</f>
        <v>1</v>
      </c>
      <c r="DD212" s="63">
        <f t="shared" si="721"/>
        <v>1</v>
      </c>
      <c r="DE212" s="64">
        <f t="shared" si="720"/>
        <v>0.88235294117647067</v>
      </c>
      <c r="DF212" s="30">
        <f t="shared" si="720"/>
        <v>0.88235294117647067</v>
      </c>
      <c r="DG212" s="30">
        <f t="shared" si="720"/>
        <v>0.88235294117647056</v>
      </c>
      <c r="DH212" s="30">
        <f t="shared" si="720"/>
        <v>0.88235294117647056</v>
      </c>
      <c r="DI212" s="30">
        <f t="shared" si="720"/>
        <v>0.88235294117647056</v>
      </c>
      <c r="DJ212" s="63">
        <f t="shared" ref="DJ212:DK212" si="722">SUM(DJ190,DJ209)</f>
        <v>0.88235294117647067</v>
      </c>
      <c r="DK212" s="63">
        <f t="shared" si="722"/>
        <v>0.88235294117647056</v>
      </c>
      <c r="DL212" s="64">
        <f t="shared" si="720"/>
        <v>0</v>
      </c>
      <c r="DM212" s="30">
        <f t="shared" si="720"/>
        <v>0</v>
      </c>
      <c r="DN212" s="30">
        <f t="shared" si="720"/>
        <v>0</v>
      </c>
      <c r="DO212" s="30">
        <f t="shared" si="720"/>
        <v>0</v>
      </c>
      <c r="DP212" s="30">
        <f t="shared" si="720"/>
        <v>0</v>
      </c>
      <c r="DQ212" s="63">
        <f t="shared" si="720"/>
        <v>0</v>
      </c>
      <c r="DR212" s="63">
        <f t="shared" si="720"/>
        <v>0</v>
      </c>
      <c r="DS212" s="63">
        <f t="shared" si="720"/>
        <v>0</v>
      </c>
      <c r="DT212" s="236">
        <f>SUM(DE212:DK212)</f>
        <v>6.1764705882352953</v>
      </c>
      <c r="DV212" s="54"/>
      <c r="DW212" s="54"/>
    </row>
    <row r="213" spans="1:132" ht="30" customHeight="1" thickTop="1" thickBot="1" x14ac:dyDescent="0.45">
      <c r="G213" s="42" t="s">
        <v>84</v>
      </c>
      <c r="H213" s="188">
        <f>SUM(H211:H212)</f>
        <v>5.2705882352941167</v>
      </c>
      <c r="I213" s="188">
        <f>SUM(I211:I212)</f>
        <v>6.1764705882352953</v>
      </c>
      <c r="K213" s="535" t="s">
        <v>99</v>
      </c>
      <c r="L213" s="536"/>
      <c r="M213" s="537"/>
      <c r="N213" s="49" t="s">
        <v>94</v>
      </c>
      <c r="O213" s="518">
        <f>SUM(O211:X211)</f>
        <v>10.004166666666666</v>
      </c>
      <c r="P213" s="518"/>
      <c r="Q213" s="518"/>
      <c r="R213" s="518"/>
      <c r="S213" s="518"/>
      <c r="T213" s="518"/>
      <c r="U213" s="518"/>
      <c r="V213" s="518"/>
      <c r="W213" s="518"/>
      <c r="X213" s="518"/>
      <c r="Y213" s="518">
        <f>SUM(Y211:AH211)</f>
        <v>10.003174603174603</v>
      </c>
      <c r="Z213" s="518"/>
      <c r="AA213" s="518"/>
      <c r="AB213" s="518"/>
      <c r="AC213" s="518"/>
      <c r="AD213" s="518"/>
      <c r="AE213" s="518"/>
      <c r="AF213" s="518"/>
      <c r="AG213" s="518"/>
      <c r="AH213" s="518"/>
      <c r="AI213" s="460">
        <f>SUM(AI211:AR211)</f>
        <v>9.9997460317460316</v>
      </c>
      <c r="AJ213" s="518"/>
      <c r="AK213" s="461"/>
      <c r="AL213" s="461"/>
      <c r="AM213" s="461"/>
      <c r="AN213" s="461"/>
      <c r="AO213" s="461"/>
      <c r="AP213" s="461"/>
      <c r="AQ213" s="461"/>
      <c r="AR213" s="461"/>
      <c r="AS213" s="457">
        <f>SUM(AS211:BB211)</f>
        <v>9.9999999999999982</v>
      </c>
      <c r="AT213" s="458"/>
      <c r="AU213" s="458"/>
      <c r="AV213" s="458"/>
      <c r="AW213" s="458"/>
      <c r="AX213" s="458"/>
      <c r="AY213" s="458"/>
      <c r="AZ213" s="458"/>
      <c r="BA213" s="458"/>
      <c r="BB213" s="458"/>
      <c r="BC213" s="457">
        <f>SUM(BC211:BL211)</f>
        <v>10.00057142857143</v>
      </c>
      <c r="BD213" s="458"/>
      <c r="BE213" s="458"/>
      <c r="BF213" s="458"/>
      <c r="BG213" s="458"/>
      <c r="BH213" s="458"/>
      <c r="BI213" s="458"/>
      <c r="BJ213" s="458"/>
      <c r="BK213" s="458"/>
      <c r="BL213" s="458"/>
      <c r="BM213" s="457">
        <f>SUM(BM211:BV211)</f>
        <v>10.000000000000002</v>
      </c>
      <c r="BN213" s="458"/>
      <c r="BO213" s="458"/>
      <c r="BP213" s="458"/>
      <c r="BQ213" s="458"/>
      <c r="BR213" s="458"/>
      <c r="BS213" s="458"/>
      <c r="BT213" s="458"/>
      <c r="BU213" s="458"/>
      <c r="BV213" s="458"/>
      <c r="BW213" s="457">
        <f>SUM(BW211:CF211)</f>
        <v>10.000000000000002</v>
      </c>
      <c r="BX213" s="458"/>
      <c r="BY213" s="458"/>
      <c r="BZ213" s="458"/>
      <c r="CA213" s="458"/>
      <c r="CB213" s="458"/>
      <c r="CC213" s="458"/>
      <c r="CD213" s="458"/>
      <c r="CE213" s="458"/>
      <c r="CF213" s="458"/>
      <c r="CG213" s="457">
        <f>SUM(CG211:CP211)</f>
        <v>10</v>
      </c>
      <c r="CH213" s="458"/>
      <c r="CI213" s="458"/>
      <c r="CJ213" s="458"/>
      <c r="CK213" s="458"/>
      <c r="CL213" s="458"/>
      <c r="CM213" s="458"/>
      <c r="CN213" s="458"/>
      <c r="CO213" s="458"/>
      <c r="CP213" s="458"/>
      <c r="CQ213" s="457">
        <f>SUM(CQ211:CW211)</f>
        <v>7.0000000000000009</v>
      </c>
      <c r="CR213" s="458"/>
      <c r="CS213" s="458"/>
      <c r="CT213" s="458"/>
      <c r="CU213" s="458"/>
      <c r="CV213" s="458"/>
      <c r="CW213" s="458"/>
      <c r="CX213" s="457">
        <f>SUM(CX211:DD211)</f>
        <v>6.9965079365079363</v>
      </c>
      <c r="CY213" s="458"/>
      <c r="CZ213" s="458"/>
      <c r="DA213" s="458"/>
      <c r="DB213" s="458"/>
      <c r="DC213" s="458"/>
      <c r="DD213" s="458"/>
      <c r="DE213" s="457">
        <f>SUM(DE211:DK211)</f>
        <v>5.2705882352941185</v>
      </c>
      <c r="DF213" s="458"/>
      <c r="DG213" s="458"/>
      <c r="DH213" s="458"/>
      <c r="DI213" s="458"/>
      <c r="DJ213" s="458"/>
      <c r="DK213" s="458"/>
      <c r="DL213" s="457">
        <f>SUM(DL211:DS211)</f>
        <v>0</v>
      </c>
      <c r="DM213" s="458"/>
      <c r="DN213" s="458"/>
      <c r="DO213" s="458"/>
      <c r="DP213" s="458"/>
      <c r="DQ213" s="458"/>
      <c r="DR213" s="458"/>
      <c r="DS213" s="459"/>
      <c r="DT213" s="237"/>
    </row>
    <row r="214" spans="1:132" ht="20.100000000000001" customHeight="1" thickTop="1" thickBot="1" x14ac:dyDescent="0.45">
      <c r="K214" s="535" t="s">
        <v>100</v>
      </c>
      <c r="L214" s="536"/>
      <c r="M214" s="537"/>
      <c r="N214" s="50" t="s">
        <v>95</v>
      </c>
      <c r="O214" s="518">
        <f>SUM(O212:X212)</f>
        <v>10</v>
      </c>
      <c r="P214" s="518"/>
      <c r="Q214" s="518"/>
      <c r="R214" s="518"/>
      <c r="S214" s="518"/>
      <c r="T214" s="518"/>
      <c r="U214" s="518"/>
      <c r="V214" s="518"/>
      <c r="W214" s="518"/>
      <c r="X214" s="518"/>
      <c r="Y214" s="518">
        <f>SUM(Y212:AH212)</f>
        <v>10</v>
      </c>
      <c r="Z214" s="518"/>
      <c r="AA214" s="518"/>
      <c r="AB214" s="518"/>
      <c r="AC214" s="518"/>
      <c r="AD214" s="518"/>
      <c r="AE214" s="518"/>
      <c r="AF214" s="518"/>
      <c r="AG214" s="518"/>
      <c r="AH214" s="519"/>
      <c r="AI214" s="518">
        <f>SUM(AI212:AR212)</f>
        <v>10.003174603174603</v>
      </c>
      <c r="AJ214" s="518"/>
      <c r="AK214" s="461"/>
      <c r="AL214" s="461"/>
      <c r="AM214" s="461"/>
      <c r="AN214" s="461"/>
      <c r="AO214" s="461"/>
      <c r="AP214" s="461"/>
      <c r="AQ214" s="461"/>
      <c r="AR214" s="461"/>
      <c r="AS214" s="543">
        <f>SUM(AS212:BB212)</f>
        <v>9.9969696969696962</v>
      </c>
      <c r="AT214" s="544"/>
      <c r="AU214" s="544"/>
      <c r="AV214" s="544"/>
      <c r="AW214" s="544"/>
      <c r="AX214" s="544"/>
      <c r="AY214" s="544"/>
      <c r="AZ214" s="544"/>
      <c r="BA214" s="544"/>
      <c r="BB214" s="544"/>
      <c r="BC214" s="460">
        <f>SUM(BC212:BL212)</f>
        <v>10</v>
      </c>
      <c r="BD214" s="518"/>
      <c r="BE214" s="518"/>
      <c r="BF214" s="518"/>
      <c r="BG214" s="518"/>
      <c r="BH214" s="518"/>
      <c r="BI214" s="518"/>
      <c r="BJ214" s="518"/>
      <c r="BK214" s="518"/>
      <c r="BL214" s="519"/>
      <c r="BM214" s="518">
        <f>SUM(BM212:BV212)</f>
        <v>9.9969696969696962</v>
      </c>
      <c r="BN214" s="461"/>
      <c r="BO214" s="461"/>
      <c r="BP214" s="461"/>
      <c r="BQ214" s="461"/>
      <c r="BR214" s="461"/>
      <c r="BS214" s="461"/>
      <c r="BT214" s="461"/>
      <c r="BU214" s="461"/>
      <c r="BV214" s="461"/>
      <c r="BW214" s="460">
        <f>SUM(BW212:CF212)</f>
        <v>9.9966666666666661</v>
      </c>
      <c r="BX214" s="461"/>
      <c r="BY214" s="461"/>
      <c r="BZ214" s="461"/>
      <c r="CA214" s="461"/>
      <c r="CB214" s="461"/>
      <c r="CC214" s="461"/>
      <c r="CD214" s="461"/>
      <c r="CE214" s="461"/>
      <c r="CF214" s="461"/>
      <c r="CG214" s="460">
        <f>SUM(CG212:CP212)</f>
        <v>10.003703703703703</v>
      </c>
      <c r="CH214" s="461"/>
      <c r="CI214" s="461"/>
      <c r="CJ214" s="461"/>
      <c r="CK214" s="461"/>
      <c r="CL214" s="461"/>
      <c r="CM214" s="461"/>
      <c r="CN214" s="461"/>
      <c r="CO214" s="461"/>
      <c r="CP214" s="461"/>
      <c r="CQ214" s="460">
        <f>SUM(CQ212:CW212)</f>
        <v>7.0033333333333339</v>
      </c>
      <c r="CR214" s="461"/>
      <c r="CS214" s="461"/>
      <c r="CT214" s="461"/>
      <c r="CU214" s="461"/>
      <c r="CV214" s="461"/>
      <c r="CW214" s="461"/>
      <c r="CX214" s="460">
        <f>SUM(CX212:DD212)</f>
        <v>7</v>
      </c>
      <c r="CY214" s="518"/>
      <c r="CZ214" s="518"/>
      <c r="DA214" s="518"/>
      <c r="DB214" s="518"/>
      <c r="DC214" s="518"/>
      <c r="DD214" s="518"/>
      <c r="DE214" s="460">
        <f>SUM(DE212:DK212)</f>
        <v>6.1764705882352953</v>
      </c>
      <c r="DF214" s="461"/>
      <c r="DG214" s="461"/>
      <c r="DH214" s="461"/>
      <c r="DI214" s="461"/>
      <c r="DJ214" s="461"/>
      <c r="DK214" s="461"/>
      <c r="DL214" s="460">
        <f>SUM(DL212:DS212)</f>
        <v>0</v>
      </c>
      <c r="DM214" s="461"/>
      <c r="DN214" s="461"/>
      <c r="DO214" s="461"/>
      <c r="DP214" s="461"/>
      <c r="DQ214" s="461"/>
      <c r="DR214" s="461"/>
      <c r="DS214" s="462"/>
    </row>
    <row r="215" spans="1:132" ht="20.100000000000001" customHeight="1" thickTop="1" x14ac:dyDescent="0.4">
      <c r="AS215" s="55"/>
      <c r="BC215" s="55"/>
      <c r="BM215" s="55"/>
      <c r="BW215" s="55"/>
    </row>
    <row r="216" spans="1:132" ht="20.100000000000001" customHeight="1" x14ac:dyDescent="0.4">
      <c r="P216" s="426" t="s">
        <v>477</v>
      </c>
      <c r="Q216" s="427"/>
      <c r="R216" s="206" t="s">
        <v>180</v>
      </c>
      <c r="S216" s="207" t="s">
        <v>181</v>
      </c>
      <c r="T216" s="208" t="s">
        <v>182</v>
      </c>
      <c r="V216" s="238"/>
      <c r="W216" s="238"/>
      <c r="X216" s="245"/>
      <c r="Y216" s="246"/>
      <c r="Z216" s="426" t="s">
        <v>524</v>
      </c>
      <c r="AA216" s="427"/>
      <c r="AB216" s="206" t="s">
        <v>180</v>
      </c>
      <c r="AC216" s="207" t="s">
        <v>181</v>
      </c>
      <c r="AD216" s="208" t="s">
        <v>182</v>
      </c>
      <c r="AE216" s="241"/>
      <c r="AF216" s="241"/>
      <c r="AG216" s="241"/>
      <c r="AH216" s="241"/>
      <c r="AI216" s="241"/>
      <c r="AJ216" s="426" t="s">
        <v>559</v>
      </c>
      <c r="AK216" s="427"/>
      <c r="AL216" s="206" t="s">
        <v>180</v>
      </c>
      <c r="AM216" s="207" t="s">
        <v>181</v>
      </c>
      <c r="AN216" s="208" t="s">
        <v>182</v>
      </c>
      <c r="AO216" s="241"/>
      <c r="AP216" s="241"/>
      <c r="AQ216" s="241"/>
      <c r="AR216" s="241"/>
      <c r="AS216" s="246"/>
      <c r="AT216" s="426" t="s">
        <v>628</v>
      </c>
      <c r="AU216" s="427"/>
      <c r="AV216" s="206" t="s">
        <v>180</v>
      </c>
      <c r="AW216" s="207" t="s">
        <v>181</v>
      </c>
      <c r="AX216" s="208" t="s">
        <v>182</v>
      </c>
      <c r="AY216" s="241"/>
      <c r="AZ216" s="241"/>
      <c r="BA216" s="241"/>
      <c r="BB216" s="241"/>
      <c r="BC216" s="246"/>
      <c r="BD216" s="241"/>
      <c r="BE216" s="241"/>
      <c r="BF216" s="426" t="s">
        <v>669</v>
      </c>
      <c r="BG216" s="427"/>
      <c r="BH216" s="206" t="s">
        <v>180</v>
      </c>
      <c r="BI216" s="207" t="s">
        <v>181</v>
      </c>
      <c r="BJ216" s="208" t="s">
        <v>182</v>
      </c>
      <c r="BK216" s="241"/>
      <c r="BL216" s="241"/>
      <c r="BM216" s="246"/>
      <c r="BN216" s="426" t="s">
        <v>690</v>
      </c>
      <c r="BO216" s="427"/>
      <c r="BP216" s="206" t="s">
        <v>180</v>
      </c>
      <c r="BQ216" s="207" t="s">
        <v>181</v>
      </c>
      <c r="BR216" s="208" t="s">
        <v>182</v>
      </c>
      <c r="BS216" s="245"/>
      <c r="BT216" s="245"/>
      <c r="BU216" s="245"/>
      <c r="BV216" s="245"/>
      <c r="BW216" s="246"/>
      <c r="BX216" s="426" t="s">
        <v>745</v>
      </c>
      <c r="BY216" s="427"/>
      <c r="BZ216" s="206" t="s">
        <v>180</v>
      </c>
      <c r="CA216" s="207" t="s">
        <v>181</v>
      </c>
      <c r="CB216" s="208" t="s">
        <v>182</v>
      </c>
      <c r="CC216" s="245"/>
      <c r="CD216" s="245"/>
      <c r="CE216" s="245"/>
      <c r="CF216" s="245"/>
      <c r="CG216" s="246"/>
      <c r="CH216" s="426" t="s">
        <v>758</v>
      </c>
      <c r="CI216" s="427"/>
      <c r="CJ216" s="206" t="s">
        <v>180</v>
      </c>
      <c r="CK216" s="207" t="s">
        <v>181</v>
      </c>
      <c r="CL216" s="208" t="s">
        <v>182</v>
      </c>
      <c r="CM216" s="245"/>
      <c r="CN216" s="245"/>
      <c r="CO216" s="245"/>
      <c r="CP216" s="245"/>
      <c r="CQ216" s="246"/>
      <c r="CR216" s="426" t="s">
        <v>821</v>
      </c>
      <c r="CS216" s="427"/>
      <c r="CT216" s="206" t="s">
        <v>180</v>
      </c>
      <c r="CU216" s="207" t="s">
        <v>181</v>
      </c>
      <c r="CV216" s="208" t="s">
        <v>182</v>
      </c>
      <c r="CW216" s="245"/>
      <c r="CX216" s="246"/>
      <c r="CY216" s="426" t="s">
        <v>905</v>
      </c>
      <c r="CZ216" s="427"/>
      <c r="DA216" s="206" t="s">
        <v>180</v>
      </c>
      <c r="DB216" s="207" t="s">
        <v>181</v>
      </c>
      <c r="DC216" s="208" t="s">
        <v>182</v>
      </c>
      <c r="DD216" s="245"/>
      <c r="DE216" s="246"/>
      <c r="DF216" s="426" t="s">
        <v>935</v>
      </c>
      <c r="DG216" s="427"/>
      <c r="DH216" s="206" t="s">
        <v>180</v>
      </c>
      <c r="DI216" s="207" t="s">
        <v>181</v>
      </c>
      <c r="DJ216" s="208" t="s">
        <v>182</v>
      </c>
      <c r="DK216" s="245"/>
      <c r="DL216" s="246"/>
      <c r="DM216" s="426" t="s">
        <v>351</v>
      </c>
      <c r="DN216" s="427"/>
      <c r="DO216" s="206" t="s">
        <v>180</v>
      </c>
      <c r="DP216" s="207" t="s">
        <v>181</v>
      </c>
      <c r="DQ216" s="208" t="s">
        <v>182</v>
      </c>
      <c r="DR216" s="245"/>
      <c r="DS216" s="245"/>
      <c r="DT216" s="239"/>
      <c r="DU216" s="240"/>
      <c r="DV216" s="239"/>
      <c r="DW216" s="239"/>
      <c r="DX216" s="239"/>
      <c r="DY216" s="239"/>
      <c r="DZ216" s="239"/>
      <c r="EA216" s="239"/>
      <c r="EB216" s="239"/>
    </row>
    <row r="217" spans="1:132" ht="20.100000000000001" customHeight="1" x14ac:dyDescent="0.4">
      <c r="P217" s="422" t="s">
        <v>183</v>
      </c>
      <c r="Q217" s="423"/>
      <c r="R217" s="211">
        <v>5.833333333333333</v>
      </c>
      <c r="S217" s="211">
        <f>SUM(O167:X167)</f>
        <v>7.4250000000000007</v>
      </c>
      <c r="T217" s="230">
        <f t="shared" ref="T217:T224" si="723">S217-R217</f>
        <v>1.5916666666666677</v>
      </c>
      <c r="V217" s="73"/>
      <c r="W217" s="73"/>
      <c r="X217" s="245"/>
      <c r="Y217" s="250"/>
      <c r="Z217" s="422" t="s">
        <v>183</v>
      </c>
      <c r="AA217" s="423"/>
      <c r="AB217" s="211">
        <v>7.1873015873015884</v>
      </c>
      <c r="AC217" s="211">
        <f>SUM(Y167:AH167)</f>
        <v>6.3238095238095235</v>
      </c>
      <c r="AD217" s="230">
        <f>AC217-AB217</f>
        <v>-0.86349206349206487</v>
      </c>
      <c r="AE217" s="241"/>
      <c r="AF217" s="241"/>
      <c r="AG217" s="241"/>
      <c r="AH217" s="241"/>
      <c r="AI217" s="241"/>
      <c r="AJ217" s="422" t="s">
        <v>183</v>
      </c>
      <c r="AK217" s="423"/>
      <c r="AL217" s="211">
        <v>6.7142857142857135</v>
      </c>
      <c r="AM217" s="211">
        <f>SUM(AI167:AR167)</f>
        <v>7.0429206349206357</v>
      </c>
      <c r="AN217" s="230">
        <f>AM217-AL217</f>
        <v>0.32863492063492217</v>
      </c>
      <c r="AO217" s="241"/>
      <c r="AP217" s="241"/>
      <c r="AQ217" s="241"/>
      <c r="AR217" s="241"/>
      <c r="AS217" s="250"/>
      <c r="AT217" s="422" t="s">
        <v>183</v>
      </c>
      <c r="AU217" s="423"/>
      <c r="AV217" s="211">
        <v>7.3939393939393945</v>
      </c>
      <c r="AW217" s="211">
        <f>SUM(AS167:BB167)</f>
        <v>7.3939393939393945</v>
      </c>
      <c r="AX217" s="230">
        <f>AW217-AV217</f>
        <v>0</v>
      </c>
      <c r="AY217" s="241"/>
      <c r="AZ217" s="241"/>
      <c r="BA217" s="241"/>
      <c r="BB217" s="241"/>
      <c r="BC217" s="250"/>
      <c r="BD217" s="241"/>
      <c r="BE217" s="241"/>
      <c r="BF217" s="422" t="s">
        <v>183</v>
      </c>
      <c r="BG217" s="423"/>
      <c r="BH217" s="211">
        <v>8.4380952380952383</v>
      </c>
      <c r="BI217" s="211">
        <f>SUM(BC167:BL167)</f>
        <v>7.8920634920634924</v>
      </c>
      <c r="BJ217" s="230">
        <f>BI217-BH217</f>
        <v>-0.54603174603174587</v>
      </c>
      <c r="BK217" s="241"/>
      <c r="BL217" s="241"/>
      <c r="BM217" s="250"/>
      <c r="BN217" s="422" t="s">
        <v>183</v>
      </c>
      <c r="BO217" s="423"/>
      <c r="BP217" s="211">
        <v>8.4787878787878803</v>
      </c>
      <c r="BQ217" s="211">
        <f>SUM(BM167:BV167)</f>
        <v>9.0545454545454529</v>
      </c>
      <c r="BR217" s="230">
        <f>BQ217-BP217</f>
        <v>0.57575757575757258</v>
      </c>
      <c r="BS217" s="245"/>
      <c r="BT217" s="245"/>
      <c r="BU217" s="245"/>
      <c r="BV217" s="245"/>
      <c r="BW217" s="250"/>
      <c r="BX217" s="422" t="s">
        <v>183</v>
      </c>
      <c r="BY217" s="423"/>
      <c r="BZ217" s="211">
        <v>7.2666666666666666</v>
      </c>
      <c r="CA217" s="211">
        <f>SUM(BW167:CF167)</f>
        <v>8.0666666666666664</v>
      </c>
      <c r="CB217" s="230">
        <f>CA217-BZ217</f>
        <v>0.79999999999999982</v>
      </c>
      <c r="CC217" s="245"/>
      <c r="CD217" s="245"/>
      <c r="CE217" s="245"/>
      <c r="CF217" s="245"/>
      <c r="CG217" s="250"/>
      <c r="CH217" s="422" t="s">
        <v>183</v>
      </c>
      <c r="CI217" s="423"/>
      <c r="CJ217" s="211">
        <v>3</v>
      </c>
      <c r="CK217" s="211">
        <f>SUM(CG167:CP167)</f>
        <v>3.4444444444444442</v>
      </c>
      <c r="CL217" s="230">
        <f>CK217-CJ217</f>
        <v>0.4444444444444442</v>
      </c>
      <c r="CM217" s="245"/>
      <c r="CN217" s="245"/>
      <c r="CO217" s="245"/>
      <c r="CP217" s="245"/>
      <c r="CQ217" s="250"/>
      <c r="CR217" s="422" t="s">
        <v>183</v>
      </c>
      <c r="CS217" s="423"/>
      <c r="CT217" s="211">
        <v>4.8866666666666667</v>
      </c>
      <c r="CU217" s="211">
        <f>SUM(CQ167:CW167)</f>
        <v>4.7466666666666661</v>
      </c>
      <c r="CV217" s="230">
        <f>CU217-CT217</f>
        <v>-0.14000000000000057</v>
      </c>
      <c r="CW217" s="245"/>
      <c r="CX217" s="250"/>
      <c r="CY217" s="422" t="s">
        <v>183</v>
      </c>
      <c r="CZ217" s="423"/>
      <c r="DA217" s="211">
        <v>4.2222222222222223</v>
      </c>
      <c r="DB217" s="211">
        <f>SUM(CX167:DD167)</f>
        <v>4.5269841269841269</v>
      </c>
      <c r="DC217" s="230">
        <f>DB217-DA217</f>
        <v>0.30476190476190457</v>
      </c>
      <c r="DD217" s="245"/>
      <c r="DE217" s="250"/>
      <c r="DF217" s="422" t="s">
        <v>183</v>
      </c>
      <c r="DG217" s="423"/>
      <c r="DH217" s="211">
        <v>3.27843137254902</v>
      </c>
      <c r="DI217" s="211">
        <f>SUM(DE167:DK167)</f>
        <v>3.27843137254902</v>
      </c>
      <c r="DJ217" s="230">
        <f>DI217-DH217</f>
        <v>0</v>
      </c>
      <c r="DK217" s="245"/>
      <c r="DL217" s="250"/>
      <c r="DM217" s="422" t="s">
        <v>183</v>
      </c>
      <c r="DN217" s="423"/>
      <c r="DO217" s="211"/>
      <c r="DP217" s="211">
        <f>SUM(DL167:DS167)</f>
        <v>0</v>
      </c>
      <c r="DQ217" s="230">
        <f>DP217-DO217</f>
        <v>0</v>
      </c>
      <c r="DR217" s="245"/>
      <c r="DS217" s="245"/>
      <c r="DT217" s="239"/>
      <c r="DU217" s="239"/>
      <c r="DV217" s="239"/>
      <c r="DW217" s="239"/>
      <c r="DX217" s="239"/>
      <c r="DY217" s="239"/>
      <c r="DZ217" s="239"/>
      <c r="EA217" s="239"/>
      <c r="EB217" s="239"/>
    </row>
    <row r="218" spans="1:132" ht="20.100000000000001" customHeight="1" x14ac:dyDescent="0.4">
      <c r="P218" s="422" t="s">
        <v>184</v>
      </c>
      <c r="Q218" s="423"/>
      <c r="R218" s="211">
        <v>4.958333333333333</v>
      </c>
      <c r="S218" s="211">
        <f>SUM(O168:X168)</f>
        <v>7.1541666666666668</v>
      </c>
      <c r="T218" s="230">
        <f t="shared" si="723"/>
        <v>2.1958333333333337</v>
      </c>
      <c r="V218" s="74"/>
      <c r="W218" s="74"/>
      <c r="X218" s="245"/>
      <c r="Y218" s="250"/>
      <c r="Z218" s="422" t="s">
        <v>184</v>
      </c>
      <c r="AA218" s="423"/>
      <c r="AB218" s="211">
        <v>5.3746031746031733</v>
      </c>
      <c r="AC218" s="211">
        <f>SUM(Y168:AH168)</f>
        <v>6.0412698412698411</v>
      </c>
      <c r="AD218" s="230">
        <f t="shared" ref="AD218:AD224" si="724">AC218-AB218</f>
        <v>0.66666666666666785</v>
      </c>
      <c r="AE218" s="241"/>
      <c r="AF218" s="241"/>
      <c r="AG218" s="241"/>
      <c r="AH218" s="241"/>
      <c r="AI218" s="241"/>
      <c r="AJ218" s="422" t="s">
        <v>184</v>
      </c>
      <c r="AK218" s="423"/>
      <c r="AL218" s="211">
        <v>6.0158730158730167</v>
      </c>
      <c r="AM218" s="211">
        <f>SUM(AI168:AR168)</f>
        <v>6.9746031746031747</v>
      </c>
      <c r="AN218" s="230">
        <f t="shared" ref="AN218:AN224" si="725">AM218-AL218</f>
        <v>0.95873015873015799</v>
      </c>
      <c r="AO218" s="241"/>
      <c r="AP218" s="241"/>
      <c r="AQ218" s="241"/>
      <c r="AR218" s="241"/>
      <c r="AS218" s="250"/>
      <c r="AT218" s="422" t="s">
        <v>184</v>
      </c>
      <c r="AU218" s="423"/>
      <c r="AV218" s="211">
        <v>6.8363636363636369</v>
      </c>
      <c r="AW218" s="211">
        <f>SUM(AS168:BB168)</f>
        <v>7.1727272727272728</v>
      </c>
      <c r="AX218" s="230">
        <f t="shared" ref="AX218:AX224" si="726">AW218-AV218</f>
        <v>0.33636363636363598</v>
      </c>
      <c r="AY218" s="241"/>
      <c r="AZ218" s="241"/>
      <c r="BA218" s="241"/>
      <c r="BB218" s="241"/>
      <c r="BC218" s="250"/>
      <c r="BD218" s="241"/>
      <c r="BE218" s="241"/>
      <c r="BF218" s="422" t="s">
        <v>184</v>
      </c>
      <c r="BG218" s="423"/>
      <c r="BH218" s="211">
        <v>6.8888888888888884</v>
      </c>
      <c r="BI218" s="211">
        <f>SUM(BC168:BL168)</f>
        <v>7.6603174603174597</v>
      </c>
      <c r="BJ218" s="230">
        <f t="shared" ref="BJ218:BJ224" si="727">BI218-BH218</f>
        <v>0.77142857142857135</v>
      </c>
      <c r="BK218" s="241"/>
      <c r="BL218" s="241"/>
      <c r="BM218" s="250"/>
      <c r="BN218" s="422" t="s">
        <v>184</v>
      </c>
      <c r="BO218" s="423"/>
      <c r="BP218" s="211">
        <v>7.1318181818181801</v>
      </c>
      <c r="BQ218" s="211">
        <f>SUM(BM168:BV168)</f>
        <v>8.65</v>
      </c>
      <c r="BR218" s="230">
        <f t="shared" ref="BR218:BR224" si="728">BQ218-BP218</f>
        <v>1.5181818181818203</v>
      </c>
      <c r="BS218" s="245"/>
      <c r="BT218" s="245"/>
      <c r="BU218" s="245"/>
      <c r="BV218" s="245"/>
      <c r="BW218" s="250"/>
      <c r="BX218" s="422" t="s">
        <v>184</v>
      </c>
      <c r="BY218" s="423"/>
      <c r="BZ218" s="211">
        <v>7.086666666666666</v>
      </c>
      <c r="CA218" s="211">
        <f>SUM(BW168:CF168)</f>
        <v>7.876666666666666</v>
      </c>
      <c r="CB218" s="230">
        <f t="shared" ref="CB218:CB224" si="729">CA218-BZ218</f>
        <v>0.79</v>
      </c>
      <c r="CC218" s="245"/>
      <c r="CD218" s="245"/>
      <c r="CE218" s="245"/>
      <c r="CF218" s="245"/>
      <c r="CG218" s="250"/>
      <c r="CH218" s="422" t="s">
        <v>184</v>
      </c>
      <c r="CI218" s="423"/>
      <c r="CJ218" s="211">
        <v>2.5740740740740735</v>
      </c>
      <c r="CK218" s="211">
        <f>SUM(CG168:CP168)</f>
        <v>3.0518518518518514</v>
      </c>
      <c r="CL218" s="230">
        <f>CK218-CJ218</f>
        <v>0.47777777777777786</v>
      </c>
      <c r="CM218" s="245"/>
      <c r="CN218" s="245"/>
      <c r="CO218" s="245"/>
      <c r="CP218" s="245"/>
      <c r="CQ218" s="250"/>
      <c r="CR218" s="422" t="s">
        <v>184</v>
      </c>
      <c r="CS218" s="423"/>
      <c r="CT218" s="211">
        <v>4.16</v>
      </c>
      <c r="CU218" s="211">
        <f>SUM(CQ168:CW168)</f>
        <v>4.5466666666666669</v>
      </c>
      <c r="CV218" s="230">
        <f t="shared" ref="CV218:CV224" si="730">CU218-CT218</f>
        <v>0.38666666666666671</v>
      </c>
      <c r="CW218" s="245"/>
      <c r="CX218" s="250"/>
      <c r="CY218" s="422" t="s">
        <v>184</v>
      </c>
      <c r="CZ218" s="423"/>
      <c r="DA218" s="211">
        <v>3.9174603174603169</v>
      </c>
      <c r="DB218" s="211">
        <f>SUM(CX168:DD168)</f>
        <v>4.4253968253968257</v>
      </c>
      <c r="DC218" s="230">
        <f t="shared" ref="DC218:DC224" si="731">DB218-DA218</f>
        <v>0.5079365079365088</v>
      </c>
      <c r="DD218" s="245"/>
      <c r="DE218" s="250"/>
      <c r="DF218" s="422" t="s">
        <v>184</v>
      </c>
      <c r="DG218" s="423"/>
      <c r="DH218" s="211">
        <v>2.7921568627450979</v>
      </c>
      <c r="DI218" s="211">
        <f>SUM(DE168:DK168)</f>
        <v>4.56078431372549</v>
      </c>
      <c r="DJ218" s="230">
        <f t="shared" ref="DJ218:DJ224" si="732">DI218-DH218</f>
        <v>1.7686274509803921</v>
      </c>
      <c r="DK218" s="245"/>
      <c r="DL218" s="250"/>
      <c r="DM218" s="422" t="s">
        <v>184</v>
      </c>
      <c r="DN218" s="423"/>
      <c r="DO218" s="211"/>
      <c r="DP218" s="211">
        <f>SUM(DL168:DS168)</f>
        <v>0</v>
      </c>
      <c r="DQ218" s="230">
        <f t="shared" ref="DQ218:DQ224" si="733">DP218-DO218</f>
        <v>0</v>
      </c>
      <c r="DR218" s="245"/>
      <c r="DS218" s="245"/>
      <c r="DT218" s="239"/>
      <c r="DU218" s="241"/>
      <c r="DV218" s="239"/>
      <c r="DW218" s="239"/>
      <c r="DX218" s="239"/>
      <c r="DY218" s="239"/>
      <c r="DZ218" s="239"/>
      <c r="EA218" s="239"/>
      <c r="EB218" s="239"/>
    </row>
    <row r="219" spans="1:132" ht="20.100000000000001" customHeight="1" x14ac:dyDescent="0.4">
      <c r="P219" s="424" t="s">
        <v>185</v>
      </c>
      <c r="Q219" s="425"/>
      <c r="R219" s="211">
        <v>0</v>
      </c>
      <c r="S219" s="212">
        <f>SUM(O186:X186)</f>
        <v>1.9124999999999994</v>
      </c>
      <c r="T219" s="230">
        <f t="shared" si="723"/>
        <v>1.9124999999999994</v>
      </c>
      <c r="V219" s="239"/>
      <c r="W219" s="239"/>
      <c r="X219" s="239"/>
      <c r="Y219" s="251"/>
      <c r="Z219" s="424" t="s">
        <v>185</v>
      </c>
      <c r="AA219" s="425"/>
      <c r="AB219" s="211">
        <v>2.1269841269841265</v>
      </c>
      <c r="AC219" s="212">
        <f>SUM(Y186:AH186)</f>
        <v>1.8730158730158724</v>
      </c>
      <c r="AD219" s="230">
        <f t="shared" si="724"/>
        <v>-0.25396825396825418</v>
      </c>
      <c r="AE219" s="239"/>
      <c r="AF219" s="239"/>
      <c r="AG219" s="239"/>
      <c r="AH219" s="241"/>
      <c r="AI219" s="239"/>
      <c r="AJ219" s="424" t="s">
        <v>185</v>
      </c>
      <c r="AK219" s="425"/>
      <c r="AL219" s="211">
        <v>1.4603174603174598</v>
      </c>
      <c r="AM219" s="212">
        <f>SUM(AI186:AR186)</f>
        <v>1.5536507936507931</v>
      </c>
      <c r="AN219" s="230">
        <f t="shared" si="725"/>
        <v>9.3333333333333268E-2</v>
      </c>
      <c r="AO219" s="239"/>
      <c r="AP219" s="239"/>
      <c r="AQ219" s="239"/>
      <c r="AR219" s="241"/>
      <c r="AS219" s="251"/>
      <c r="AT219" s="424" t="s">
        <v>185</v>
      </c>
      <c r="AU219" s="425"/>
      <c r="AV219" s="211">
        <v>1.6060606060606055</v>
      </c>
      <c r="AW219" s="212">
        <f>SUM(AS186:BB186)</f>
        <v>1.6060606060606055</v>
      </c>
      <c r="AX219" s="230">
        <f t="shared" si="726"/>
        <v>0</v>
      </c>
      <c r="AY219" s="239"/>
      <c r="AZ219" s="239"/>
      <c r="BA219" s="239"/>
      <c r="BB219" s="241"/>
      <c r="BC219" s="251"/>
      <c r="BD219" s="241"/>
      <c r="BE219" s="241"/>
      <c r="BF219" s="424" t="s">
        <v>185</v>
      </c>
      <c r="BG219" s="425"/>
      <c r="BH219" s="211">
        <v>1.5619047619047615</v>
      </c>
      <c r="BI219" s="212">
        <f>SUM(BC186:BL186)</f>
        <v>1.3339047619047615</v>
      </c>
      <c r="BJ219" s="230">
        <f t="shared" si="727"/>
        <v>-0.22799999999999998</v>
      </c>
      <c r="BK219" s="239"/>
      <c r="BL219" s="241"/>
      <c r="BM219" s="251"/>
      <c r="BN219" s="424" t="s">
        <v>185</v>
      </c>
      <c r="BO219" s="425"/>
      <c r="BP219" s="211">
        <v>0.92121212121212159</v>
      </c>
      <c r="BQ219" s="212">
        <f>SUM(BM186:BV186)</f>
        <v>0.92121212121212159</v>
      </c>
      <c r="BR219" s="230">
        <f t="shared" si="728"/>
        <v>0</v>
      </c>
      <c r="BS219" s="245"/>
      <c r="BT219" s="245"/>
      <c r="BU219" s="245"/>
      <c r="BV219" s="245"/>
      <c r="BW219" s="251"/>
      <c r="BX219" s="424" t="s">
        <v>185</v>
      </c>
      <c r="BY219" s="425"/>
      <c r="BZ219" s="211">
        <v>1.0133333333333334</v>
      </c>
      <c r="CA219" s="212">
        <f>SUM(BW186:CF186)</f>
        <v>1.1599999999999999</v>
      </c>
      <c r="CB219" s="230">
        <f t="shared" si="729"/>
        <v>0.1466666666666665</v>
      </c>
      <c r="CC219" s="245"/>
      <c r="CD219" s="245"/>
      <c r="CE219" s="245"/>
      <c r="CF219" s="245"/>
      <c r="CG219" s="251"/>
      <c r="CH219" s="424" t="s">
        <v>185</v>
      </c>
      <c r="CI219" s="425"/>
      <c r="CJ219" s="211">
        <v>1.6148148148148147</v>
      </c>
      <c r="CK219" s="212">
        <f>SUM(CG186:CP186)</f>
        <v>1.4814814814814814</v>
      </c>
      <c r="CL219" s="230">
        <f t="shared" ref="CL219:CL224" si="734">CK219-CJ219</f>
        <v>-0.1333333333333333</v>
      </c>
      <c r="CM219" s="245"/>
      <c r="CN219" s="245"/>
      <c r="CO219" s="245"/>
      <c r="CP219" s="245"/>
      <c r="CQ219" s="251"/>
      <c r="CR219" s="424" t="s">
        <v>185</v>
      </c>
      <c r="CS219" s="425"/>
      <c r="CT219" s="211">
        <v>0.75</v>
      </c>
      <c r="CU219" s="212">
        <f>SUM(CQ186:CW186)</f>
        <v>0.80333333333333334</v>
      </c>
      <c r="CV219" s="230">
        <f t="shared" si="730"/>
        <v>5.3333333333333344E-2</v>
      </c>
      <c r="CW219" s="245"/>
      <c r="CX219" s="251"/>
      <c r="CY219" s="424" t="s">
        <v>185</v>
      </c>
      <c r="CZ219" s="425"/>
      <c r="DA219" s="211">
        <v>0.95555555555555527</v>
      </c>
      <c r="DB219" s="212">
        <f>SUM(CX186:DD186)</f>
        <v>0.88222222222222202</v>
      </c>
      <c r="DC219" s="230">
        <f t="shared" si="731"/>
        <v>-7.333333333333325E-2</v>
      </c>
      <c r="DD219" s="245"/>
      <c r="DE219" s="251"/>
      <c r="DF219" s="424" t="s">
        <v>185</v>
      </c>
      <c r="DG219" s="425"/>
      <c r="DH219" s="211">
        <v>1.4431372549019608</v>
      </c>
      <c r="DI219" s="212">
        <f>SUM(DE186:DK186)</f>
        <v>1.4431372549019608</v>
      </c>
      <c r="DJ219" s="230">
        <f t="shared" si="732"/>
        <v>0</v>
      </c>
      <c r="DK219" s="245"/>
      <c r="DL219" s="251"/>
      <c r="DM219" s="424" t="s">
        <v>185</v>
      </c>
      <c r="DN219" s="425"/>
      <c r="DO219" s="211"/>
      <c r="DP219" s="212">
        <f>SUM(DL186:DS186)</f>
        <v>0</v>
      </c>
      <c r="DQ219" s="230">
        <f t="shared" si="733"/>
        <v>0</v>
      </c>
      <c r="DR219" s="245"/>
      <c r="DS219" s="245"/>
      <c r="DT219" s="239"/>
      <c r="DU219" s="241"/>
      <c r="DV219" s="239"/>
      <c r="DW219" s="239"/>
      <c r="DX219" s="239"/>
      <c r="DY219" s="239"/>
      <c r="DZ219" s="239"/>
      <c r="EA219" s="239"/>
      <c r="EB219" s="239"/>
    </row>
    <row r="220" spans="1:132" ht="20.100000000000001" customHeight="1" x14ac:dyDescent="0.4">
      <c r="P220" s="424" t="s">
        <v>186</v>
      </c>
      <c r="Q220" s="425"/>
      <c r="R220" s="211">
        <v>1.125</v>
      </c>
      <c r="S220" s="212">
        <f>SUM(O187:X187)</f>
        <v>1.8708333333333331</v>
      </c>
      <c r="T220" s="230">
        <f t="shared" si="723"/>
        <v>0.74583333333333313</v>
      </c>
      <c r="V220" s="239"/>
      <c r="W220" s="239"/>
      <c r="X220" s="239"/>
      <c r="Y220" s="251"/>
      <c r="Z220" s="424" t="s">
        <v>186</v>
      </c>
      <c r="AA220" s="425"/>
      <c r="AB220" s="211">
        <v>1.5777777777777775</v>
      </c>
      <c r="AC220" s="212">
        <f>SUM(Y187:AH187)</f>
        <v>1.6730158730158728</v>
      </c>
      <c r="AD220" s="230">
        <f t="shared" si="724"/>
        <v>9.5238095238095344E-2</v>
      </c>
      <c r="AE220" s="241"/>
      <c r="AF220" s="241"/>
      <c r="AG220" s="241"/>
      <c r="AH220" s="241"/>
      <c r="AI220" s="241"/>
      <c r="AJ220" s="424" t="s">
        <v>186</v>
      </c>
      <c r="AK220" s="425"/>
      <c r="AL220" s="211">
        <v>1.3396825396825396</v>
      </c>
      <c r="AM220" s="212">
        <f>SUM(AI187:AR187)</f>
        <v>1.533333333333333</v>
      </c>
      <c r="AN220" s="230">
        <f t="shared" si="725"/>
        <v>0.19365079365079341</v>
      </c>
      <c r="AO220" s="241"/>
      <c r="AP220" s="241"/>
      <c r="AQ220" s="241"/>
      <c r="AR220" s="241"/>
      <c r="AS220" s="251"/>
      <c r="AT220" s="424" t="s">
        <v>186</v>
      </c>
      <c r="AU220" s="425"/>
      <c r="AV220" s="211">
        <v>1.4439393939393936</v>
      </c>
      <c r="AW220" s="212">
        <f>SUM(AS187:BB187)</f>
        <v>1.5666666666666664</v>
      </c>
      <c r="AX220" s="230">
        <f t="shared" si="726"/>
        <v>0.1227272727272728</v>
      </c>
      <c r="AY220" s="241"/>
      <c r="AZ220" s="241"/>
      <c r="BA220" s="241"/>
      <c r="BB220" s="241"/>
      <c r="BC220" s="251"/>
      <c r="BD220" s="241"/>
      <c r="BE220" s="241"/>
      <c r="BF220" s="424" t="s">
        <v>186</v>
      </c>
      <c r="BG220" s="425"/>
      <c r="BH220" s="211">
        <v>1.2222222222222221</v>
      </c>
      <c r="BI220" s="212">
        <f>SUM(BC187:BL187)</f>
        <v>1.3365079365079364</v>
      </c>
      <c r="BJ220" s="230">
        <f t="shared" si="727"/>
        <v>0.11428571428571432</v>
      </c>
      <c r="BK220" s="241"/>
      <c r="BL220" s="241"/>
      <c r="BM220" s="251"/>
      <c r="BN220" s="424" t="s">
        <v>186</v>
      </c>
      <c r="BO220" s="425"/>
      <c r="BP220" s="211">
        <v>0.93181818181818188</v>
      </c>
      <c r="BQ220" s="212">
        <f>SUM(BM187:BV187)</f>
        <v>1.1348484848484848</v>
      </c>
      <c r="BR220" s="230">
        <f t="shared" si="728"/>
        <v>0.20303030303030289</v>
      </c>
      <c r="BS220" s="245"/>
      <c r="BT220" s="245"/>
      <c r="BU220" s="245"/>
      <c r="BV220" s="245"/>
      <c r="BW220" s="251"/>
      <c r="BX220" s="424" t="s">
        <v>186</v>
      </c>
      <c r="BY220" s="425"/>
      <c r="BZ220" s="211">
        <v>1.0366666666666668</v>
      </c>
      <c r="CA220" s="212">
        <f>SUM(BW187:CF187)</f>
        <v>1.1666666666666663</v>
      </c>
      <c r="CB220" s="230">
        <f t="shared" si="729"/>
        <v>0.12999999999999945</v>
      </c>
      <c r="CC220" s="245"/>
      <c r="CD220" s="245"/>
      <c r="CE220" s="245"/>
      <c r="CF220" s="245"/>
      <c r="CG220" s="251"/>
      <c r="CH220" s="424" t="s">
        <v>186</v>
      </c>
      <c r="CI220" s="425"/>
      <c r="CJ220" s="211">
        <v>1.0777777777777779</v>
      </c>
      <c r="CK220" s="212">
        <f>SUM(CG187:CP187)</f>
        <v>1.2370370370370369</v>
      </c>
      <c r="CL220" s="230">
        <f t="shared" si="734"/>
        <v>0.15925925925925899</v>
      </c>
      <c r="CM220" s="245"/>
      <c r="CN220" s="245"/>
      <c r="CO220" s="245"/>
      <c r="CP220" s="245"/>
      <c r="CQ220" s="251"/>
      <c r="CR220" s="424" t="s">
        <v>186</v>
      </c>
      <c r="CS220" s="425"/>
      <c r="CT220" s="211">
        <v>0.62666666666666659</v>
      </c>
      <c r="CU220" s="212">
        <f>SUM(CQ187:CW187)</f>
        <v>0.73666666666666658</v>
      </c>
      <c r="CV220" s="230">
        <f t="shared" si="730"/>
        <v>0.10999999999999999</v>
      </c>
      <c r="CW220" s="245"/>
      <c r="CX220" s="251"/>
      <c r="CY220" s="424" t="s">
        <v>186</v>
      </c>
      <c r="CZ220" s="425"/>
      <c r="DA220" s="211">
        <v>0.79682539682539666</v>
      </c>
      <c r="DB220" s="212">
        <f>SUM(CX187:DD187)</f>
        <v>0.8730158730158728</v>
      </c>
      <c r="DC220" s="230">
        <f t="shared" si="731"/>
        <v>7.6190476190476142E-2</v>
      </c>
      <c r="DD220" s="245"/>
      <c r="DE220" s="251"/>
      <c r="DF220" s="424" t="s">
        <v>186</v>
      </c>
      <c r="DG220" s="425"/>
      <c r="DH220" s="211">
        <v>0.49411764705882344</v>
      </c>
      <c r="DI220" s="212">
        <f>SUM(DE187:DK187)</f>
        <v>0.74117647058823533</v>
      </c>
      <c r="DJ220" s="230">
        <f t="shared" si="732"/>
        <v>0.24705882352941189</v>
      </c>
      <c r="DK220" s="245"/>
      <c r="DL220" s="251"/>
      <c r="DM220" s="424" t="s">
        <v>186</v>
      </c>
      <c r="DN220" s="425"/>
      <c r="DO220" s="211"/>
      <c r="DP220" s="212">
        <f>SUM(DL187:DS187)</f>
        <v>0</v>
      </c>
      <c r="DQ220" s="230">
        <f t="shared" si="733"/>
        <v>0</v>
      </c>
      <c r="DR220" s="245"/>
      <c r="DS220" s="245"/>
      <c r="DT220" s="239"/>
      <c r="DU220" s="241"/>
      <c r="DV220" s="239"/>
      <c r="DW220" s="239"/>
      <c r="DX220" s="239"/>
      <c r="DY220" s="239"/>
      <c r="DZ220" s="239"/>
      <c r="EA220" s="239"/>
      <c r="EB220" s="239"/>
    </row>
    <row r="221" spans="1:132" ht="20.100000000000001" customHeight="1" x14ac:dyDescent="0.4">
      <c r="P221" s="422" t="s">
        <v>187</v>
      </c>
      <c r="Q221" s="423"/>
      <c r="R221" s="211">
        <v>0</v>
      </c>
      <c r="S221" s="213">
        <f>SUM(O208:X208)</f>
        <v>0.66666666666666663</v>
      </c>
      <c r="T221" s="230">
        <f t="shared" si="723"/>
        <v>0.66666666666666663</v>
      </c>
      <c r="V221" s="239"/>
      <c r="W221" s="239"/>
      <c r="X221" s="239"/>
      <c r="Y221" s="250"/>
      <c r="Z221" s="422" t="s">
        <v>187</v>
      </c>
      <c r="AA221" s="423"/>
      <c r="AB221" s="211">
        <v>2.9841269841269842</v>
      </c>
      <c r="AC221" s="213">
        <f>SUM(Y208:AH208)</f>
        <v>1.8063492063492061</v>
      </c>
      <c r="AD221" s="230">
        <f t="shared" si="724"/>
        <v>-1.177777777777778</v>
      </c>
      <c r="AE221" s="533"/>
      <c r="AF221" s="533"/>
      <c r="AG221" s="533"/>
      <c r="AH221" s="533"/>
      <c r="AI221" s="252"/>
      <c r="AJ221" s="422" t="s">
        <v>187</v>
      </c>
      <c r="AK221" s="423"/>
      <c r="AL221" s="211">
        <v>2.6666666666666665</v>
      </c>
      <c r="AM221" s="213">
        <f>SUM(AI208:AR208)</f>
        <v>1.4031746031746031</v>
      </c>
      <c r="AN221" s="230">
        <f t="shared" si="725"/>
        <v>-1.2634920634920634</v>
      </c>
      <c r="AO221" s="252"/>
      <c r="AP221" s="252"/>
      <c r="AQ221" s="252"/>
      <c r="AR221" s="252"/>
      <c r="AS221" s="250"/>
      <c r="AT221" s="422" t="s">
        <v>187</v>
      </c>
      <c r="AU221" s="423"/>
      <c r="AV221" s="211">
        <v>0.99999999999999989</v>
      </c>
      <c r="AW221" s="213">
        <f>SUM(AS208:BB208)</f>
        <v>0.99999999999999989</v>
      </c>
      <c r="AX221" s="230">
        <f t="shared" si="726"/>
        <v>0</v>
      </c>
      <c r="AY221" s="252"/>
      <c r="AZ221" s="252"/>
      <c r="BA221" s="252"/>
      <c r="BB221" s="252"/>
      <c r="BC221" s="250"/>
      <c r="BD221" s="252"/>
      <c r="BE221" s="252"/>
      <c r="BF221" s="422" t="s">
        <v>187</v>
      </c>
      <c r="BG221" s="423"/>
      <c r="BH221" s="211">
        <v>0</v>
      </c>
      <c r="BI221" s="213">
        <f>SUM(BC208:BL208)</f>
        <v>0.77460317460317452</v>
      </c>
      <c r="BJ221" s="230">
        <f t="shared" si="727"/>
        <v>0.77460317460317452</v>
      </c>
      <c r="BK221" s="252"/>
      <c r="BL221" s="252"/>
      <c r="BM221" s="250"/>
      <c r="BN221" s="422" t="s">
        <v>187</v>
      </c>
      <c r="BO221" s="423"/>
      <c r="BP221" s="211">
        <v>0</v>
      </c>
      <c r="BQ221" s="213">
        <f>SUM(BM208:BV208)</f>
        <v>2.4242424242424242E-2</v>
      </c>
      <c r="BR221" s="230">
        <f t="shared" si="728"/>
        <v>2.4242424242424242E-2</v>
      </c>
      <c r="BS221" s="245"/>
      <c r="BT221" s="245"/>
      <c r="BU221" s="245"/>
      <c r="BV221" s="245"/>
      <c r="BW221" s="250"/>
      <c r="BX221" s="422" t="s">
        <v>187</v>
      </c>
      <c r="BY221" s="423"/>
      <c r="BZ221" s="211">
        <v>0</v>
      </c>
      <c r="CA221" s="213">
        <f>SUM(BW208:CF208)</f>
        <v>0.77333333333333332</v>
      </c>
      <c r="CB221" s="230">
        <f t="shared" si="729"/>
        <v>0.77333333333333332</v>
      </c>
      <c r="CC221" s="245"/>
      <c r="CD221" s="245"/>
      <c r="CE221" s="245"/>
      <c r="CF221" s="245"/>
      <c r="CG221" s="250"/>
      <c r="CH221" s="422" t="s">
        <v>187</v>
      </c>
      <c r="CI221" s="423"/>
      <c r="CJ221" s="211">
        <v>5.3851851851851853</v>
      </c>
      <c r="CK221" s="213">
        <f>SUM(CG208:CP208)</f>
        <v>5.0740740740740744</v>
      </c>
      <c r="CL221" s="230">
        <f t="shared" si="734"/>
        <v>-0.31111111111111089</v>
      </c>
      <c r="CM221" s="245"/>
      <c r="CN221" s="245"/>
      <c r="CO221" s="245"/>
      <c r="CP221" s="245"/>
      <c r="CQ221" s="250"/>
      <c r="CR221" s="422" t="s">
        <v>187</v>
      </c>
      <c r="CS221" s="423"/>
      <c r="CT221" s="211">
        <v>1.3666666666666667</v>
      </c>
      <c r="CU221" s="213">
        <f>SUM(CQ208:CW208)</f>
        <v>1.4500000000000002</v>
      </c>
      <c r="CV221" s="230">
        <f t="shared" si="730"/>
        <v>8.3333333333333481E-2</v>
      </c>
      <c r="CW221" s="245"/>
      <c r="CX221" s="250"/>
      <c r="CY221" s="422" t="s">
        <v>187</v>
      </c>
      <c r="CZ221" s="423"/>
      <c r="DA221" s="211">
        <v>1.6507936507936507</v>
      </c>
      <c r="DB221" s="213">
        <f>SUM(CX208:DD208)</f>
        <v>1.5873015873015874</v>
      </c>
      <c r="DC221" s="230">
        <f t="shared" si="731"/>
        <v>-6.3492063492063266E-2</v>
      </c>
      <c r="DD221" s="245"/>
      <c r="DE221" s="250"/>
      <c r="DF221" s="422" t="s">
        <v>187</v>
      </c>
      <c r="DG221" s="423"/>
      <c r="DH221" s="211">
        <v>0.5490196078431373</v>
      </c>
      <c r="DI221" s="213">
        <f>SUM(DE208:DK208)</f>
        <v>0.5490196078431373</v>
      </c>
      <c r="DJ221" s="230">
        <f t="shared" si="732"/>
        <v>0</v>
      </c>
      <c r="DK221" s="245"/>
      <c r="DL221" s="250"/>
      <c r="DM221" s="422" t="s">
        <v>187</v>
      </c>
      <c r="DN221" s="423"/>
      <c r="DO221" s="211"/>
      <c r="DP221" s="213">
        <f>SUM(DL208:DS208)</f>
        <v>0</v>
      </c>
      <c r="DQ221" s="230">
        <f t="shared" si="733"/>
        <v>0</v>
      </c>
      <c r="DR221" s="245"/>
      <c r="DS221" s="245"/>
      <c r="DT221" s="239"/>
      <c r="DU221" s="241"/>
      <c r="DV221" s="239"/>
      <c r="DW221" s="242"/>
      <c r="DX221" s="239"/>
      <c r="DY221" s="243"/>
      <c r="DZ221" s="243"/>
      <c r="EA221" s="239"/>
      <c r="EB221" s="239"/>
    </row>
    <row r="222" spans="1:132" ht="20.100000000000001" customHeight="1" x14ac:dyDescent="0.4">
      <c r="P222" s="422" t="s">
        <v>188</v>
      </c>
      <c r="Q222" s="423"/>
      <c r="R222" s="211">
        <v>0.79166666666666663</v>
      </c>
      <c r="S222" s="212">
        <f>SUM(O209:X209)</f>
        <v>0.97499999999999998</v>
      </c>
      <c r="T222" s="230">
        <f t="shared" si="723"/>
        <v>0.18333333333333335</v>
      </c>
      <c r="V222" s="239"/>
      <c r="W222" s="239"/>
      <c r="X222" s="239"/>
      <c r="Y222" s="250"/>
      <c r="Z222" s="422" t="s">
        <v>188</v>
      </c>
      <c r="AA222" s="423"/>
      <c r="AB222" s="211">
        <v>2.0952380952380953</v>
      </c>
      <c r="AC222" s="212">
        <f>SUM(Y209:AH209)</f>
        <v>2.2857142857142856</v>
      </c>
      <c r="AD222" s="230">
        <f t="shared" si="724"/>
        <v>0.19047619047619024</v>
      </c>
      <c r="AE222" s="241"/>
      <c r="AF222" s="241"/>
      <c r="AG222" s="241"/>
      <c r="AH222" s="241"/>
      <c r="AI222" s="241"/>
      <c r="AJ222" s="422" t="s">
        <v>188</v>
      </c>
      <c r="AK222" s="423"/>
      <c r="AL222" s="211">
        <v>1.2190476190476189</v>
      </c>
      <c r="AM222" s="212">
        <f>SUM(AI209:AR209)</f>
        <v>1.4952380952380953</v>
      </c>
      <c r="AN222" s="230">
        <f t="shared" si="725"/>
        <v>0.27619047619047632</v>
      </c>
      <c r="AO222" s="241"/>
      <c r="AP222" s="241"/>
      <c r="AQ222" s="241"/>
      <c r="AR222" s="241"/>
      <c r="AS222" s="250"/>
      <c r="AT222" s="422" t="s">
        <v>188</v>
      </c>
      <c r="AU222" s="423"/>
      <c r="AV222" s="211">
        <v>1.2212121212121214</v>
      </c>
      <c r="AW222" s="212">
        <f>SUM(AS209:BB209)</f>
        <v>1.2575757575757576</v>
      </c>
      <c r="AX222" s="230">
        <f t="shared" si="726"/>
        <v>3.6363636363636154E-2</v>
      </c>
      <c r="AY222" s="241"/>
      <c r="AZ222" s="241"/>
      <c r="BA222" s="241"/>
      <c r="BB222" s="241"/>
      <c r="BC222" s="250"/>
      <c r="BD222" s="241"/>
      <c r="BE222" s="241"/>
      <c r="BF222" s="422" t="s">
        <v>188</v>
      </c>
      <c r="BG222" s="423"/>
      <c r="BH222" s="211">
        <v>0.93650793650793651</v>
      </c>
      <c r="BI222" s="212">
        <f>SUM(BC209:BL209)</f>
        <v>1.0031746031746032</v>
      </c>
      <c r="BJ222" s="230">
        <f t="shared" si="727"/>
        <v>6.6666666666666652E-2</v>
      </c>
      <c r="BK222" s="241"/>
      <c r="BL222" s="241"/>
      <c r="BM222" s="250"/>
      <c r="BN222" s="422" t="s">
        <v>188</v>
      </c>
      <c r="BO222" s="423"/>
      <c r="BP222" s="211">
        <v>0.12121212121212122</v>
      </c>
      <c r="BQ222" s="212">
        <f>SUM(BM209:BV209)</f>
        <v>0.21212121212121215</v>
      </c>
      <c r="BR222" s="230">
        <f t="shared" si="728"/>
        <v>9.0909090909090939E-2</v>
      </c>
      <c r="BS222" s="245"/>
      <c r="BT222" s="245"/>
      <c r="BU222" s="245"/>
      <c r="BV222" s="245"/>
      <c r="BW222" s="250"/>
      <c r="BX222" s="422" t="s">
        <v>188</v>
      </c>
      <c r="BY222" s="423"/>
      <c r="BZ222" s="211">
        <v>0.87333333333333329</v>
      </c>
      <c r="CA222" s="212">
        <f>SUM(BW209:CF209)</f>
        <v>0.95333333333333337</v>
      </c>
      <c r="CB222" s="230">
        <f t="shared" si="729"/>
        <v>8.0000000000000071E-2</v>
      </c>
      <c r="CC222" s="245"/>
      <c r="CD222" s="245"/>
      <c r="CE222" s="245"/>
      <c r="CF222" s="245"/>
      <c r="CG222" s="250"/>
      <c r="CH222" s="422" t="s">
        <v>188</v>
      </c>
      <c r="CI222" s="423"/>
      <c r="CJ222" s="211">
        <v>5.2370370370370374</v>
      </c>
      <c r="CK222" s="212">
        <f>SUM(CG209:CP209)</f>
        <v>5.7148148148148135</v>
      </c>
      <c r="CL222" s="230">
        <f t="shared" si="734"/>
        <v>0.47777777777777608</v>
      </c>
      <c r="CM222" s="245"/>
      <c r="CN222" s="245"/>
      <c r="CO222" s="245"/>
      <c r="CP222" s="245"/>
      <c r="CQ222" s="250"/>
      <c r="CR222" s="422" t="s">
        <v>188</v>
      </c>
      <c r="CS222" s="423"/>
      <c r="CT222" s="211">
        <v>1.1666666666666665</v>
      </c>
      <c r="CU222" s="212">
        <f>SUM(CQ209:CW209)</f>
        <v>1.72</v>
      </c>
      <c r="CV222" s="230">
        <f t="shared" si="730"/>
        <v>0.55333333333333345</v>
      </c>
      <c r="CW222" s="245"/>
      <c r="CX222" s="250"/>
      <c r="CY222" s="422" t="s">
        <v>188</v>
      </c>
      <c r="CZ222" s="423"/>
      <c r="DA222" s="211">
        <v>1.6190476190476191</v>
      </c>
      <c r="DB222" s="212">
        <f>SUM(CX209:DD209)</f>
        <v>1.7015873015873015</v>
      </c>
      <c r="DC222" s="230">
        <f t="shared" si="731"/>
        <v>8.2539682539682468E-2</v>
      </c>
      <c r="DD222" s="245"/>
      <c r="DE222" s="250"/>
      <c r="DF222" s="422" t="s">
        <v>188</v>
      </c>
      <c r="DG222" s="423"/>
      <c r="DH222" s="211">
        <v>0.41960784313725491</v>
      </c>
      <c r="DI222" s="212">
        <f>SUM(DE209:DK209)</f>
        <v>0.87450980392156863</v>
      </c>
      <c r="DJ222" s="230">
        <f t="shared" si="732"/>
        <v>0.45490196078431372</v>
      </c>
      <c r="DK222" s="245"/>
      <c r="DL222" s="250"/>
      <c r="DM222" s="422" t="s">
        <v>188</v>
      </c>
      <c r="DN222" s="423"/>
      <c r="DO222" s="211"/>
      <c r="DP222" s="212">
        <f>SUM(DL209:DS209)</f>
        <v>0</v>
      </c>
      <c r="DQ222" s="230">
        <f t="shared" si="733"/>
        <v>0</v>
      </c>
      <c r="DR222" s="245"/>
      <c r="DS222" s="245"/>
      <c r="DT222" s="239"/>
      <c r="DU222" s="241"/>
      <c r="DV222" s="241"/>
      <c r="DW222" s="439"/>
      <c r="DX222" s="440"/>
      <c r="DY222" s="533"/>
      <c r="DZ222" s="533"/>
      <c r="EA222" s="239"/>
      <c r="EB222" s="239"/>
    </row>
    <row r="223" spans="1:132" ht="20.100000000000001" customHeight="1" x14ac:dyDescent="0.4">
      <c r="P223" s="422" t="s">
        <v>189</v>
      </c>
      <c r="Q223" s="423"/>
      <c r="R223" s="211">
        <v>5.833333333333333</v>
      </c>
      <c r="S223" s="212">
        <f>SUM(S217,S219,S221)</f>
        <v>10.004166666666666</v>
      </c>
      <c r="T223" s="230">
        <f t="shared" si="723"/>
        <v>4.1708333333333334</v>
      </c>
      <c r="V223" s="239"/>
      <c r="W223" s="239"/>
      <c r="X223" s="239"/>
      <c r="Y223" s="250"/>
      <c r="Z223" s="422" t="s">
        <v>189</v>
      </c>
      <c r="AA223" s="423"/>
      <c r="AB223" s="211">
        <v>12.298412698412699</v>
      </c>
      <c r="AC223" s="212">
        <f>SUM(AC217,AC219,AC221)</f>
        <v>10.003174603174603</v>
      </c>
      <c r="AD223" s="230">
        <f t="shared" si="724"/>
        <v>-2.295238095238096</v>
      </c>
      <c r="AE223" s="239"/>
      <c r="AF223" s="239"/>
      <c r="AG223" s="239"/>
      <c r="AH223" s="239"/>
      <c r="AI223" s="239"/>
      <c r="AJ223" s="422" t="s">
        <v>189</v>
      </c>
      <c r="AK223" s="423"/>
      <c r="AL223" s="211">
        <v>10.84126984126984</v>
      </c>
      <c r="AM223" s="212">
        <f>SUM(AM217,AM219,AM221)</f>
        <v>9.9997460317460316</v>
      </c>
      <c r="AN223" s="230">
        <f t="shared" si="725"/>
        <v>-0.84152380952380845</v>
      </c>
      <c r="AO223" s="239"/>
      <c r="AP223" s="239"/>
      <c r="AQ223" s="239"/>
      <c r="AR223" s="239"/>
      <c r="AS223" s="250"/>
      <c r="AT223" s="422" t="s">
        <v>189</v>
      </c>
      <c r="AU223" s="423"/>
      <c r="AV223" s="211">
        <v>10</v>
      </c>
      <c r="AW223" s="212">
        <f>SUM(AW217,AW219,AW221)</f>
        <v>10</v>
      </c>
      <c r="AX223" s="230">
        <f t="shared" si="726"/>
        <v>0</v>
      </c>
      <c r="AY223" s="239"/>
      <c r="AZ223" s="239"/>
      <c r="BA223" s="239"/>
      <c r="BB223" s="239"/>
      <c r="BC223" s="250"/>
      <c r="BD223" s="239"/>
      <c r="BE223" s="239"/>
      <c r="BF223" s="422" t="s">
        <v>189</v>
      </c>
      <c r="BG223" s="423"/>
      <c r="BH223" s="211">
        <v>10</v>
      </c>
      <c r="BI223" s="212">
        <f>SUM(BI217,BI219,BI221)</f>
        <v>10.00057142857143</v>
      </c>
      <c r="BJ223" s="230">
        <f t="shared" si="727"/>
        <v>5.7142857142977732E-4</v>
      </c>
      <c r="BK223" s="239"/>
      <c r="BL223" s="239"/>
      <c r="BM223" s="250"/>
      <c r="BN223" s="422" t="s">
        <v>189</v>
      </c>
      <c r="BO223" s="423"/>
      <c r="BP223" s="211">
        <v>9.4000000000000021</v>
      </c>
      <c r="BQ223" s="212">
        <f>SUM(BQ217,BQ219,BQ221)</f>
        <v>9.9999999999999982</v>
      </c>
      <c r="BR223" s="230">
        <f t="shared" si="728"/>
        <v>0.59999999999999609</v>
      </c>
      <c r="BS223" s="245"/>
      <c r="BT223" s="245"/>
      <c r="BU223" s="245"/>
      <c r="BV223" s="245"/>
      <c r="BW223" s="250"/>
      <c r="BX223" s="422" t="s">
        <v>189</v>
      </c>
      <c r="BY223" s="423"/>
      <c r="BZ223" s="211">
        <v>8.2799999999999994</v>
      </c>
      <c r="CA223" s="212">
        <f>SUM(CA217,CA219,CA221)</f>
        <v>10</v>
      </c>
      <c r="CB223" s="230">
        <f t="shared" si="729"/>
        <v>1.7200000000000006</v>
      </c>
      <c r="CC223" s="245"/>
      <c r="CD223" s="245"/>
      <c r="CE223" s="245"/>
      <c r="CF223" s="245"/>
      <c r="CG223" s="250"/>
      <c r="CH223" s="422" t="s">
        <v>189</v>
      </c>
      <c r="CI223" s="423"/>
      <c r="CJ223" s="211">
        <v>10</v>
      </c>
      <c r="CK223" s="212">
        <f>SUM(CK217,CK219,CK221)</f>
        <v>10</v>
      </c>
      <c r="CL223" s="230">
        <f t="shared" si="734"/>
        <v>0</v>
      </c>
      <c r="CM223" s="245"/>
      <c r="CN223" s="245"/>
      <c r="CO223" s="245"/>
      <c r="CP223" s="245"/>
      <c r="CQ223" s="250"/>
      <c r="CR223" s="422" t="s">
        <v>189</v>
      </c>
      <c r="CS223" s="423"/>
      <c r="CT223" s="211">
        <v>7.0033333333333339</v>
      </c>
      <c r="CU223" s="212">
        <f>SUM(CU217,CU219,CU221)</f>
        <v>7</v>
      </c>
      <c r="CV223" s="230">
        <f t="shared" si="730"/>
        <v>-3.3333333333338544E-3</v>
      </c>
      <c r="CW223" s="245"/>
      <c r="CX223" s="250"/>
      <c r="CY223" s="422" t="s">
        <v>189</v>
      </c>
      <c r="CZ223" s="423"/>
      <c r="DA223" s="211">
        <v>6.8285714285714274</v>
      </c>
      <c r="DB223" s="212">
        <f>SUM(DB217,DB219,DB221)</f>
        <v>6.9965079365079355</v>
      </c>
      <c r="DC223" s="230">
        <f t="shared" si="731"/>
        <v>0.16793650793650805</v>
      </c>
      <c r="DD223" s="245"/>
      <c r="DE223" s="250"/>
      <c r="DF223" s="422" t="s">
        <v>189</v>
      </c>
      <c r="DG223" s="423"/>
      <c r="DH223" s="211">
        <v>5.2705882352941176</v>
      </c>
      <c r="DI223" s="212">
        <f>SUM(DI217,DI219,DI221)</f>
        <v>5.2705882352941176</v>
      </c>
      <c r="DJ223" s="230">
        <f t="shared" si="732"/>
        <v>0</v>
      </c>
      <c r="DK223" s="245"/>
      <c r="DL223" s="250"/>
      <c r="DM223" s="422" t="s">
        <v>189</v>
      </c>
      <c r="DN223" s="423"/>
      <c r="DO223" s="211"/>
      <c r="DP223" s="212">
        <f>SUM(DP217,DP219,DP221)</f>
        <v>0</v>
      </c>
      <c r="DQ223" s="230">
        <f t="shared" si="733"/>
        <v>0</v>
      </c>
      <c r="DR223" s="245"/>
      <c r="DS223" s="245"/>
      <c r="DT223" s="239"/>
      <c r="DU223" s="241"/>
      <c r="DV223" s="241"/>
      <c r="DW223" s="534"/>
      <c r="DX223" s="534"/>
      <c r="DY223" s="533"/>
      <c r="DZ223" s="533"/>
      <c r="EA223" s="239"/>
      <c r="EB223" s="239"/>
    </row>
    <row r="224" spans="1:132" ht="20.100000000000001" customHeight="1" x14ac:dyDescent="0.4">
      <c r="P224" s="422" t="s">
        <v>190</v>
      </c>
      <c r="Q224" s="423"/>
      <c r="R224" s="211">
        <v>6.875</v>
      </c>
      <c r="S224" s="214">
        <f>SUM(S218,S220,S222)</f>
        <v>10</v>
      </c>
      <c r="T224" s="230">
        <f t="shared" si="723"/>
        <v>3.125</v>
      </c>
      <c r="V224" s="239"/>
      <c r="W224" s="239"/>
      <c r="X224" s="239"/>
      <c r="Y224" s="250"/>
      <c r="Z224" s="422" t="s">
        <v>190</v>
      </c>
      <c r="AA224" s="423"/>
      <c r="AB224" s="211">
        <v>9.0476190476190457</v>
      </c>
      <c r="AC224" s="214">
        <f>SUM(AC218,AC220,AC222)</f>
        <v>10</v>
      </c>
      <c r="AD224" s="230">
        <f t="shared" si="724"/>
        <v>0.95238095238095433</v>
      </c>
      <c r="AE224" s="239"/>
      <c r="AF224" s="239"/>
      <c r="AG224" s="239"/>
      <c r="AH224" s="239"/>
      <c r="AI224" s="239"/>
      <c r="AJ224" s="422" t="s">
        <v>190</v>
      </c>
      <c r="AK224" s="423"/>
      <c r="AL224" s="211">
        <v>8.5746031746031743</v>
      </c>
      <c r="AM224" s="214">
        <f>SUM(AM218,AM220,AM222)</f>
        <v>10.003174603174603</v>
      </c>
      <c r="AN224" s="230">
        <f t="shared" si="725"/>
        <v>1.4285714285714288</v>
      </c>
      <c r="AO224" s="239"/>
      <c r="AP224" s="239"/>
      <c r="AQ224" s="239"/>
      <c r="AR224" s="239"/>
      <c r="AS224" s="250"/>
      <c r="AT224" s="422" t="s">
        <v>190</v>
      </c>
      <c r="AU224" s="423"/>
      <c r="AV224" s="211">
        <v>9.5015151515151519</v>
      </c>
      <c r="AW224" s="214">
        <f>SUM(AW218,AW220,AW222)</f>
        <v>9.9969696969696962</v>
      </c>
      <c r="AX224" s="230">
        <f t="shared" si="726"/>
        <v>0.49545454545454426</v>
      </c>
      <c r="AY224" s="239"/>
      <c r="AZ224" s="239"/>
      <c r="BA224" s="239"/>
      <c r="BB224" s="239"/>
      <c r="BC224" s="250"/>
      <c r="BD224" s="239"/>
      <c r="BE224" s="239"/>
      <c r="BF224" s="422" t="s">
        <v>190</v>
      </c>
      <c r="BG224" s="423"/>
      <c r="BH224" s="211">
        <v>9.0476190476190474</v>
      </c>
      <c r="BI224" s="214">
        <f>SUM(BI218,BI220,BI222)</f>
        <v>10</v>
      </c>
      <c r="BJ224" s="230">
        <f t="shared" si="727"/>
        <v>0.95238095238095255</v>
      </c>
      <c r="BK224" s="239"/>
      <c r="BL224" s="239"/>
      <c r="BM224" s="250"/>
      <c r="BN224" s="422" t="s">
        <v>190</v>
      </c>
      <c r="BO224" s="423"/>
      <c r="BP224" s="211">
        <v>8.1848484848484837</v>
      </c>
      <c r="BQ224" s="214">
        <f>SUM(BQ218,BQ220,BQ222)</f>
        <v>9.9969696969696979</v>
      </c>
      <c r="BR224" s="230">
        <f t="shared" si="728"/>
        <v>1.8121212121212142</v>
      </c>
      <c r="BS224" s="245"/>
      <c r="BT224" s="245"/>
      <c r="BU224" s="245"/>
      <c r="BV224" s="245"/>
      <c r="BW224" s="250"/>
      <c r="BX224" s="422" t="s">
        <v>190</v>
      </c>
      <c r="BY224" s="423"/>
      <c r="BZ224" s="211">
        <v>8.9966666666666661</v>
      </c>
      <c r="CA224" s="214">
        <f>SUM(CA218,CA220,CA222)</f>
        <v>9.9966666666666661</v>
      </c>
      <c r="CB224" s="230">
        <f t="shared" si="729"/>
        <v>1</v>
      </c>
      <c r="CC224" s="245"/>
      <c r="CD224" s="245"/>
      <c r="CE224" s="245"/>
      <c r="CF224" s="245"/>
      <c r="CG224" s="250"/>
      <c r="CH224" s="422" t="s">
        <v>190</v>
      </c>
      <c r="CI224" s="423"/>
      <c r="CJ224" s="211">
        <v>8.8888888888888893</v>
      </c>
      <c r="CK224" s="214">
        <f>SUM(CK218,CK220,CK222)</f>
        <v>10.003703703703701</v>
      </c>
      <c r="CL224" s="230">
        <f t="shared" si="734"/>
        <v>1.114814814814812</v>
      </c>
      <c r="CM224" s="245"/>
      <c r="CN224" s="245"/>
      <c r="CO224" s="245"/>
      <c r="CP224" s="245"/>
      <c r="CQ224" s="250"/>
      <c r="CR224" s="422" t="s">
        <v>190</v>
      </c>
      <c r="CS224" s="423"/>
      <c r="CT224" s="211">
        <v>5.9533333333333331</v>
      </c>
      <c r="CU224" s="214">
        <f>SUM(CU218,CU220,CU222)</f>
        <v>7.003333333333333</v>
      </c>
      <c r="CV224" s="230">
        <f t="shared" si="730"/>
        <v>1.0499999999999998</v>
      </c>
      <c r="CW224" s="245"/>
      <c r="CX224" s="250"/>
      <c r="CY224" s="422" t="s">
        <v>190</v>
      </c>
      <c r="CZ224" s="423"/>
      <c r="DA224" s="211">
        <v>6.3333333333333321</v>
      </c>
      <c r="DB224" s="214">
        <f>SUM(DB218,DB220,DB222)</f>
        <v>7</v>
      </c>
      <c r="DC224" s="230">
        <f t="shared" si="731"/>
        <v>0.66666666666666785</v>
      </c>
      <c r="DD224" s="245"/>
      <c r="DE224" s="250"/>
      <c r="DF224" s="422" t="s">
        <v>190</v>
      </c>
      <c r="DG224" s="423"/>
      <c r="DH224" s="211">
        <v>3.7058823529411762</v>
      </c>
      <c r="DI224" s="214">
        <f>SUM(DI218,DI220,DI222)</f>
        <v>6.1764705882352935</v>
      </c>
      <c r="DJ224" s="230">
        <f t="shared" si="732"/>
        <v>2.4705882352941173</v>
      </c>
      <c r="DK224" s="245"/>
      <c r="DL224" s="250"/>
      <c r="DM224" s="422" t="s">
        <v>190</v>
      </c>
      <c r="DN224" s="423"/>
      <c r="DO224" s="211"/>
      <c r="DP224" s="214">
        <f>SUM(DP218,DP220,DP222)</f>
        <v>0</v>
      </c>
      <c r="DQ224" s="230">
        <f t="shared" si="733"/>
        <v>0</v>
      </c>
      <c r="DR224" s="245"/>
      <c r="DS224" s="245"/>
      <c r="DT224" s="239"/>
      <c r="DU224" s="239"/>
      <c r="DV224" s="239"/>
      <c r="DW224" s="239"/>
      <c r="DX224" s="239"/>
      <c r="DY224" s="239"/>
      <c r="DZ224" s="239"/>
      <c r="EA224" s="239"/>
      <c r="EB224" s="239"/>
    </row>
    <row r="225" spans="14:132" ht="20.100000000000001" customHeight="1" x14ac:dyDescent="0.4">
      <c r="U225" s="239"/>
      <c r="V225" s="239"/>
      <c r="W225" s="239"/>
      <c r="X225" s="239"/>
      <c r="Y225" s="239"/>
      <c r="Z225" s="239"/>
      <c r="AA225" s="239"/>
      <c r="AB225" s="239"/>
      <c r="AC225" s="239"/>
      <c r="AD225" s="239"/>
      <c r="AE225" s="239"/>
      <c r="AF225" s="239"/>
      <c r="AG225" s="239"/>
      <c r="AH225" s="239"/>
      <c r="AI225" s="239"/>
      <c r="AJ225" s="239"/>
      <c r="AK225" s="239"/>
      <c r="AL225" s="239"/>
      <c r="AM225" s="239"/>
      <c r="AN225" s="239"/>
      <c r="AO225" s="239"/>
      <c r="AP225" s="239"/>
      <c r="AQ225" s="239"/>
      <c r="AR225" s="239"/>
      <c r="AS225" s="239"/>
      <c r="AT225" s="244"/>
      <c r="AU225" s="244"/>
      <c r="AV225" s="244"/>
      <c r="AW225" s="239"/>
      <c r="AX225" s="239"/>
      <c r="AY225" s="239"/>
      <c r="AZ225" s="239"/>
      <c r="BA225" s="239"/>
      <c r="BB225" s="239"/>
      <c r="BC225" s="245"/>
      <c r="BD225" s="239"/>
      <c r="BE225" s="239"/>
      <c r="BF225" s="245"/>
      <c r="BG225" s="245"/>
      <c r="BH225" s="245"/>
      <c r="BI225" s="245"/>
      <c r="BJ225" s="239"/>
      <c r="BK225" s="239"/>
      <c r="BL225" s="239"/>
      <c r="BM225" s="245"/>
      <c r="BN225" s="245"/>
      <c r="BO225" s="245"/>
      <c r="BP225" s="245"/>
      <c r="BQ225" s="245"/>
      <c r="BR225" s="245"/>
      <c r="BS225" s="245"/>
      <c r="BT225" s="245"/>
      <c r="BU225" s="245"/>
      <c r="BV225" s="245"/>
      <c r="BW225" s="245"/>
      <c r="BX225" s="245"/>
      <c r="BY225" s="245"/>
      <c r="BZ225" s="245"/>
      <c r="CA225" s="245"/>
      <c r="CB225" s="245"/>
      <c r="CC225" s="245"/>
      <c r="CD225" s="245"/>
      <c r="CE225" s="245"/>
      <c r="CF225" s="245"/>
      <c r="CG225" s="245"/>
      <c r="CH225" s="245"/>
      <c r="CI225" s="245"/>
      <c r="CJ225" s="245"/>
      <c r="CK225" s="245"/>
      <c r="CL225" s="245"/>
      <c r="CM225" s="245"/>
      <c r="CN225" s="245"/>
      <c r="CO225" s="245"/>
      <c r="CP225" s="245"/>
      <c r="CQ225" s="245"/>
      <c r="CR225" s="245"/>
      <c r="CS225" s="245"/>
      <c r="CT225" s="245"/>
      <c r="CU225" s="245"/>
      <c r="CV225" s="245"/>
      <c r="CW225" s="245"/>
      <c r="CX225" s="239"/>
      <c r="CY225" s="239"/>
      <c r="CZ225" s="239"/>
      <c r="DA225" s="239"/>
      <c r="DB225" s="239"/>
      <c r="DC225" s="245"/>
      <c r="DD225" s="245"/>
      <c r="DE225" s="239"/>
      <c r="DF225" s="239"/>
      <c r="DG225" s="239"/>
      <c r="DH225" s="239"/>
      <c r="DI225" s="239"/>
      <c r="DJ225" s="245"/>
      <c r="DK225" s="245"/>
      <c r="DL225" s="239"/>
      <c r="DM225" s="239"/>
      <c r="DN225" s="239"/>
      <c r="DO225" s="239"/>
      <c r="DP225" s="239"/>
      <c r="DQ225" s="245"/>
      <c r="DR225" s="245"/>
      <c r="DS225" s="245"/>
      <c r="DT225" s="239"/>
      <c r="DU225" s="239"/>
      <c r="DV225" s="244"/>
      <c r="DW225" s="239"/>
      <c r="DX225" s="239"/>
      <c r="DY225" s="239"/>
      <c r="DZ225" s="239"/>
      <c r="EA225" s="239"/>
      <c r="EB225" s="239"/>
    </row>
    <row r="226" spans="14:132" ht="20.100000000000001" customHeight="1" x14ac:dyDescent="0.4">
      <c r="O226" s="201"/>
      <c r="P226" s="426" t="s">
        <v>470</v>
      </c>
      <c r="Q226" s="427"/>
      <c r="R226" s="206" t="s">
        <v>180</v>
      </c>
      <c r="S226" s="207" t="s">
        <v>181</v>
      </c>
      <c r="T226" s="208" t="s">
        <v>182</v>
      </c>
      <c r="U226" s="242"/>
      <c r="V226" s="242"/>
      <c r="W226" s="242"/>
      <c r="X226" s="239"/>
      <c r="Y226" s="239"/>
      <c r="Z226" s="426" t="s">
        <v>522</v>
      </c>
      <c r="AA226" s="427"/>
      <c r="AB226" s="206" t="s">
        <v>180</v>
      </c>
      <c r="AC226" s="207" t="s">
        <v>181</v>
      </c>
      <c r="AD226" s="208" t="s">
        <v>182</v>
      </c>
      <c r="AE226" s="248"/>
      <c r="AF226" s="248"/>
      <c r="AG226" s="248"/>
      <c r="AH226" s="249"/>
      <c r="AI226" s="248"/>
      <c r="AJ226" s="426" t="s">
        <v>555</v>
      </c>
      <c r="AK226" s="427"/>
      <c r="AL226" s="206" t="s">
        <v>180</v>
      </c>
      <c r="AM226" s="207" t="s">
        <v>181</v>
      </c>
      <c r="AN226" s="208" t="s">
        <v>182</v>
      </c>
      <c r="AO226" s="248"/>
      <c r="AP226" s="248"/>
      <c r="AQ226" s="248"/>
      <c r="AR226" s="249"/>
      <c r="AS226" s="245"/>
      <c r="AT226" s="426" t="s">
        <v>622</v>
      </c>
      <c r="AU226" s="430"/>
      <c r="AV226" s="206" t="s">
        <v>180</v>
      </c>
      <c r="AW226" s="207" t="s">
        <v>181</v>
      </c>
      <c r="AX226" s="208" t="s">
        <v>182</v>
      </c>
      <c r="AY226" s="248"/>
      <c r="AZ226" s="248"/>
      <c r="BA226" s="248"/>
      <c r="BB226" s="249"/>
      <c r="BC226" s="245"/>
      <c r="BD226" s="249"/>
      <c r="BE226" s="249"/>
      <c r="BF226" s="426" t="s">
        <v>644</v>
      </c>
      <c r="BG226" s="427"/>
      <c r="BH226" s="206" t="s">
        <v>180</v>
      </c>
      <c r="BI226" s="207" t="s">
        <v>181</v>
      </c>
      <c r="BJ226" s="208" t="s">
        <v>182</v>
      </c>
      <c r="BK226" s="248"/>
      <c r="BL226" s="249"/>
      <c r="BM226" s="245"/>
      <c r="BN226" s="426" t="s">
        <v>687</v>
      </c>
      <c r="BO226" s="427"/>
      <c r="BP226" s="206" t="s">
        <v>180</v>
      </c>
      <c r="BQ226" s="207" t="s">
        <v>181</v>
      </c>
      <c r="BR226" s="208" t="s">
        <v>182</v>
      </c>
      <c r="BS226" s="248"/>
      <c r="BT226" s="248"/>
      <c r="BU226" s="248"/>
      <c r="BV226" s="249"/>
      <c r="BW226" s="245"/>
      <c r="BX226" s="426" t="s">
        <v>742</v>
      </c>
      <c r="BY226" s="427"/>
      <c r="BZ226" s="206" t="s">
        <v>180</v>
      </c>
      <c r="CA226" s="207" t="s">
        <v>181</v>
      </c>
      <c r="CB226" s="208" t="s">
        <v>182</v>
      </c>
      <c r="CC226" s="248"/>
      <c r="CD226" s="248"/>
      <c r="CE226" s="248"/>
      <c r="CF226" s="249"/>
      <c r="CG226" s="245"/>
      <c r="CH226" s="426" t="s">
        <v>754</v>
      </c>
      <c r="CI226" s="427"/>
      <c r="CJ226" s="206" t="s">
        <v>180</v>
      </c>
      <c r="CK226" s="207" t="s">
        <v>181</v>
      </c>
      <c r="CL226" s="208" t="s">
        <v>182</v>
      </c>
      <c r="CM226" s="248"/>
      <c r="CN226" s="248"/>
      <c r="CO226" s="248"/>
      <c r="CP226" s="249"/>
      <c r="CQ226" s="245"/>
      <c r="CR226" s="426" t="s">
        <v>810</v>
      </c>
      <c r="CS226" s="427"/>
      <c r="CT226" s="206" t="s">
        <v>180</v>
      </c>
      <c r="CU226" s="207" t="s">
        <v>181</v>
      </c>
      <c r="CV226" s="208" t="s">
        <v>182</v>
      </c>
      <c r="CW226" s="248"/>
      <c r="CX226" s="245"/>
      <c r="CY226" s="426" t="s">
        <v>869</v>
      </c>
      <c r="CZ226" s="427"/>
      <c r="DA226" s="206" t="s">
        <v>180</v>
      </c>
      <c r="DB226" s="207" t="s">
        <v>181</v>
      </c>
      <c r="DC226" s="208" t="s">
        <v>182</v>
      </c>
      <c r="DD226" s="249"/>
      <c r="DE226" s="239"/>
      <c r="DF226" s="426" t="s">
        <v>919</v>
      </c>
      <c r="DG226" s="427"/>
      <c r="DH226" s="206" t="s">
        <v>180</v>
      </c>
      <c r="DI226" s="207" t="s">
        <v>181</v>
      </c>
      <c r="DJ226" s="208" t="s">
        <v>182</v>
      </c>
      <c r="DK226" s="248"/>
      <c r="DL226" s="239"/>
      <c r="DM226" s="239"/>
      <c r="DN226" s="239"/>
      <c r="DO226" s="239"/>
      <c r="DP226" s="239"/>
      <c r="DQ226" s="248"/>
      <c r="DR226" s="248"/>
      <c r="DS226" s="249"/>
      <c r="DT226" s="239"/>
      <c r="DU226" s="240"/>
      <c r="DV226" s="239"/>
      <c r="DW226" s="242"/>
      <c r="DX226" s="239"/>
      <c r="DY226" s="243"/>
      <c r="DZ226" s="243"/>
      <c r="EA226" s="239"/>
      <c r="EB226" s="239"/>
    </row>
    <row r="227" spans="14:132" ht="20.100000000000001" customHeight="1" x14ac:dyDescent="0.4">
      <c r="O227" s="201"/>
      <c r="P227" s="422" t="s">
        <v>183</v>
      </c>
      <c r="Q227" s="423"/>
      <c r="R227" s="211">
        <v>5.833333333333333</v>
      </c>
      <c r="S227" s="211">
        <v>5.833333333333333</v>
      </c>
      <c r="T227" s="230">
        <v>0</v>
      </c>
      <c r="U227" s="439"/>
      <c r="V227" s="439"/>
      <c r="W227" s="439"/>
      <c r="X227" s="440"/>
      <c r="Y227" s="239"/>
      <c r="Z227" s="422" t="s">
        <v>183</v>
      </c>
      <c r="AA227" s="423"/>
      <c r="AB227" s="211">
        <v>3.6825396825396823</v>
      </c>
      <c r="AC227" s="211">
        <v>7.1873015873015884</v>
      </c>
      <c r="AD227" s="230">
        <v>3.5047619047619061</v>
      </c>
      <c r="AE227" s="134"/>
      <c r="AF227" s="134"/>
      <c r="AG227" s="134"/>
      <c r="AH227" s="234"/>
      <c r="AI227" s="134"/>
      <c r="AJ227" s="422" t="s">
        <v>183</v>
      </c>
      <c r="AK227" s="423"/>
      <c r="AL227" s="211">
        <v>4.8095238095238093</v>
      </c>
      <c r="AM227" s="211">
        <v>6.7142857142857135</v>
      </c>
      <c r="AN227" s="230">
        <v>1.9047619047619042</v>
      </c>
      <c r="AO227" s="134"/>
      <c r="AP227" s="134"/>
      <c r="AQ227" s="134"/>
      <c r="AR227" s="234"/>
      <c r="AS227" s="245"/>
      <c r="AT227" s="422" t="s">
        <v>183</v>
      </c>
      <c r="AU227" s="423"/>
      <c r="AV227" s="211">
        <v>5.1818181818181825</v>
      </c>
      <c r="AW227" s="211">
        <v>7.3939393939393945</v>
      </c>
      <c r="AX227" s="230">
        <v>2.8181818181818175</v>
      </c>
      <c r="AY227" s="134"/>
      <c r="AZ227" s="134"/>
      <c r="BA227" s="134"/>
      <c r="BB227" s="234"/>
      <c r="BC227" s="245"/>
      <c r="BD227" s="245"/>
      <c r="BE227" s="245"/>
      <c r="BF227" s="422" t="s">
        <v>183</v>
      </c>
      <c r="BG227" s="423"/>
      <c r="BH227" s="211">
        <v>7.8730158730158717</v>
      </c>
      <c r="BI227" s="211">
        <v>8.4380952380952383</v>
      </c>
      <c r="BJ227" s="230">
        <v>0.56507936507936662</v>
      </c>
      <c r="BK227" s="134"/>
      <c r="BL227" s="234"/>
      <c r="BM227" s="245"/>
      <c r="BN227" s="422" t="s">
        <v>183</v>
      </c>
      <c r="BO227" s="423"/>
      <c r="BP227" s="211">
        <v>6.9030303030303042</v>
      </c>
      <c r="BQ227" s="211">
        <v>8.4787878787878803</v>
      </c>
      <c r="BR227" s="230">
        <v>1.5757575757575761</v>
      </c>
      <c r="BS227" s="134"/>
      <c r="BT227" s="134"/>
      <c r="BU227" s="134"/>
      <c r="BV227" s="234"/>
      <c r="BW227" s="245"/>
      <c r="BX227" s="422" t="s">
        <v>183</v>
      </c>
      <c r="BY227" s="423"/>
      <c r="BZ227" s="211">
        <v>5.2</v>
      </c>
      <c r="CA227" s="211">
        <v>7.2666666666666666</v>
      </c>
      <c r="CB227" s="230">
        <v>2.0666666666666664</v>
      </c>
      <c r="CC227" s="134"/>
      <c r="CD227" s="134"/>
      <c r="CE227" s="134"/>
      <c r="CF227" s="234"/>
      <c r="CG227" s="245"/>
      <c r="CH227" s="422" t="s">
        <v>183</v>
      </c>
      <c r="CI227" s="423"/>
      <c r="CJ227" s="211">
        <v>2.2962962962962967</v>
      </c>
      <c r="CK227" s="211">
        <v>3</v>
      </c>
      <c r="CL227" s="230">
        <v>0.70370370370370328</v>
      </c>
      <c r="CM227" s="134"/>
      <c r="CN227" s="134"/>
      <c r="CO227" s="134"/>
      <c r="CP227" s="234"/>
      <c r="CQ227" s="245"/>
      <c r="CR227" s="422" t="s">
        <v>183</v>
      </c>
      <c r="CS227" s="423"/>
      <c r="CT227" s="211">
        <v>4.5333333333333332</v>
      </c>
      <c r="CU227" s="211">
        <v>4.8866666666666667</v>
      </c>
      <c r="CV227" s="230">
        <v>0.3533333333333335</v>
      </c>
      <c r="CW227" s="134"/>
      <c r="CX227" s="245"/>
      <c r="CY227" s="422" t="s">
        <v>183</v>
      </c>
      <c r="CZ227" s="423"/>
      <c r="DA227" s="211">
        <v>3.0158730158730158</v>
      </c>
      <c r="DB227" s="211">
        <v>4.2222222222222223</v>
      </c>
      <c r="DC227" s="230">
        <v>1.2063492063492065</v>
      </c>
      <c r="DD227" s="234"/>
      <c r="DE227" s="239"/>
      <c r="DF227" s="422" t="s">
        <v>183</v>
      </c>
      <c r="DG227" s="423"/>
      <c r="DH227" s="211">
        <v>3.27843137254902</v>
      </c>
      <c r="DI227" s="211">
        <v>3.27843137254902</v>
      </c>
      <c r="DJ227" s="230">
        <v>0</v>
      </c>
      <c r="DK227" s="134"/>
      <c r="DL227" s="239"/>
      <c r="DM227" s="239"/>
      <c r="DN227" s="239"/>
      <c r="DO227" s="239"/>
      <c r="DP227" s="239"/>
      <c r="DQ227" s="134"/>
      <c r="DR227" s="134"/>
      <c r="DS227" s="234"/>
      <c r="DT227" s="239"/>
      <c r="DU227" s="239"/>
      <c r="DV227" s="241"/>
      <c r="DW227" s="439"/>
      <c r="DX227" s="440"/>
      <c r="DY227" s="533"/>
      <c r="DZ227" s="533"/>
      <c r="EA227" s="239"/>
      <c r="EB227" s="239"/>
    </row>
    <row r="228" spans="14:132" ht="20.100000000000001" customHeight="1" x14ac:dyDescent="0.4">
      <c r="O228" s="201"/>
      <c r="P228" s="422" t="s">
        <v>184</v>
      </c>
      <c r="Q228" s="423"/>
      <c r="R228" s="211">
        <v>3.9374999999999996</v>
      </c>
      <c r="S228" s="211">
        <v>4.958333333333333</v>
      </c>
      <c r="T228" s="230">
        <v>1.0208333333333335</v>
      </c>
      <c r="U228" s="534"/>
      <c r="V228" s="534"/>
      <c r="W228" s="534"/>
      <c r="X228" s="534"/>
      <c r="Y228" s="239"/>
      <c r="Z228" s="422" t="s">
        <v>184</v>
      </c>
      <c r="AA228" s="423"/>
      <c r="AB228" s="211">
        <v>3.7238095238095239</v>
      </c>
      <c r="AC228" s="211">
        <v>5.3746031746031733</v>
      </c>
      <c r="AD228" s="230">
        <v>1.6507936507936494</v>
      </c>
      <c r="AE228" s="134"/>
      <c r="AF228" s="134"/>
      <c r="AG228" s="134"/>
      <c r="AH228" s="234"/>
      <c r="AI228" s="134"/>
      <c r="AJ228" s="422" t="s">
        <v>184</v>
      </c>
      <c r="AK228" s="423"/>
      <c r="AL228" s="211">
        <v>4.3460317460317457</v>
      </c>
      <c r="AM228" s="211">
        <v>6.0158730158730167</v>
      </c>
      <c r="AN228" s="230">
        <v>1.669841269841271</v>
      </c>
      <c r="AO228" s="134"/>
      <c r="AP228" s="134"/>
      <c r="AQ228" s="134"/>
      <c r="AR228" s="234"/>
      <c r="AS228" s="245"/>
      <c r="AT228" s="422" t="s">
        <v>184</v>
      </c>
      <c r="AU228" s="423"/>
      <c r="AV228" s="211">
        <v>5.1515151515151514</v>
      </c>
      <c r="AW228" s="211">
        <v>6.8363636363636369</v>
      </c>
      <c r="AX228" s="230">
        <v>1.6848484848484855</v>
      </c>
      <c r="AY228" s="134"/>
      <c r="AZ228" s="134"/>
      <c r="BA228" s="134"/>
      <c r="BB228" s="234"/>
      <c r="BC228" s="245"/>
      <c r="BD228" s="245"/>
      <c r="BE228" s="245"/>
      <c r="BF228" s="422" t="s">
        <v>184</v>
      </c>
      <c r="BG228" s="423"/>
      <c r="BH228" s="211">
        <v>5.1777777777777771</v>
      </c>
      <c r="BI228" s="211">
        <v>6.8888888888888884</v>
      </c>
      <c r="BJ228" s="230">
        <v>1.7111111111111112</v>
      </c>
      <c r="BK228" s="134"/>
      <c r="BL228" s="234"/>
      <c r="BM228" s="245"/>
      <c r="BN228" s="422" t="s">
        <v>184</v>
      </c>
      <c r="BO228" s="423"/>
      <c r="BP228" s="211">
        <v>5.1378787878787877</v>
      </c>
      <c r="BQ228" s="211">
        <v>7.1318181818181801</v>
      </c>
      <c r="BR228" s="230">
        <v>1.9939393939393923</v>
      </c>
      <c r="BS228" s="134"/>
      <c r="BT228" s="134"/>
      <c r="BU228" s="134"/>
      <c r="BV228" s="234"/>
      <c r="BW228" s="245"/>
      <c r="BX228" s="422" t="s">
        <v>184</v>
      </c>
      <c r="BY228" s="423"/>
      <c r="BZ228" s="211">
        <v>4.8833333333333337</v>
      </c>
      <c r="CA228" s="211">
        <v>7.086666666666666</v>
      </c>
      <c r="CB228" s="230">
        <v>2.2033333333333323</v>
      </c>
      <c r="CC228" s="134"/>
      <c r="CD228" s="134"/>
      <c r="CE228" s="134"/>
      <c r="CF228" s="234"/>
      <c r="CG228" s="245"/>
      <c r="CH228" s="422" t="s">
        <v>184</v>
      </c>
      <c r="CI228" s="423"/>
      <c r="CJ228" s="211">
        <v>1.3222222222222222</v>
      </c>
      <c r="CK228" s="211">
        <v>2.5740740740740735</v>
      </c>
      <c r="CL228" s="230">
        <v>1.2518518518518513</v>
      </c>
      <c r="CM228" s="134"/>
      <c r="CN228" s="134"/>
      <c r="CO228" s="134"/>
      <c r="CP228" s="234"/>
      <c r="CQ228" s="245"/>
      <c r="CR228" s="422" t="s">
        <v>184</v>
      </c>
      <c r="CS228" s="423"/>
      <c r="CT228" s="211">
        <v>3.293333333333333</v>
      </c>
      <c r="CU228" s="211">
        <v>4.16</v>
      </c>
      <c r="CV228" s="230">
        <v>0.86666666666666714</v>
      </c>
      <c r="CW228" s="134"/>
      <c r="CX228" s="245"/>
      <c r="CY228" s="422" t="s">
        <v>184</v>
      </c>
      <c r="CZ228" s="423"/>
      <c r="DA228" s="211">
        <v>2.7555555555555555</v>
      </c>
      <c r="DB228" s="211">
        <v>3.9174603174603169</v>
      </c>
      <c r="DC228" s="230">
        <v>1.1619047619047613</v>
      </c>
      <c r="DD228" s="234"/>
      <c r="DE228" s="239"/>
      <c r="DF228" s="422" t="s">
        <v>184</v>
      </c>
      <c r="DG228" s="423"/>
      <c r="DH228" s="211">
        <v>2.5176470588235293</v>
      </c>
      <c r="DI228" s="211">
        <v>2.7921568627450979</v>
      </c>
      <c r="DJ228" s="230">
        <v>0.27450980392156854</v>
      </c>
      <c r="DK228" s="134"/>
      <c r="DL228" s="239"/>
      <c r="DM228" s="239"/>
      <c r="DN228" s="239"/>
      <c r="DO228" s="239"/>
      <c r="DP228" s="239"/>
      <c r="DQ228" s="134"/>
      <c r="DR228" s="134"/>
      <c r="DS228" s="234"/>
      <c r="DT228" s="239"/>
      <c r="DU228" s="241"/>
      <c r="DV228" s="241"/>
      <c r="DW228" s="534"/>
      <c r="DX228" s="534"/>
      <c r="DY228" s="533"/>
      <c r="DZ228" s="533"/>
      <c r="EA228" s="239"/>
      <c r="EB228" s="239"/>
    </row>
    <row r="229" spans="14:132" ht="20.100000000000001" customHeight="1" x14ac:dyDescent="0.4">
      <c r="O229" s="201"/>
      <c r="P229" s="424" t="s">
        <v>185</v>
      </c>
      <c r="Q229" s="425"/>
      <c r="R229" s="211">
        <v>0</v>
      </c>
      <c r="S229" s="212">
        <v>0</v>
      </c>
      <c r="T229" s="230">
        <v>0</v>
      </c>
      <c r="U229" s="239"/>
      <c r="V229" s="239"/>
      <c r="W229" s="239"/>
      <c r="X229" s="239"/>
      <c r="Y229" s="239"/>
      <c r="Z229" s="424" t="s">
        <v>185</v>
      </c>
      <c r="AA229" s="425"/>
      <c r="AB229" s="211">
        <v>2.1269841269841265</v>
      </c>
      <c r="AC229" s="212">
        <v>2.1269841269841265</v>
      </c>
      <c r="AD229" s="230">
        <v>0</v>
      </c>
      <c r="AE229" s="134"/>
      <c r="AF229" s="134"/>
      <c r="AG229" s="134"/>
      <c r="AH229" s="234"/>
      <c r="AI229" s="134"/>
      <c r="AJ229" s="424" t="s">
        <v>185</v>
      </c>
      <c r="AK229" s="425"/>
      <c r="AL229" s="211">
        <v>1.4603174603174598</v>
      </c>
      <c r="AM229" s="212">
        <v>1.4603174603174598</v>
      </c>
      <c r="AN229" s="230">
        <v>0</v>
      </c>
      <c r="AO229" s="134"/>
      <c r="AP229" s="134"/>
      <c r="AQ229" s="134"/>
      <c r="AR229" s="234"/>
      <c r="AS229" s="245"/>
      <c r="AT229" s="424" t="s">
        <v>185</v>
      </c>
      <c r="AU229" s="425"/>
      <c r="AV229" s="211">
        <v>1.5212121212121206</v>
      </c>
      <c r="AW229" s="212">
        <v>1.6060606060606055</v>
      </c>
      <c r="AX229" s="230">
        <v>0</v>
      </c>
      <c r="AY229" s="134"/>
      <c r="AZ229" s="134"/>
      <c r="BA229" s="134"/>
      <c r="BB229" s="234"/>
      <c r="BC229" s="245"/>
      <c r="BD229" s="245"/>
      <c r="BE229" s="245"/>
      <c r="BF229" s="424" t="s">
        <v>185</v>
      </c>
      <c r="BG229" s="425"/>
      <c r="BH229" s="211">
        <v>1.5619047619047615</v>
      </c>
      <c r="BI229" s="212">
        <v>1.5619047619047615</v>
      </c>
      <c r="BJ229" s="230">
        <v>0</v>
      </c>
      <c r="BK229" s="134"/>
      <c r="BL229" s="234"/>
      <c r="BM229" s="245"/>
      <c r="BN229" s="424" t="s">
        <v>185</v>
      </c>
      <c r="BO229" s="425"/>
      <c r="BP229" s="211">
        <v>0.92121212121212159</v>
      </c>
      <c r="BQ229" s="212">
        <v>0.92121212121212159</v>
      </c>
      <c r="BR229" s="230">
        <v>0</v>
      </c>
      <c r="BS229" s="134"/>
      <c r="BT229" s="134"/>
      <c r="BU229" s="134"/>
      <c r="BV229" s="234"/>
      <c r="BW229" s="245"/>
      <c r="BX229" s="424" t="s">
        <v>185</v>
      </c>
      <c r="BY229" s="425"/>
      <c r="BZ229" s="211">
        <v>1.0133333333333334</v>
      </c>
      <c r="CA229" s="212">
        <v>1.0133333333333334</v>
      </c>
      <c r="CB229" s="230">
        <v>0</v>
      </c>
      <c r="CC229" s="134"/>
      <c r="CD229" s="134"/>
      <c r="CE229" s="134"/>
      <c r="CF229" s="234"/>
      <c r="CG229" s="245"/>
      <c r="CH229" s="424" t="s">
        <v>185</v>
      </c>
      <c r="CI229" s="425"/>
      <c r="CJ229" s="211">
        <v>1.6148148148148147</v>
      </c>
      <c r="CK229" s="212">
        <v>1.6148148148148147</v>
      </c>
      <c r="CL229" s="230">
        <v>0</v>
      </c>
      <c r="CM229" s="134"/>
      <c r="CN229" s="134"/>
      <c r="CO229" s="134"/>
      <c r="CP229" s="234"/>
      <c r="CQ229" s="245"/>
      <c r="CR229" s="424" t="s">
        <v>185</v>
      </c>
      <c r="CS229" s="425"/>
      <c r="CT229" s="211">
        <v>0.85666666666666669</v>
      </c>
      <c r="CU229" s="212">
        <v>0.75</v>
      </c>
      <c r="CV229" s="230">
        <v>-0.10666666666666669</v>
      </c>
      <c r="CW229" s="134"/>
      <c r="CX229" s="245"/>
      <c r="CY229" s="424" t="s">
        <v>185</v>
      </c>
      <c r="CZ229" s="425"/>
      <c r="DA229" s="211">
        <v>0.95555555555555527</v>
      </c>
      <c r="DB229" s="212">
        <v>0.95555555555555527</v>
      </c>
      <c r="DC229" s="230">
        <v>0</v>
      </c>
      <c r="DD229" s="234"/>
      <c r="DE229" s="239"/>
      <c r="DF229" s="424" t="s">
        <v>185</v>
      </c>
      <c r="DG229" s="425"/>
      <c r="DH229" s="211">
        <v>1.4431372549019608</v>
      </c>
      <c r="DI229" s="212">
        <v>1.4431372549019608</v>
      </c>
      <c r="DJ229" s="230">
        <v>0</v>
      </c>
      <c r="DK229" s="134"/>
      <c r="DL229" s="239"/>
      <c r="DM229" s="239"/>
      <c r="DN229" s="239"/>
      <c r="DO229" s="239"/>
      <c r="DP229" s="239"/>
      <c r="DQ229" s="134"/>
      <c r="DR229" s="134"/>
      <c r="DS229" s="234"/>
      <c r="DT229" s="239"/>
      <c r="DU229" s="241"/>
      <c r="DV229" s="239"/>
      <c r="DW229" s="239"/>
      <c r="DX229" s="239"/>
      <c r="DY229" s="239"/>
      <c r="DZ229" s="239"/>
      <c r="EA229" s="239"/>
      <c r="EB229" s="239"/>
    </row>
    <row r="230" spans="14:132" ht="20.100000000000001" customHeight="1" x14ac:dyDescent="0.4">
      <c r="O230" s="201"/>
      <c r="P230" s="424" t="s">
        <v>186</v>
      </c>
      <c r="Q230" s="425"/>
      <c r="R230" s="211">
        <v>0.92499999999999993</v>
      </c>
      <c r="S230" s="212">
        <v>1.125</v>
      </c>
      <c r="T230" s="230">
        <v>0.20000000000000007</v>
      </c>
      <c r="U230" s="239"/>
      <c r="V230" s="239"/>
      <c r="W230" s="239"/>
      <c r="X230" s="239"/>
      <c r="Y230" s="239"/>
      <c r="Z230" s="424" t="s">
        <v>186</v>
      </c>
      <c r="AA230" s="425"/>
      <c r="AB230" s="211">
        <v>1.2031746031746033</v>
      </c>
      <c r="AC230" s="212">
        <v>1.5777777777777775</v>
      </c>
      <c r="AD230" s="230">
        <v>0.37460317460317416</v>
      </c>
      <c r="AE230" s="134"/>
      <c r="AF230" s="134"/>
      <c r="AG230" s="134"/>
      <c r="AH230" s="234"/>
      <c r="AI230" s="239"/>
      <c r="AJ230" s="424" t="s">
        <v>186</v>
      </c>
      <c r="AK230" s="425"/>
      <c r="AL230" s="211">
        <v>0.96825396825396859</v>
      </c>
      <c r="AM230" s="212">
        <v>1.3396825396825396</v>
      </c>
      <c r="AN230" s="230">
        <v>0.371428571428571</v>
      </c>
      <c r="AO230" s="134"/>
      <c r="AP230" s="134"/>
      <c r="AQ230" s="134"/>
      <c r="AR230" s="234"/>
      <c r="AS230" s="245"/>
      <c r="AT230" s="424" t="s">
        <v>186</v>
      </c>
      <c r="AU230" s="425"/>
      <c r="AV230" s="211">
        <v>1.1000000000000001</v>
      </c>
      <c r="AW230" s="212">
        <v>1.4439393939393936</v>
      </c>
      <c r="AX230" s="230">
        <v>0.34393939393939355</v>
      </c>
      <c r="AY230" s="134"/>
      <c r="AZ230" s="134"/>
      <c r="BA230" s="134"/>
      <c r="BB230" s="234"/>
      <c r="BC230" s="245"/>
      <c r="BD230" s="245"/>
      <c r="BE230" s="245"/>
      <c r="BF230" s="424" t="s">
        <v>186</v>
      </c>
      <c r="BG230" s="425"/>
      <c r="BH230" s="211">
        <v>0.95873015873015843</v>
      </c>
      <c r="BI230" s="212">
        <v>1.2222222222222221</v>
      </c>
      <c r="BJ230" s="230">
        <v>0.26349206349206367</v>
      </c>
      <c r="BK230" s="134"/>
      <c r="BL230" s="234"/>
      <c r="BM230" s="245"/>
      <c r="BN230" s="424" t="s">
        <v>186</v>
      </c>
      <c r="BO230" s="425"/>
      <c r="BP230" s="211">
        <v>0.71060606060606046</v>
      </c>
      <c r="BQ230" s="212">
        <v>0.93181818181818188</v>
      </c>
      <c r="BR230" s="230">
        <v>0.22121212121212142</v>
      </c>
      <c r="BS230" s="134"/>
      <c r="BT230" s="134"/>
      <c r="BU230" s="134"/>
      <c r="BV230" s="234"/>
      <c r="BW230" s="245"/>
      <c r="BX230" s="424" t="s">
        <v>186</v>
      </c>
      <c r="BY230" s="425"/>
      <c r="BZ230" s="211">
        <v>0.74</v>
      </c>
      <c r="CA230" s="212">
        <v>1.0366666666666668</v>
      </c>
      <c r="CB230" s="230">
        <v>0.29666666666666686</v>
      </c>
      <c r="CC230" s="134"/>
      <c r="CD230" s="134"/>
      <c r="CE230" s="134"/>
      <c r="CF230" s="234"/>
      <c r="CG230" s="245"/>
      <c r="CH230" s="424" t="s">
        <v>186</v>
      </c>
      <c r="CI230" s="425"/>
      <c r="CJ230" s="211">
        <v>0.78148148148148133</v>
      </c>
      <c r="CK230" s="212">
        <v>1.0777777777777779</v>
      </c>
      <c r="CL230" s="230">
        <v>0.29629629629629661</v>
      </c>
      <c r="CM230" s="134"/>
      <c r="CN230" s="134"/>
      <c r="CO230" s="134"/>
      <c r="CP230" s="234"/>
      <c r="CQ230" s="245"/>
      <c r="CR230" s="424" t="s">
        <v>186</v>
      </c>
      <c r="CS230" s="425"/>
      <c r="CT230" s="211">
        <v>0.51333333333333331</v>
      </c>
      <c r="CU230" s="212">
        <v>0.62666666666666659</v>
      </c>
      <c r="CV230" s="230">
        <v>0.11333333333333329</v>
      </c>
      <c r="CW230" s="134"/>
      <c r="CX230" s="245"/>
      <c r="CY230" s="424" t="s">
        <v>186</v>
      </c>
      <c r="CZ230" s="425"/>
      <c r="DA230" s="211">
        <v>0.61587301587301602</v>
      </c>
      <c r="DB230" s="212">
        <v>0.79682539682539666</v>
      </c>
      <c r="DC230" s="230">
        <v>0.18095238095238064</v>
      </c>
      <c r="DD230" s="234"/>
      <c r="DE230" s="239"/>
      <c r="DF230" s="424" t="s">
        <v>186</v>
      </c>
      <c r="DG230" s="425"/>
      <c r="DH230" s="211">
        <v>0.43921568627450974</v>
      </c>
      <c r="DI230" s="212">
        <v>0.49411764705882344</v>
      </c>
      <c r="DJ230" s="230">
        <v>5.4901960784313697E-2</v>
      </c>
      <c r="DK230" s="134"/>
      <c r="DL230" s="239"/>
      <c r="DM230" s="239"/>
      <c r="DN230" s="239"/>
      <c r="DO230" s="239"/>
      <c r="DP230" s="239"/>
      <c r="DQ230" s="134"/>
      <c r="DR230" s="134"/>
      <c r="DS230" s="234"/>
      <c r="DT230" s="239"/>
      <c r="DU230" s="241"/>
      <c r="DV230" s="239"/>
      <c r="DW230" s="239"/>
      <c r="DX230" s="239"/>
      <c r="DY230" s="239"/>
      <c r="DZ230" s="239"/>
      <c r="EA230" s="239"/>
      <c r="EB230" s="239"/>
    </row>
    <row r="231" spans="14:132" ht="20.100000000000001" customHeight="1" x14ac:dyDescent="0.4">
      <c r="O231" s="201"/>
      <c r="P231" s="422" t="s">
        <v>187</v>
      </c>
      <c r="Q231" s="423"/>
      <c r="R231" s="211">
        <v>0</v>
      </c>
      <c r="S231" s="213">
        <v>0</v>
      </c>
      <c r="T231" s="230">
        <v>0</v>
      </c>
      <c r="U231" s="239"/>
      <c r="V231" s="239"/>
      <c r="W231" s="239"/>
      <c r="X231" s="239"/>
      <c r="Y231" s="239"/>
      <c r="Z231" s="422" t="s">
        <v>187</v>
      </c>
      <c r="AA231" s="423"/>
      <c r="AB231" s="211">
        <v>2.9841269841269842</v>
      </c>
      <c r="AC231" s="213">
        <v>2.9841269841269842</v>
      </c>
      <c r="AD231" s="230">
        <v>0</v>
      </c>
      <c r="AE231" s="138"/>
      <c r="AF231" s="138"/>
      <c r="AG231" s="138"/>
      <c r="AH231" s="234"/>
      <c r="AI231" s="239"/>
      <c r="AJ231" s="422" t="s">
        <v>187</v>
      </c>
      <c r="AK231" s="423"/>
      <c r="AL231" s="211">
        <v>2.6666666666666665</v>
      </c>
      <c r="AM231" s="213">
        <v>2.6666666666666665</v>
      </c>
      <c r="AN231" s="230">
        <v>0</v>
      </c>
      <c r="AO231" s="138"/>
      <c r="AP231" s="138"/>
      <c r="AQ231" s="138"/>
      <c r="AR231" s="234"/>
      <c r="AS231" s="245"/>
      <c r="AT231" s="422" t="s">
        <v>187</v>
      </c>
      <c r="AU231" s="423"/>
      <c r="AV231" s="211">
        <v>1.2727272727272723</v>
      </c>
      <c r="AW231" s="213">
        <v>0.99999999999999989</v>
      </c>
      <c r="AX231" s="230">
        <v>0</v>
      </c>
      <c r="AY231" s="138"/>
      <c r="AZ231" s="138"/>
      <c r="BA231" s="138"/>
      <c r="BB231" s="234"/>
      <c r="BC231" s="245"/>
      <c r="BD231" s="245"/>
      <c r="BE231" s="245"/>
      <c r="BF231" s="422" t="s">
        <v>187</v>
      </c>
      <c r="BG231" s="423"/>
      <c r="BH231" s="211">
        <v>0</v>
      </c>
      <c r="BI231" s="213">
        <v>0</v>
      </c>
      <c r="BJ231" s="230">
        <v>0</v>
      </c>
      <c r="BK231" s="138"/>
      <c r="BL231" s="234"/>
      <c r="BM231" s="245"/>
      <c r="BN231" s="422" t="s">
        <v>187</v>
      </c>
      <c r="BO231" s="423"/>
      <c r="BP231" s="211">
        <v>0</v>
      </c>
      <c r="BQ231" s="213">
        <v>0</v>
      </c>
      <c r="BR231" s="230">
        <v>0</v>
      </c>
      <c r="BS231" s="138"/>
      <c r="BT231" s="138"/>
      <c r="BU231" s="138"/>
      <c r="BV231" s="234"/>
      <c r="BW231" s="245"/>
      <c r="BX231" s="422" t="s">
        <v>187</v>
      </c>
      <c r="BY231" s="423"/>
      <c r="BZ231" s="211">
        <v>0</v>
      </c>
      <c r="CA231" s="213">
        <v>0</v>
      </c>
      <c r="CB231" s="230">
        <v>0</v>
      </c>
      <c r="CC231" s="138"/>
      <c r="CD231" s="138"/>
      <c r="CE231" s="138"/>
      <c r="CF231" s="234"/>
      <c r="CG231" s="245"/>
      <c r="CH231" s="422" t="s">
        <v>187</v>
      </c>
      <c r="CI231" s="423"/>
      <c r="CJ231" s="211">
        <v>6.0888888888888886</v>
      </c>
      <c r="CK231" s="213">
        <v>5.3851851851851853</v>
      </c>
      <c r="CL231" s="230">
        <v>-0.70370370370370328</v>
      </c>
      <c r="CM231" s="138"/>
      <c r="CN231" s="138"/>
      <c r="CO231" s="138"/>
      <c r="CP231" s="234"/>
      <c r="CQ231" s="245"/>
      <c r="CR231" s="422" t="s">
        <v>187</v>
      </c>
      <c r="CS231" s="423"/>
      <c r="CT231" s="211">
        <v>0.93333333333333324</v>
      </c>
      <c r="CU231" s="213">
        <v>1.3666666666666667</v>
      </c>
      <c r="CV231" s="230">
        <v>0.43333333333333346</v>
      </c>
      <c r="CW231" s="138"/>
      <c r="CX231" s="245"/>
      <c r="CY231" s="422" t="s">
        <v>187</v>
      </c>
      <c r="CZ231" s="423"/>
      <c r="DA231" s="211">
        <v>1.6507936507936507</v>
      </c>
      <c r="DB231" s="213">
        <v>1.6507936507936507</v>
      </c>
      <c r="DC231" s="230">
        <v>0</v>
      </c>
      <c r="DD231" s="234"/>
      <c r="DE231" s="239"/>
      <c r="DF231" s="422" t="s">
        <v>187</v>
      </c>
      <c r="DG231" s="423"/>
      <c r="DH231" s="211">
        <v>0.5490196078431373</v>
      </c>
      <c r="DI231" s="213">
        <v>0.5490196078431373</v>
      </c>
      <c r="DJ231" s="230">
        <v>0</v>
      </c>
      <c r="DK231" s="138"/>
      <c r="DL231" s="239"/>
      <c r="DM231" s="239"/>
      <c r="DN231" s="239"/>
      <c r="DO231" s="239"/>
      <c r="DP231" s="239"/>
      <c r="DQ231" s="138"/>
      <c r="DR231" s="138"/>
      <c r="DS231" s="234"/>
      <c r="DT231" s="239"/>
      <c r="DU231" s="241"/>
      <c r="DV231" s="239"/>
      <c r="DW231" s="239"/>
      <c r="DX231" s="239"/>
      <c r="DY231" s="239"/>
      <c r="DZ231" s="239"/>
      <c r="EA231" s="239"/>
      <c r="EB231" s="239"/>
    </row>
    <row r="232" spans="14:132" ht="20.100000000000001" customHeight="1" x14ac:dyDescent="0.4">
      <c r="O232" s="201"/>
      <c r="P232" s="422" t="s">
        <v>188</v>
      </c>
      <c r="Q232" s="423"/>
      <c r="R232" s="211">
        <v>0.76249999999999996</v>
      </c>
      <c r="S232" s="212">
        <v>0.79166666666666663</v>
      </c>
      <c r="T232" s="230">
        <v>2.9166666666666674E-2</v>
      </c>
      <c r="U232" s="239"/>
      <c r="V232" s="239"/>
      <c r="W232" s="239"/>
      <c r="X232" s="239"/>
      <c r="Y232" s="239"/>
      <c r="Z232" s="422" t="s">
        <v>188</v>
      </c>
      <c r="AA232" s="423"/>
      <c r="AB232" s="211">
        <v>1.746031746031746</v>
      </c>
      <c r="AC232" s="212">
        <v>2.0952380952380953</v>
      </c>
      <c r="AD232" s="230">
        <v>0.3492063492063493</v>
      </c>
      <c r="AE232" s="134"/>
      <c r="AF232" s="134"/>
      <c r="AG232" s="134"/>
      <c r="AH232" s="234"/>
      <c r="AI232" s="239"/>
      <c r="AJ232" s="422" t="s">
        <v>188</v>
      </c>
      <c r="AK232" s="423"/>
      <c r="AL232" s="211">
        <v>0.87936507936507935</v>
      </c>
      <c r="AM232" s="212">
        <v>1.2190476190476189</v>
      </c>
      <c r="AN232" s="230">
        <v>0.33968253968253959</v>
      </c>
      <c r="AO232" s="134"/>
      <c r="AP232" s="134"/>
      <c r="AQ232" s="134"/>
      <c r="AR232" s="234"/>
      <c r="AS232" s="245"/>
      <c r="AT232" s="422" t="s">
        <v>188</v>
      </c>
      <c r="AU232" s="423"/>
      <c r="AV232" s="211">
        <v>1.0303030303030303</v>
      </c>
      <c r="AW232" s="212">
        <v>1.2212121212121214</v>
      </c>
      <c r="AX232" s="230">
        <v>0.19090909090909114</v>
      </c>
      <c r="AY232" s="134"/>
      <c r="AZ232" s="134"/>
      <c r="BA232" s="134"/>
      <c r="BB232" s="234"/>
      <c r="BC232" s="245"/>
      <c r="BD232" s="245"/>
      <c r="BE232" s="245"/>
      <c r="BF232" s="422" t="s">
        <v>188</v>
      </c>
      <c r="BG232" s="423"/>
      <c r="BH232" s="211">
        <v>0.53015873015873016</v>
      </c>
      <c r="BI232" s="212">
        <v>0.93650793650793651</v>
      </c>
      <c r="BJ232" s="230">
        <v>0.40634920634920635</v>
      </c>
      <c r="BK232" s="134"/>
      <c r="BL232" s="234"/>
      <c r="BM232" s="245"/>
      <c r="BN232" s="422" t="s">
        <v>188</v>
      </c>
      <c r="BO232" s="423"/>
      <c r="BP232" s="211">
        <v>6.363636363636363E-2</v>
      </c>
      <c r="BQ232" s="212">
        <v>0.12121212121212122</v>
      </c>
      <c r="BR232" s="230">
        <v>5.7575757575757586E-2</v>
      </c>
      <c r="BS232" s="134"/>
      <c r="BT232" s="134"/>
      <c r="BU232" s="134"/>
      <c r="BV232" s="234"/>
      <c r="BW232" s="245"/>
      <c r="BX232" s="422" t="s">
        <v>188</v>
      </c>
      <c r="BY232" s="423"/>
      <c r="BZ232" s="211">
        <v>0.87333333333333329</v>
      </c>
      <c r="CA232" s="212">
        <v>0.87333333333333329</v>
      </c>
      <c r="CB232" s="230">
        <v>0</v>
      </c>
      <c r="CC232" s="134"/>
      <c r="CD232" s="134"/>
      <c r="CE232" s="134"/>
      <c r="CF232" s="234"/>
      <c r="CG232" s="245"/>
      <c r="CH232" s="422" t="s">
        <v>188</v>
      </c>
      <c r="CI232" s="423"/>
      <c r="CJ232" s="211">
        <v>4.0074074074074071</v>
      </c>
      <c r="CK232" s="212">
        <v>5.2370370370370374</v>
      </c>
      <c r="CL232" s="230">
        <v>1.2296296296296303</v>
      </c>
      <c r="CM232" s="134"/>
      <c r="CN232" s="134"/>
      <c r="CO232" s="134"/>
      <c r="CP232" s="234"/>
      <c r="CQ232" s="245"/>
      <c r="CR232" s="422" t="s">
        <v>188</v>
      </c>
      <c r="CS232" s="423"/>
      <c r="CT232" s="211">
        <v>0.7433333333333334</v>
      </c>
      <c r="CU232" s="212">
        <v>1.1666666666666665</v>
      </c>
      <c r="CV232" s="230">
        <v>0.42333333333333312</v>
      </c>
      <c r="CW232" s="134"/>
      <c r="CX232" s="245"/>
      <c r="CY232" s="422" t="s">
        <v>188</v>
      </c>
      <c r="CZ232" s="423"/>
      <c r="DA232" s="211">
        <v>1.3047619047619046</v>
      </c>
      <c r="DB232" s="212">
        <v>1.6190476190476191</v>
      </c>
      <c r="DC232" s="230">
        <v>0.3142857142857145</v>
      </c>
      <c r="DD232" s="234"/>
      <c r="DE232" s="239"/>
      <c r="DF232" s="422" t="s">
        <v>188</v>
      </c>
      <c r="DG232" s="423"/>
      <c r="DH232" s="211">
        <v>0.33725490196078434</v>
      </c>
      <c r="DI232" s="212">
        <v>0.41960784313725491</v>
      </c>
      <c r="DJ232" s="230">
        <v>8.2352941176470573E-2</v>
      </c>
      <c r="DK232" s="134"/>
      <c r="DL232" s="239"/>
      <c r="DM232" s="239"/>
      <c r="DN232" s="239"/>
      <c r="DO232" s="239"/>
      <c r="DP232" s="239"/>
      <c r="DQ232" s="134"/>
      <c r="DR232" s="134"/>
      <c r="DS232" s="234"/>
      <c r="DT232" s="239"/>
      <c r="DU232" s="241"/>
      <c r="DV232" s="239"/>
      <c r="DW232" s="239"/>
      <c r="DX232" s="239"/>
      <c r="DY232" s="239"/>
      <c r="DZ232" s="239"/>
      <c r="EA232" s="239"/>
      <c r="EB232" s="239"/>
    </row>
    <row r="233" spans="14:132" ht="20.100000000000001" customHeight="1" x14ac:dyDescent="0.4">
      <c r="O233" s="201"/>
      <c r="P233" s="422" t="s">
        <v>189</v>
      </c>
      <c r="Q233" s="423"/>
      <c r="R233" s="211">
        <v>5.833333333333333</v>
      </c>
      <c r="S233" s="212">
        <v>5.833333333333333</v>
      </c>
      <c r="T233" s="230">
        <v>0</v>
      </c>
      <c r="U233" s="239"/>
      <c r="V233" s="239"/>
      <c r="W233" s="239"/>
      <c r="X233" s="239"/>
      <c r="Y233" s="239"/>
      <c r="Z233" s="422" t="s">
        <v>189</v>
      </c>
      <c r="AA233" s="423"/>
      <c r="AB233" s="211">
        <v>8.7936507936507926</v>
      </c>
      <c r="AC233" s="212">
        <v>12.298412698412699</v>
      </c>
      <c r="AD233" s="230">
        <v>3.5047619047619065</v>
      </c>
      <c r="AE233" s="134"/>
      <c r="AF233" s="134"/>
      <c r="AG233" s="134"/>
      <c r="AH233" s="234"/>
      <c r="AI233" s="239"/>
      <c r="AJ233" s="422" t="s">
        <v>189</v>
      </c>
      <c r="AK233" s="423"/>
      <c r="AL233" s="211">
        <v>8.936507936507935</v>
      </c>
      <c r="AM233" s="212">
        <v>10.84126984126984</v>
      </c>
      <c r="AN233" s="230">
        <v>1.9047619047619051</v>
      </c>
      <c r="AO233" s="134"/>
      <c r="AP233" s="134"/>
      <c r="AQ233" s="134"/>
      <c r="AR233" s="234"/>
      <c r="AS233" s="245"/>
      <c r="AT233" s="422" t="s">
        <v>189</v>
      </c>
      <c r="AU233" s="423"/>
      <c r="AV233" s="211">
        <v>7.9757575757575756</v>
      </c>
      <c r="AW233" s="212">
        <v>10.793939393939391</v>
      </c>
      <c r="AX233" s="230">
        <v>2.8181818181818157</v>
      </c>
      <c r="AY233" s="134"/>
      <c r="AZ233" s="134"/>
      <c r="BA233" s="134"/>
      <c r="BB233" s="234"/>
      <c r="BC233" s="245"/>
      <c r="BD233" s="245"/>
      <c r="BE233" s="245"/>
      <c r="BF233" s="422" t="s">
        <v>189</v>
      </c>
      <c r="BG233" s="423"/>
      <c r="BH233" s="211">
        <v>9.4349206349206334</v>
      </c>
      <c r="BI233" s="212">
        <v>10</v>
      </c>
      <c r="BJ233" s="230">
        <v>0.56507936507936662</v>
      </c>
      <c r="BK233" s="134"/>
      <c r="BL233" s="234"/>
      <c r="BM233" s="245"/>
      <c r="BN233" s="422" t="s">
        <v>189</v>
      </c>
      <c r="BO233" s="423"/>
      <c r="BP233" s="211">
        <v>7.824242424242426</v>
      </c>
      <c r="BQ233" s="212">
        <v>9.4000000000000021</v>
      </c>
      <c r="BR233" s="230">
        <v>1.5757575757575761</v>
      </c>
      <c r="BS233" s="134"/>
      <c r="BT233" s="134"/>
      <c r="BU233" s="134"/>
      <c r="BV233" s="234"/>
      <c r="BW233" s="245"/>
      <c r="BX233" s="422" t="s">
        <v>189</v>
      </c>
      <c r="BY233" s="423"/>
      <c r="BZ233" s="211">
        <v>6.2133333333333338</v>
      </c>
      <c r="CA233" s="212">
        <v>8.2799999999999994</v>
      </c>
      <c r="CB233" s="230">
        <v>2.0666666666666655</v>
      </c>
      <c r="CC233" s="134"/>
      <c r="CD233" s="134"/>
      <c r="CE233" s="134"/>
      <c r="CF233" s="234"/>
      <c r="CG233" s="245"/>
      <c r="CH233" s="422" t="s">
        <v>189</v>
      </c>
      <c r="CI233" s="423"/>
      <c r="CJ233" s="211">
        <v>10</v>
      </c>
      <c r="CK233" s="212">
        <v>10</v>
      </c>
      <c r="CL233" s="230">
        <v>0</v>
      </c>
      <c r="CM233" s="134"/>
      <c r="CN233" s="134"/>
      <c r="CO233" s="134"/>
      <c r="CP233" s="234"/>
      <c r="CQ233" s="245"/>
      <c r="CR233" s="422" t="s">
        <v>189</v>
      </c>
      <c r="CS233" s="423"/>
      <c r="CT233" s="211">
        <v>6.3233333333333333</v>
      </c>
      <c r="CU233" s="212">
        <v>7.0033333333333339</v>
      </c>
      <c r="CV233" s="230">
        <v>0.6800000000000006</v>
      </c>
      <c r="CW233" s="134"/>
      <c r="CX233" s="245"/>
      <c r="CY233" s="422" t="s">
        <v>189</v>
      </c>
      <c r="CZ233" s="423"/>
      <c r="DA233" s="211">
        <v>5.6222222222222218</v>
      </c>
      <c r="DB233" s="212">
        <v>6.8285714285714274</v>
      </c>
      <c r="DC233" s="230">
        <v>1.2063492063492056</v>
      </c>
      <c r="DD233" s="234"/>
      <c r="DE233" s="239"/>
      <c r="DF233" s="422" t="s">
        <v>189</v>
      </c>
      <c r="DG233" s="423"/>
      <c r="DH233" s="211">
        <v>5.2705882352941176</v>
      </c>
      <c r="DI233" s="212">
        <v>5.2705882352941176</v>
      </c>
      <c r="DJ233" s="230">
        <v>0</v>
      </c>
      <c r="DK233" s="134"/>
      <c r="DL233" s="239"/>
      <c r="DM233" s="239"/>
      <c r="DN233" s="239"/>
      <c r="DO233" s="239"/>
      <c r="DP233" s="239"/>
      <c r="DQ233" s="134"/>
      <c r="DR233" s="134"/>
      <c r="DS233" s="234"/>
      <c r="DT233" s="239"/>
      <c r="DU233" s="241"/>
      <c r="DV233" s="239"/>
      <c r="DW233" s="239"/>
      <c r="DX233" s="239"/>
      <c r="DY233" s="239"/>
      <c r="DZ233" s="239"/>
      <c r="EA233" s="239"/>
      <c r="EB233" s="239"/>
    </row>
    <row r="234" spans="14:132" ht="20.100000000000001" customHeight="1" x14ac:dyDescent="0.4">
      <c r="O234" s="201"/>
      <c r="P234" s="422" t="s">
        <v>190</v>
      </c>
      <c r="Q234" s="423"/>
      <c r="R234" s="211">
        <v>5.625</v>
      </c>
      <c r="S234" s="214">
        <v>6.875</v>
      </c>
      <c r="T234" s="230">
        <v>1.25</v>
      </c>
      <c r="U234" s="239"/>
      <c r="V234" s="239"/>
      <c r="W234" s="239"/>
      <c r="X234" s="239"/>
      <c r="Y234" s="239"/>
      <c r="Z234" s="422" t="s">
        <v>190</v>
      </c>
      <c r="AA234" s="423"/>
      <c r="AB234" s="211">
        <v>6.6730158730158733</v>
      </c>
      <c r="AC234" s="214">
        <v>9.0476190476190457</v>
      </c>
      <c r="AD234" s="230">
        <v>2.3746031746031724</v>
      </c>
      <c r="AE234" s="138"/>
      <c r="AF234" s="138"/>
      <c r="AG234" s="138"/>
      <c r="AH234" s="234"/>
      <c r="AI234" s="239"/>
      <c r="AJ234" s="422" t="s">
        <v>190</v>
      </c>
      <c r="AK234" s="423"/>
      <c r="AL234" s="211">
        <v>6.193650793650793</v>
      </c>
      <c r="AM234" s="214">
        <v>8.5746031746031743</v>
      </c>
      <c r="AN234" s="230">
        <v>2.3809523809523814</v>
      </c>
      <c r="AO234" s="138"/>
      <c r="AP234" s="138"/>
      <c r="AQ234" s="138"/>
      <c r="AR234" s="234"/>
      <c r="AS234" s="239"/>
      <c r="AT234" s="422" t="s">
        <v>190</v>
      </c>
      <c r="AU234" s="423"/>
      <c r="AV234" s="211">
        <v>7.2818181818181822</v>
      </c>
      <c r="AW234" s="214">
        <v>9.5015151515151519</v>
      </c>
      <c r="AX234" s="230">
        <v>2.2196969696969697</v>
      </c>
      <c r="AY234" s="138"/>
      <c r="AZ234" s="138"/>
      <c r="BA234" s="138"/>
      <c r="BB234" s="234"/>
      <c r="BC234" s="245"/>
      <c r="BD234" s="245"/>
      <c r="BE234" s="245"/>
      <c r="BF234" s="422" t="s">
        <v>190</v>
      </c>
      <c r="BG234" s="423"/>
      <c r="BH234" s="211">
        <v>6.6666666666666661</v>
      </c>
      <c r="BI234" s="214">
        <v>9.0476190476190474</v>
      </c>
      <c r="BJ234" s="230">
        <v>2.3809523809523814</v>
      </c>
      <c r="BK234" s="138"/>
      <c r="BL234" s="234"/>
      <c r="BM234" s="245"/>
      <c r="BN234" s="422" t="s">
        <v>190</v>
      </c>
      <c r="BO234" s="423"/>
      <c r="BP234" s="211">
        <v>5.9121212121212112</v>
      </c>
      <c r="BQ234" s="214">
        <v>8.1848484848484837</v>
      </c>
      <c r="BR234" s="230">
        <v>2.2727272727272725</v>
      </c>
      <c r="BS234" s="138"/>
      <c r="BT234" s="138"/>
      <c r="BU234" s="138"/>
      <c r="BV234" s="234"/>
      <c r="BW234" s="245"/>
      <c r="BX234" s="422" t="s">
        <v>190</v>
      </c>
      <c r="BY234" s="423"/>
      <c r="BZ234" s="211">
        <v>6.496666666666667</v>
      </c>
      <c r="CA234" s="214">
        <v>8.9966666666666661</v>
      </c>
      <c r="CB234" s="230">
        <v>2.4999999999999991</v>
      </c>
      <c r="CC234" s="138"/>
      <c r="CD234" s="138"/>
      <c r="CE234" s="138"/>
      <c r="CF234" s="234"/>
      <c r="CG234" s="245"/>
      <c r="CH234" s="422" t="s">
        <v>190</v>
      </c>
      <c r="CI234" s="423"/>
      <c r="CJ234" s="211">
        <v>6.1111111111111107</v>
      </c>
      <c r="CK234" s="214">
        <v>8.8888888888888893</v>
      </c>
      <c r="CL234" s="230">
        <v>2.7777777777777786</v>
      </c>
      <c r="CM234" s="138"/>
      <c r="CN234" s="138"/>
      <c r="CO234" s="138"/>
      <c r="CP234" s="234"/>
      <c r="CQ234" s="245"/>
      <c r="CR234" s="422" t="s">
        <v>190</v>
      </c>
      <c r="CS234" s="423"/>
      <c r="CT234" s="211">
        <v>4.55</v>
      </c>
      <c r="CU234" s="214">
        <v>5.9533333333333331</v>
      </c>
      <c r="CV234" s="230">
        <v>1.4033333333333333</v>
      </c>
      <c r="CW234" s="138"/>
      <c r="CX234" s="239"/>
      <c r="CY234" s="422" t="s">
        <v>190</v>
      </c>
      <c r="CZ234" s="423"/>
      <c r="DA234" s="211">
        <v>4.6761904761904756</v>
      </c>
      <c r="DB234" s="214">
        <v>6.3333333333333321</v>
      </c>
      <c r="DC234" s="230">
        <v>1.6571428571428566</v>
      </c>
      <c r="DD234" s="234"/>
      <c r="DE234" s="239"/>
      <c r="DF234" s="422" t="s">
        <v>190</v>
      </c>
      <c r="DG234" s="423"/>
      <c r="DH234" s="211">
        <v>3.2941176470588234</v>
      </c>
      <c r="DI234" s="214">
        <v>3.7058823529411762</v>
      </c>
      <c r="DJ234" s="230">
        <v>0.41176470588235281</v>
      </c>
      <c r="DK234" s="138"/>
      <c r="DL234" s="239"/>
      <c r="DM234" s="239"/>
      <c r="DN234" s="239"/>
      <c r="DO234" s="239"/>
      <c r="DP234" s="239"/>
      <c r="DQ234" s="138"/>
      <c r="DR234" s="138"/>
      <c r="DS234" s="234"/>
      <c r="DT234" s="239"/>
      <c r="DU234" s="239"/>
      <c r="DV234" s="239"/>
      <c r="DW234" s="239"/>
      <c r="DX234" s="239"/>
      <c r="DY234" s="239"/>
      <c r="DZ234" s="239"/>
      <c r="EA234" s="239"/>
      <c r="EB234" s="239"/>
    </row>
    <row r="235" spans="14:132" ht="20.100000000000001" customHeight="1" x14ac:dyDescent="0.4">
      <c r="N235" s="201"/>
      <c r="O235" s="201"/>
      <c r="P235" s="201"/>
      <c r="Q235" s="203"/>
      <c r="R235" s="202"/>
      <c r="S235" s="201"/>
      <c r="T235" s="201"/>
      <c r="U235" s="239"/>
      <c r="V235" s="239"/>
      <c r="W235" s="239"/>
      <c r="X235" s="239"/>
      <c r="Y235" s="239"/>
      <c r="Z235" s="239"/>
      <c r="AA235" s="239"/>
      <c r="AB235" s="251"/>
      <c r="AC235" s="134"/>
      <c r="AD235" s="134"/>
      <c r="AE235" s="234"/>
      <c r="AF235" s="234"/>
      <c r="AG235" s="234"/>
      <c r="AH235" s="245"/>
      <c r="AI235" s="239"/>
      <c r="AJ235" s="239"/>
      <c r="AK235" s="251"/>
      <c r="AL235" s="134"/>
      <c r="AM235" s="134"/>
      <c r="AN235" s="234"/>
      <c r="AO235" s="234"/>
      <c r="AP235" s="234"/>
      <c r="AQ235" s="234"/>
      <c r="AR235" s="245"/>
      <c r="AS235" s="245"/>
      <c r="AT235" s="245"/>
      <c r="AU235" s="251"/>
      <c r="AV235" s="134"/>
      <c r="AW235" s="134"/>
      <c r="AX235" s="234"/>
      <c r="AY235" s="234"/>
      <c r="AZ235" s="234"/>
      <c r="BA235" s="234"/>
      <c r="BB235" s="245"/>
      <c r="BC235" s="245"/>
      <c r="BD235" s="245"/>
      <c r="BE235" s="251"/>
      <c r="BF235" s="245"/>
      <c r="BG235" s="251"/>
      <c r="BH235" s="134"/>
      <c r="BI235" s="134"/>
      <c r="BJ235" s="234"/>
      <c r="BK235" s="234"/>
      <c r="BL235" s="245"/>
      <c r="BM235" s="245"/>
      <c r="BN235" s="245"/>
      <c r="BO235" s="251"/>
      <c r="BP235" s="134"/>
      <c r="BQ235" s="134"/>
      <c r="BR235" s="234"/>
      <c r="BS235" s="234"/>
      <c r="BT235" s="234"/>
      <c r="BU235" s="234"/>
      <c r="BV235" s="245"/>
      <c r="BW235" s="245"/>
      <c r="BX235" s="245"/>
      <c r="BY235" s="251"/>
      <c r="BZ235" s="134"/>
      <c r="CA235" s="134"/>
      <c r="CB235" s="234"/>
      <c r="CC235" s="234"/>
      <c r="CD235" s="234"/>
      <c r="CE235" s="234"/>
      <c r="CF235" s="245"/>
      <c r="CG235" s="245"/>
      <c r="CH235" s="245"/>
      <c r="CI235" s="251"/>
      <c r="CJ235" s="134"/>
      <c r="CK235" s="134"/>
      <c r="CL235" s="234"/>
      <c r="CM235" s="234"/>
      <c r="CN235" s="234"/>
      <c r="CO235" s="234"/>
      <c r="CP235" s="245"/>
      <c r="CQ235" s="245"/>
      <c r="CR235" s="245"/>
      <c r="CS235" s="251"/>
      <c r="CT235" s="134"/>
      <c r="CU235" s="134"/>
      <c r="CV235" s="234"/>
      <c r="CW235" s="234"/>
      <c r="CX235" s="245"/>
      <c r="CY235" s="245"/>
      <c r="CZ235" s="251"/>
      <c r="DA235" s="134"/>
      <c r="DB235" s="134"/>
      <c r="DC235" s="234"/>
      <c r="DD235" s="245"/>
      <c r="DE235" s="239"/>
      <c r="DF235" s="239"/>
      <c r="DG235" s="251"/>
      <c r="DH235" s="134"/>
      <c r="DI235" s="134"/>
      <c r="DJ235" s="234"/>
      <c r="DK235" s="234"/>
      <c r="DL235" s="239"/>
      <c r="DM235" s="239"/>
      <c r="DN235" s="239"/>
      <c r="DO235" s="239"/>
      <c r="DP235" s="239"/>
      <c r="DQ235" s="234"/>
      <c r="DR235" s="234"/>
      <c r="DS235" s="245"/>
      <c r="DT235" s="241"/>
      <c r="DU235" s="239"/>
      <c r="DV235" s="239"/>
      <c r="DW235" s="239"/>
      <c r="DX235" s="239"/>
      <c r="DY235" s="239"/>
      <c r="DZ235" s="239"/>
      <c r="EA235" s="239"/>
      <c r="EB235" s="239"/>
    </row>
    <row r="236" spans="14:132" ht="20.100000000000001" customHeight="1" x14ac:dyDescent="0.4">
      <c r="N236" s="201"/>
      <c r="O236" s="201"/>
      <c r="P236" s="426" t="s">
        <v>469</v>
      </c>
      <c r="Q236" s="427"/>
      <c r="R236" s="206" t="s">
        <v>180</v>
      </c>
      <c r="S236" s="207" t="s">
        <v>181</v>
      </c>
      <c r="T236" s="208" t="s">
        <v>182</v>
      </c>
      <c r="U236" s="239"/>
      <c r="V236" s="239"/>
      <c r="W236" s="239"/>
      <c r="X236" s="239"/>
      <c r="Y236" s="239"/>
      <c r="Z236" s="426" t="s">
        <v>499</v>
      </c>
      <c r="AA236" s="430"/>
      <c r="AB236" s="206" t="s">
        <v>180</v>
      </c>
      <c r="AC236" s="207" t="s">
        <v>181</v>
      </c>
      <c r="AD236" s="208" t="s">
        <v>182</v>
      </c>
      <c r="AE236" s="234"/>
      <c r="AF236" s="234"/>
      <c r="AG236" s="234"/>
      <c r="AH236" s="245"/>
      <c r="AI236" s="239"/>
      <c r="AJ236" s="426" t="s">
        <v>549</v>
      </c>
      <c r="AK236" s="427"/>
      <c r="AL236" s="206" t="s">
        <v>180</v>
      </c>
      <c r="AM236" s="207" t="s">
        <v>181</v>
      </c>
      <c r="AN236" s="208" t="s">
        <v>182</v>
      </c>
      <c r="AO236" s="234"/>
      <c r="AP236" s="234"/>
      <c r="AQ236" s="234"/>
      <c r="AR236" s="245"/>
      <c r="AS236" s="245"/>
      <c r="AT236" s="426" t="s">
        <v>617</v>
      </c>
      <c r="AU236" s="427"/>
      <c r="AV236" s="206" t="s">
        <v>180</v>
      </c>
      <c r="AW236" s="207" t="s">
        <v>181</v>
      </c>
      <c r="AX236" s="208" t="s">
        <v>182</v>
      </c>
      <c r="AY236" s="234"/>
      <c r="AZ236" s="234"/>
      <c r="BA236" s="234"/>
      <c r="BB236" s="245"/>
      <c r="BC236" s="245"/>
      <c r="BD236" s="245"/>
      <c r="BE236" s="250"/>
      <c r="BF236" s="426" t="s">
        <v>637</v>
      </c>
      <c r="BG236" s="427"/>
      <c r="BH236" s="206" t="s">
        <v>180</v>
      </c>
      <c r="BI236" s="207" t="s">
        <v>181</v>
      </c>
      <c r="BJ236" s="208" t="s">
        <v>182</v>
      </c>
      <c r="BK236" s="234"/>
      <c r="BL236" s="245"/>
      <c r="BM236" s="245"/>
      <c r="BN236" s="426" t="s">
        <v>686</v>
      </c>
      <c r="BO236" s="427"/>
      <c r="BP236" s="206" t="s">
        <v>180</v>
      </c>
      <c r="BQ236" s="207" t="s">
        <v>181</v>
      </c>
      <c r="BR236" s="208" t="s">
        <v>182</v>
      </c>
      <c r="BS236" s="234"/>
      <c r="BT236" s="234"/>
      <c r="BU236" s="234"/>
      <c r="BV236" s="245"/>
      <c r="BW236" s="245"/>
      <c r="BX236" s="426" t="s">
        <v>725</v>
      </c>
      <c r="BY236" s="427"/>
      <c r="BZ236" s="206" t="s">
        <v>180</v>
      </c>
      <c r="CA236" s="207" t="s">
        <v>181</v>
      </c>
      <c r="CB236" s="208" t="s">
        <v>182</v>
      </c>
      <c r="CC236" s="234"/>
      <c r="CD236" s="234"/>
      <c r="CE236" s="234"/>
      <c r="CF236" s="245"/>
      <c r="CG236" s="245"/>
      <c r="CH236" s="426" t="s">
        <v>752</v>
      </c>
      <c r="CI236" s="427"/>
      <c r="CJ236" s="206" t="s">
        <v>180</v>
      </c>
      <c r="CK236" s="207" t="s">
        <v>181</v>
      </c>
      <c r="CL236" s="208" t="s">
        <v>182</v>
      </c>
      <c r="CM236" s="234"/>
      <c r="CN236" s="234"/>
      <c r="CO236" s="234"/>
      <c r="CP236" s="245"/>
      <c r="CQ236" s="245"/>
      <c r="CR236" s="426" t="s">
        <v>796</v>
      </c>
      <c r="CS236" s="427"/>
      <c r="CT236" s="206" t="s">
        <v>180</v>
      </c>
      <c r="CU236" s="207" t="s">
        <v>181</v>
      </c>
      <c r="CV236" s="208" t="s">
        <v>182</v>
      </c>
      <c r="CW236" s="234"/>
      <c r="CX236" s="245"/>
      <c r="CY236" s="426" t="s">
        <v>855</v>
      </c>
      <c r="CZ236" s="427"/>
      <c r="DA236" s="206" t="s">
        <v>180</v>
      </c>
      <c r="DB236" s="207" t="s">
        <v>181</v>
      </c>
      <c r="DC236" s="208" t="s">
        <v>182</v>
      </c>
      <c r="DD236" s="245"/>
      <c r="DE236" s="239"/>
      <c r="DF236" s="426" t="s">
        <v>912</v>
      </c>
      <c r="DG236" s="427"/>
      <c r="DH236" s="206" t="s">
        <v>180</v>
      </c>
      <c r="DI236" s="207" t="s">
        <v>181</v>
      </c>
      <c r="DJ236" s="208" t="s">
        <v>182</v>
      </c>
      <c r="DK236" s="234"/>
      <c r="DL236" s="239"/>
      <c r="DM236" s="239"/>
      <c r="DN236" s="239"/>
      <c r="DO236" s="239"/>
      <c r="DP236" s="239"/>
      <c r="DQ236" s="234"/>
      <c r="DR236" s="234"/>
      <c r="DS236" s="245"/>
      <c r="DT236" s="241"/>
      <c r="DU236" s="239"/>
      <c r="DV236" s="239"/>
      <c r="DW236" s="239"/>
      <c r="DX236" s="239"/>
      <c r="DY236" s="239"/>
      <c r="DZ236" s="239"/>
      <c r="EA236" s="239"/>
      <c r="EB236" s="239"/>
    </row>
    <row r="237" spans="14:132" ht="20.100000000000001" customHeight="1" x14ac:dyDescent="0.4">
      <c r="N237" s="201"/>
      <c r="O237" s="201"/>
      <c r="P237" s="422" t="s">
        <v>183</v>
      </c>
      <c r="Q237" s="423"/>
      <c r="R237" s="211">
        <v>5.833333333333333</v>
      </c>
      <c r="S237" s="211">
        <v>5.833333333333333</v>
      </c>
      <c r="T237" s="230">
        <v>0</v>
      </c>
      <c r="U237" s="239"/>
      <c r="V237" s="239"/>
      <c r="W237" s="239"/>
      <c r="X237" s="239"/>
      <c r="Y237" s="239"/>
      <c r="Z237" s="422" t="s">
        <v>183</v>
      </c>
      <c r="AA237" s="423"/>
      <c r="AB237" s="211">
        <v>2.7301587301587298</v>
      </c>
      <c r="AC237" s="211">
        <v>3.6825396825396823</v>
      </c>
      <c r="AD237" s="230">
        <v>0.95238095238095255</v>
      </c>
      <c r="AE237" s="234"/>
      <c r="AF237" s="234"/>
      <c r="AG237" s="234"/>
      <c r="AH237" s="245"/>
      <c r="AI237" s="239"/>
      <c r="AJ237" s="422" t="s">
        <v>183</v>
      </c>
      <c r="AK237" s="423"/>
      <c r="AL237" s="211">
        <v>3.6698412698412701</v>
      </c>
      <c r="AM237" s="211">
        <v>4.8095238095238093</v>
      </c>
      <c r="AN237" s="230">
        <v>1.1396825396825392</v>
      </c>
      <c r="AO237" s="234"/>
      <c r="AP237" s="234"/>
      <c r="AQ237" s="234"/>
      <c r="AR237" s="245"/>
      <c r="AS237" s="245"/>
      <c r="AT237" s="422" t="s">
        <v>183</v>
      </c>
      <c r="AU237" s="423"/>
      <c r="AV237" s="211">
        <v>4.4545454545454541</v>
      </c>
      <c r="AW237" s="211">
        <v>5.1818181818181825</v>
      </c>
      <c r="AX237" s="230">
        <v>0.7272727272727284</v>
      </c>
      <c r="AY237" s="234"/>
      <c r="AZ237" s="234"/>
      <c r="BA237" s="234"/>
      <c r="BB237" s="245"/>
      <c r="BC237" s="245"/>
      <c r="BD237" s="245"/>
      <c r="BE237" s="250"/>
      <c r="BF237" s="422" t="s">
        <v>183</v>
      </c>
      <c r="BG237" s="423"/>
      <c r="BH237" s="211">
        <v>3.4920634920634912</v>
      </c>
      <c r="BI237" s="211">
        <v>7.8730158730158717</v>
      </c>
      <c r="BJ237" s="230">
        <v>4.3809523809523805</v>
      </c>
      <c r="BK237" s="234"/>
      <c r="BL237" s="245"/>
      <c r="BM237" s="245"/>
      <c r="BN237" s="422" t="s">
        <v>183</v>
      </c>
      <c r="BO237" s="423"/>
      <c r="BP237" s="211">
        <v>6.1757575757575776</v>
      </c>
      <c r="BQ237" s="211">
        <v>6.9030303030303042</v>
      </c>
      <c r="BR237" s="230">
        <v>0.72727272727272663</v>
      </c>
      <c r="BS237" s="234"/>
      <c r="BT237" s="234"/>
      <c r="BU237" s="234"/>
      <c r="BV237" s="245"/>
      <c r="BW237" s="245"/>
      <c r="BX237" s="422" t="s">
        <v>183</v>
      </c>
      <c r="BY237" s="423"/>
      <c r="BZ237" s="211">
        <v>2.5333333333333332</v>
      </c>
      <c r="CA237" s="211">
        <v>5.2</v>
      </c>
      <c r="CB237" s="230">
        <v>2.666666666666667</v>
      </c>
      <c r="CC237" s="234"/>
      <c r="CD237" s="234"/>
      <c r="CE237" s="234"/>
      <c r="CF237" s="245"/>
      <c r="CG237" s="245"/>
      <c r="CH237" s="422" t="s">
        <v>183</v>
      </c>
      <c r="CI237" s="423"/>
      <c r="CJ237" s="211">
        <v>1.2592592592592591</v>
      </c>
      <c r="CK237" s="211">
        <v>2.2962962962962967</v>
      </c>
      <c r="CL237" s="230">
        <v>1.0370370370370376</v>
      </c>
      <c r="CM237" s="234"/>
      <c r="CN237" s="234"/>
      <c r="CO237" s="234"/>
      <c r="CP237" s="245"/>
      <c r="CQ237" s="245"/>
      <c r="CR237" s="422" t="s">
        <v>183</v>
      </c>
      <c r="CS237" s="423"/>
      <c r="CT237" s="211">
        <v>3.4133333333333327</v>
      </c>
      <c r="CU237" s="211">
        <v>4.5333333333333332</v>
      </c>
      <c r="CV237" s="230">
        <v>1.1200000000000006</v>
      </c>
      <c r="CW237" s="234"/>
      <c r="CX237" s="245"/>
      <c r="CY237" s="422" t="s">
        <v>183</v>
      </c>
      <c r="CZ237" s="423"/>
      <c r="DA237" s="211">
        <v>1.9682539682539684</v>
      </c>
      <c r="DB237" s="211">
        <v>3.0158730158730158</v>
      </c>
      <c r="DC237" s="230">
        <v>1.0476190476190474</v>
      </c>
      <c r="DD237" s="245"/>
      <c r="DE237" s="239"/>
      <c r="DF237" s="422" t="s">
        <v>183</v>
      </c>
      <c r="DG237" s="423"/>
      <c r="DH237" s="211">
        <v>0</v>
      </c>
      <c r="DI237" s="211">
        <v>3.27843137254902</v>
      </c>
      <c r="DJ237" s="230">
        <v>3.27843137254902</v>
      </c>
      <c r="DK237" s="234"/>
      <c r="DL237" s="239"/>
      <c r="DM237" s="239"/>
      <c r="DN237" s="239"/>
      <c r="DO237" s="239"/>
      <c r="DP237" s="239"/>
      <c r="DQ237" s="234"/>
      <c r="DR237" s="234"/>
      <c r="DS237" s="245"/>
      <c r="DT237" s="241"/>
      <c r="DU237" s="239"/>
      <c r="DV237" s="239"/>
      <c r="DW237" s="239"/>
      <c r="DX237" s="239"/>
      <c r="DY237" s="239"/>
      <c r="DZ237" s="239"/>
      <c r="EA237" s="239"/>
      <c r="EB237" s="239"/>
    </row>
    <row r="238" spans="14:132" ht="20.100000000000001" customHeight="1" x14ac:dyDescent="0.4">
      <c r="N238" s="201"/>
      <c r="O238" s="201"/>
      <c r="P238" s="422" t="s">
        <v>184</v>
      </c>
      <c r="Q238" s="423"/>
      <c r="R238" s="211">
        <v>3.2041666666666671</v>
      </c>
      <c r="S238" s="211">
        <v>3.9374999999999996</v>
      </c>
      <c r="T238" s="230">
        <v>0.7333333333333325</v>
      </c>
      <c r="U238" s="239"/>
      <c r="V238" s="239"/>
      <c r="W238" s="239"/>
      <c r="X238" s="239"/>
      <c r="Y238" s="239"/>
      <c r="Z238" s="422" t="s">
        <v>184</v>
      </c>
      <c r="AA238" s="423"/>
      <c r="AB238" s="211">
        <v>2.3047619047619046</v>
      </c>
      <c r="AC238" s="211">
        <v>3.7238095238095239</v>
      </c>
      <c r="AD238" s="230">
        <v>1.4190476190476193</v>
      </c>
      <c r="AE238" s="234"/>
      <c r="AF238" s="234"/>
      <c r="AG238" s="234"/>
      <c r="AH238" s="245"/>
      <c r="AI238" s="239"/>
      <c r="AJ238" s="422" t="s">
        <v>184</v>
      </c>
      <c r="AK238" s="423"/>
      <c r="AL238" s="211">
        <v>2.6190476190476191</v>
      </c>
      <c r="AM238" s="211">
        <v>4.3460317460317457</v>
      </c>
      <c r="AN238" s="230">
        <v>1.7269841269841266</v>
      </c>
      <c r="AO238" s="234"/>
      <c r="AP238" s="234"/>
      <c r="AQ238" s="234"/>
      <c r="AR238" s="245"/>
      <c r="AS238" s="245"/>
      <c r="AT238" s="422" t="s">
        <v>184</v>
      </c>
      <c r="AU238" s="423"/>
      <c r="AV238" s="211">
        <v>3.396969696969697</v>
      </c>
      <c r="AW238" s="211">
        <v>5.1515151515151514</v>
      </c>
      <c r="AX238" s="230">
        <v>1.7545454545454544</v>
      </c>
      <c r="AY238" s="234"/>
      <c r="AZ238" s="234"/>
      <c r="BA238" s="234"/>
      <c r="BB238" s="245"/>
      <c r="BC238" s="245"/>
      <c r="BD238" s="245"/>
      <c r="BE238" s="250"/>
      <c r="BF238" s="422" t="s">
        <v>184</v>
      </c>
      <c r="BG238" s="423"/>
      <c r="BH238" s="211">
        <v>3.244444444444444</v>
      </c>
      <c r="BI238" s="211">
        <v>5.1777777777777771</v>
      </c>
      <c r="BJ238" s="230">
        <v>1.9333333333333331</v>
      </c>
      <c r="BK238" s="234"/>
      <c r="BL238" s="245"/>
      <c r="BM238" s="245"/>
      <c r="BN238" s="422" t="s">
        <v>184</v>
      </c>
      <c r="BO238" s="423"/>
      <c r="BP238" s="211">
        <v>3.1348484848484848</v>
      </c>
      <c r="BQ238" s="211">
        <v>5.1378787878787877</v>
      </c>
      <c r="BR238" s="230">
        <v>2.0030303030303029</v>
      </c>
      <c r="BS238" s="234"/>
      <c r="BT238" s="234"/>
      <c r="BU238" s="234"/>
      <c r="BV238" s="245"/>
      <c r="BW238" s="245"/>
      <c r="BX238" s="422" t="s">
        <v>184</v>
      </c>
      <c r="BY238" s="423"/>
      <c r="BZ238" s="211">
        <v>3.1066666666666665</v>
      </c>
      <c r="CA238" s="211">
        <v>4.8833333333333337</v>
      </c>
      <c r="CB238" s="230">
        <v>1.7766666666666673</v>
      </c>
      <c r="CC238" s="234"/>
      <c r="CD238" s="234"/>
      <c r="CE238" s="234"/>
      <c r="CF238" s="245"/>
      <c r="CG238" s="245"/>
      <c r="CH238" s="422" t="s">
        <v>184</v>
      </c>
      <c r="CI238" s="423"/>
      <c r="CJ238" s="211">
        <v>0.85925925925925917</v>
      </c>
      <c r="CK238" s="211">
        <v>1.3222222222222222</v>
      </c>
      <c r="CL238" s="230">
        <v>0.46296296296296302</v>
      </c>
      <c r="CM238" s="234"/>
      <c r="CN238" s="234"/>
      <c r="CO238" s="234"/>
      <c r="CP238" s="245"/>
      <c r="CQ238" s="245"/>
      <c r="CR238" s="422" t="s">
        <v>184</v>
      </c>
      <c r="CS238" s="423"/>
      <c r="CT238" s="211">
        <v>2.1</v>
      </c>
      <c r="CU238" s="211">
        <v>3.293333333333333</v>
      </c>
      <c r="CV238" s="230">
        <v>1.1933333333333329</v>
      </c>
      <c r="CW238" s="234"/>
      <c r="CX238" s="245"/>
      <c r="CY238" s="422" t="s">
        <v>184</v>
      </c>
      <c r="CZ238" s="423"/>
      <c r="DA238" s="211">
        <v>1.558730158730159</v>
      </c>
      <c r="DB238" s="211">
        <v>2.7555555555555555</v>
      </c>
      <c r="DC238" s="230">
        <v>1.1968253968253966</v>
      </c>
      <c r="DD238" s="245"/>
      <c r="DE238" s="239"/>
      <c r="DF238" s="422" t="s">
        <v>184</v>
      </c>
      <c r="DG238" s="423"/>
      <c r="DH238" s="211">
        <v>0.98039215686274495</v>
      </c>
      <c r="DI238" s="211">
        <v>2.5176470588235293</v>
      </c>
      <c r="DJ238" s="230">
        <v>1.5372549019607844</v>
      </c>
      <c r="DK238" s="234"/>
      <c r="DL238" s="239"/>
      <c r="DM238" s="239"/>
      <c r="DN238" s="239"/>
      <c r="DO238" s="239"/>
      <c r="DP238" s="239"/>
      <c r="DQ238" s="234"/>
      <c r="DR238" s="234"/>
      <c r="DS238" s="245"/>
      <c r="DT238" s="241"/>
      <c r="DU238" s="239"/>
      <c r="DV238" s="239"/>
      <c r="DW238" s="239"/>
      <c r="DX238" s="239"/>
      <c r="DY238" s="239"/>
      <c r="DZ238" s="239"/>
      <c r="EA238" s="239"/>
      <c r="EB238" s="239"/>
    </row>
    <row r="239" spans="14:132" ht="20.100000000000001" customHeight="1" x14ac:dyDescent="0.4">
      <c r="N239" s="201"/>
      <c r="O239" s="201"/>
      <c r="P239" s="424" t="s">
        <v>185</v>
      </c>
      <c r="Q239" s="425"/>
      <c r="R239" s="211">
        <v>0</v>
      </c>
      <c r="S239" s="212">
        <v>0</v>
      </c>
      <c r="T239" s="230">
        <v>0</v>
      </c>
      <c r="U239" s="239"/>
      <c r="V239" s="239"/>
      <c r="W239" s="239"/>
      <c r="X239" s="239"/>
      <c r="Y239" s="251"/>
      <c r="Z239" s="424" t="s">
        <v>185</v>
      </c>
      <c r="AA239" s="425"/>
      <c r="AB239" s="211">
        <v>2.1269841269841265</v>
      </c>
      <c r="AC239" s="212">
        <v>2.1269841269841265</v>
      </c>
      <c r="AD239" s="230">
        <v>0</v>
      </c>
      <c r="AE239" s="239"/>
      <c r="AF239" s="239"/>
      <c r="AG239" s="239"/>
      <c r="AH239" s="239"/>
      <c r="AI239" s="251"/>
      <c r="AJ239" s="424" t="s">
        <v>185</v>
      </c>
      <c r="AK239" s="425"/>
      <c r="AL239" s="211">
        <v>1.4603174603174598</v>
      </c>
      <c r="AM239" s="212">
        <v>1.4603174603174598</v>
      </c>
      <c r="AN239" s="230">
        <v>0</v>
      </c>
      <c r="AO239" s="239"/>
      <c r="AP239" s="239"/>
      <c r="AQ239" s="239"/>
      <c r="AR239" s="239"/>
      <c r="AS239" s="251"/>
      <c r="AT239" s="424" t="s">
        <v>185</v>
      </c>
      <c r="AU239" s="425"/>
      <c r="AV239" s="211">
        <v>1.5212121212121206</v>
      </c>
      <c r="AW239" s="212">
        <v>1.5212121212121206</v>
      </c>
      <c r="AX239" s="230">
        <v>0</v>
      </c>
      <c r="AY239" s="239"/>
      <c r="AZ239" s="239"/>
      <c r="BA239" s="239"/>
      <c r="BB239" s="239"/>
      <c r="BC239" s="251"/>
      <c r="BD239" s="134"/>
      <c r="BE239" s="134"/>
      <c r="BF239" s="424" t="s">
        <v>185</v>
      </c>
      <c r="BG239" s="425"/>
      <c r="BH239" s="211">
        <v>1.5619047619047615</v>
      </c>
      <c r="BI239" s="212">
        <v>1.5619047619047615</v>
      </c>
      <c r="BJ239" s="230">
        <v>0</v>
      </c>
      <c r="BK239" s="239"/>
      <c r="BL239" s="239"/>
      <c r="BM239" s="251"/>
      <c r="BN239" s="424" t="s">
        <v>185</v>
      </c>
      <c r="BO239" s="425"/>
      <c r="BP239" s="211">
        <v>0.92121212121212159</v>
      </c>
      <c r="BQ239" s="212">
        <v>0.92121212121212159</v>
      </c>
      <c r="BR239" s="230">
        <v>0</v>
      </c>
      <c r="BS239" s="245"/>
      <c r="BT239" s="245"/>
      <c r="BU239" s="245"/>
      <c r="BV239" s="245"/>
      <c r="BW239" s="251"/>
      <c r="BX239" s="424" t="s">
        <v>185</v>
      </c>
      <c r="BY239" s="425"/>
      <c r="BZ239" s="211">
        <v>1.0133333333333334</v>
      </c>
      <c r="CA239" s="212">
        <v>1.0133333333333334</v>
      </c>
      <c r="CB239" s="230">
        <v>0</v>
      </c>
      <c r="CC239" s="245"/>
      <c r="CD239" s="245"/>
      <c r="CE239" s="245"/>
      <c r="CF239" s="245"/>
      <c r="CG239" s="251"/>
      <c r="CH239" s="424" t="s">
        <v>185</v>
      </c>
      <c r="CI239" s="425"/>
      <c r="CJ239" s="211">
        <v>1.6148148148148147</v>
      </c>
      <c r="CK239" s="212">
        <v>1.6148148148148147</v>
      </c>
      <c r="CL239" s="230">
        <v>0</v>
      </c>
      <c r="CM239" s="245"/>
      <c r="CN239" s="245"/>
      <c r="CO239" s="245"/>
      <c r="CP239" s="245"/>
      <c r="CQ239" s="251"/>
      <c r="CR239" s="424" t="s">
        <v>185</v>
      </c>
      <c r="CS239" s="425"/>
      <c r="CT239" s="211">
        <v>0.65666666666666662</v>
      </c>
      <c r="CU239" s="212">
        <v>0.85666666666666669</v>
      </c>
      <c r="CV239" s="230">
        <v>0.20000000000000007</v>
      </c>
      <c r="CW239" s="245"/>
      <c r="CX239" s="251"/>
      <c r="CY239" s="424" t="s">
        <v>185</v>
      </c>
      <c r="CZ239" s="425"/>
      <c r="DA239" s="211">
        <v>1.2222222222222219</v>
      </c>
      <c r="DB239" s="212">
        <v>0.95555555555555527</v>
      </c>
      <c r="DC239" s="230">
        <v>-0.26666666666666661</v>
      </c>
      <c r="DD239" s="245"/>
      <c r="DE239" s="251"/>
      <c r="DF239" s="424" t="s">
        <v>185</v>
      </c>
      <c r="DG239" s="425"/>
      <c r="DH239" s="211">
        <v>1.4431372549019608</v>
      </c>
      <c r="DI239" s="212">
        <v>1.4431372549019608</v>
      </c>
      <c r="DJ239" s="230">
        <v>0</v>
      </c>
      <c r="DK239" s="245"/>
      <c r="DL239" s="251"/>
      <c r="DM239" s="134"/>
      <c r="DN239" s="134"/>
      <c r="DO239" s="234"/>
      <c r="DP239" s="239"/>
      <c r="DQ239" s="245"/>
      <c r="DR239" s="245"/>
      <c r="DS239" s="245"/>
      <c r="DT239" s="239"/>
      <c r="DU239" s="239"/>
      <c r="DV239" s="239"/>
      <c r="DW239" s="239"/>
      <c r="DX239" s="239"/>
      <c r="DY239" s="239"/>
      <c r="DZ239" s="239"/>
      <c r="EA239" s="239"/>
      <c r="EB239" s="239"/>
    </row>
    <row r="240" spans="14:132" ht="20.100000000000001" customHeight="1" x14ac:dyDescent="0.4">
      <c r="N240" s="201"/>
      <c r="O240" s="201"/>
      <c r="P240" s="424" t="s">
        <v>186</v>
      </c>
      <c r="Q240" s="425"/>
      <c r="R240" s="211">
        <v>0.72083333333333333</v>
      </c>
      <c r="S240" s="212">
        <v>0.92499999999999993</v>
      </c>
      <c r="T240" s="230">
        <v>0.20416666666666661</v>
      </c>
      <c r="U240" s="239"/>
      <c r="V240" s="239"/>
      <c r="W240" s="239"/>
      <c r="X240" s="239"/>
      <c r="Y240" s="251"/>
      <c r="Z240" s="424" t="s">
        <v>186</v>
      </c>
      <c r="AA240" s="425"/>
      <c r="AB240" s="211">
        <v>0.82857142857142863</v>
      </c>
      <c r="AC240" s="212">
        <v>1.2031746031746033</v>
      </c>
      <c r="AD240" s="230">
        <v>0.37460317460317472</v>
      </c>
      <c r="AE240" s="239"/>
      <c r="AF240" s="239"/>
      <c r="AG240" s="239"/>
      <c r="AH240" s="239"/>
      <c r="AI240" s="251"/>
      <c r="AJ240" s="424" t="s">
        <v>186</v>
      </c>
      <c r="AK240" s="425"/>
      <c r="AL240" s="211">
        <v>0.58730158730158732</v>
      </c>
      <c r="AM240" s="212">
        <v>0.96825396825396859</v>
      </c>
      <c r="AN240" s="230">
        <v>0.38095238095238126</v>
      </c>
      <c r="AO240" s="239"/>
      <c r="AP240" s="239"/>
      <c r="AQ240" s="239"/>
      <c r="AR240" s="239"/>
      <c r="AS240" s="251"/>
      <c r="AT240" s="424" t="s">
        <v>186</v>
      </c>
      <c r="AU240" s="425"/>
      <c r="AV240" s="211">
        <v>0.77272727272727282</v>
      </c>
      <c r="AW240" s="212">
        <v>1.1000000000000001</v>
      </c>
      <c r="AX240" s="230">
        <v>0.32727272727272727</v>
      </c>
      <c r="AY240" s="239"/>
      <c r="AZ240" s="239"/>
      <c r="BA240" s="239"/>
      <c r="BB240" s="239"/>
      <c r="BC240" s="251"/>
      <c r="BD240" s="134"/>
      <c r="BE240" s="134"/>
      <c r="BF240" s="424" t="s">
        <v>186</v>
      </c>
      <c r="BG240" s="425"/>
      <c r="BH240" s="211">
        <v>0.65079365079365081</v>
      </c>
      <c r="BI240" s="212">
        <v>0.95873015873015843</v>
      </c>
      <c r="BJ240" s="230">
        <v>0.30793650793650762</v>
      </c>
      <c r="BK240" s="239"/>
      <c r="BL240" s="239"/>
      <c r="BM240" s="251"/>
      <c r="BN240" s="424" t="s">
        <v>186</v>
      </c>
      <c r="BO240" s="425"/>
      <c r="BP240" s="211">
        <v>0.45606060606060606</v>
      </c>
      <c r="BQ240" s="212">
        <v>0.71060606060606046</v>
      </c>
      <c r="BR240" s="230">
        <v>0.25454545454545441</v>
      </c>
      <c r="BS240" s="245"/>
      <c r="BT240" s="245"/>
      <c r="BU240" s="245"/>
      <c r="BV240" s="245"/>
      <c r="BW240" s="251"/>
      <c r="BX240" s="424" t="s">
        <v>186</v>
      </c>
      <c r="BY240" s="425"/>
      <c r="BZ240" s="211">
        <v>0.53666666666666663</v>
      </c>
      <c r="CA240" s="212">
        <v>0.74</v>
      </c>
      <c r="CB240" s="230">
        <v>0.20333333333333337</v>
      </c>
      <c r="CC240" s="245"/>
      <c r="CD240" s="245"/>
      <c r="CE240" s="245"/>
      <c r="CF240" s="245"/>
      <c r="CG240" s="251"/>
      <c r="CH240" s="424" t="s">
        <v>186</v>
      </c>
      <c r="CI240" s="425"/>
      <c r="CJ240" s="211">
        <v>0.50740740740740742</v>
      </c>
      <c r="CK240" s="212">
        <v>0.78148148148148133</v>
      </c>
      <c r="CL240" s="230">
        <v>0.27407407407407391</v>
      </c>
      <c r="CM240" s="245"/>
      <c r="CN240" s="245"/>
      <c r="CO240" s="245"/>
      <c r="CP240" s="245"/>
      <c r="CQ240" s="251"/>
      <c r="CR240" s="424" t="s">
        <v>186</v>
      </c>
      <c r="CS240" s="425"/>
      <c r="CT240" s="211">
        <v>0.33333333333333337</v>
      </c>
      <c r="CU240" s="212">
        <v>0.51333333333333331</v>
      </c>
      <c r="CV240" s="230">
        <v>0.17999999999999994</v>
      </c>
      <c r="CW240" s="245"/>
      <c r="CX240" s="251"/>
      <c r="CY240" s="424" t="s">
        <v>186</v>
      </c>
      <c r="CZ240" s="425"/>
      <c r="DA240" s="211">
        <v>0.39999999999999997</v>
      </c>
      <c r="DB240" s="212">
        <v>0.61587301587301602</v>
      </c>
      <c r="DC240" s="230">
        <v>0.21587301587301605</v>
      </c>
      <c r="DD240" s="245"/>
      <c r="DE240" s="251"/>
      <c r="DF240" s="424" t="s">
        <v>186</v>
      </c>
      <c r="DG240" s="425"/>
      <c r="DH240" s="211">
        <v>0.14509803921568626</v>
      </c>
      <c r="DI240" s="212">
        <v>0.43921568627450974</v>
      </c>
      <c r="DJ240" s="230">
        <v>0.29411764705882348</v>
      </c>
      <c r="DK240" s="245"/>
      <c r="DL240" s="251"/>
      <c r="DM240" s="134"/>
      <c r="DN240" s="134"/>
      <c r="DO240" s="234"/>
      <c r="DP240" s="239"/>
      <c r="DQ240" s="245"/>
      <c r="DR240" s="245"/>
      <c r="DS240" s="245"/>
      <c r="DT240" s="239"/>
      <c r="DU240" s="239"/>
      <c r="DV240" s="239"/>
      <c r="DW240" s="239"/>
      <c r="DX240" s="239"/>
      <c r="DY240" s="239"/>
      <c r="DZ240" s="239"/>
      <c r="EA240" s="239"/>
      <c r="EB240" s="239"/>
    </row>
    <row r="241" spans="14:132" ht="20.100000000000001" customHeight="1" x14ac:dyDescent="0.4">
      <c r="N241" s="201"/>
      <c r="O241" s="201"/>
      <c r="P241" s="422" t="s">
        <v>187</v>
      </c>
      <c r="Q241" s="423"/>
      <c r="R241" s="211">
        <v>0</v>
      </c>
      <c r="S241" s="213">
        <v>0</v>
      </c>
      <c r="T241" s="230">
        <v>0</v>
      </c>
      <c r="U241" s="239"/>
      <c r="V241" s="239"/>
      <c r="W241" s="239"/>
      <c r="X241" s="239"/>
      <c r="Y241" s="250"/>
      <c r="Z241" s="422" t="s">
        <v>187</v>
      </c>
      <c r="AA241" s="423"/>
      <c r="AB241" s="211">
        <v>2.9841269841269842</v>
      </c>
      <c r="AC241" s="213">
        <v>2.9841269841269842</v>
      </c>
      <c r="AD241" s="230">
        <v>0</v>
      </c>
      <c r="AE241" s="239"/>
      <c r="AF241" s="239"/>
      <c r="AG241" s="239"/>
      <c r="AH241" s="239"/>
      <c r="AI241" s="250"/>
      <c r="AJ241" s="422" t="s">
        <v>187</v>
      </c>
      <c r="AK241" s="423"/>
      <c r="AL241" s="211">
        <v>2.6666666666666665</v>
      </c>
      <c r="AM241" s="213">
        <v>2.6666666666666665</v>
      </c>
      <c r="AN241" s="230">
        <v>0</v>
      </c>
      <c r="AO241" s="239"/>
      <c r="AP241" s="239"/>
      <c r="AQ241" s="239"/>
      <c r="AR241" s="239"/>
      <c r="AS241" s="250"/>
      <c r="AT241" s="422" t="s">
        <v>187</v>
      </c>
      <c r="AU241" s="423"/>
      <c r="AV241" s="211">
        <v>1.2727272727272723</v>
      </c>
      <c r="AW241" s="213">
        <v>1.2727272727272723</v>
      </c>
      <c r="AX241" s="230">
        <v>0</v>
      </c>
      <c r="AY241" s="239"/>
      <c r="AZ241" s="239"/>
      <c r="BA241" s="239"/>
      <c r="BB241" s="239"/>
      <c r="BC241" s="250"/>
      <c r="BD241" s="138"/>
      <c r="BE241" s="138"/>
      <c r="BF241" s="422" t="s">
        <v>187</v>
      </c>
      <c r="BG241" s="423"/>
      <c r="BH241" s="211">
        <v>0</v>
      </c>
      <c r="BI241" s="213">
        <v>0</v>
      </c>
      <c r="BJ241" s="230">
        <v>0</v>
      </c>
      <c r="BK241" s="239"/>
      <c r="BL241" s="239"/>
      <c r="BM241" s="250"/>
      <c r="BN241" s="422" t="s">
        <v>187</v>
      </c>
      <c r="BO241" s="423"/>
      <c r="BP241" s="211">
        <v>0</v>
      </c>
      <c r="BQ241" s="213">
        <v>0</v>
      </c>
      <c r="BR241" s="230">
        <v>0</v>
      </c>
      <c r="BS241" s="245"/>
      <c r="BT241" s="245"/>
      <c r="BU241" s="245"/>
      <c r="BV241" s="245"/>
      <c r="BW241" s="250"/>
      <c r="BX241" s="422" t="s">
        <v>187</v>
      </c>
      <c r="BY241" s="423"/>
      <c r="BZ241" s="211">
        <v>0</v>
      </c>
      <c r="CA241" s="213">
        <v>0</v>
      </c>
      <c r="CB241" s="230">
        <v>0</v>
      </c>
      <c r="CC241" s="245"/>
      <c r="CD241" s="245"/>
      <c r="CE241" s="245"/>
      <c r="CF241" s="245"/>
      <c r="CG241" s="250"/>
      <c r="CH241" s="422" t="s">
        <v>187</v>
      </c>
      <c r="CI241" s="423"/>
      <c r="CJ241" s="211">
        <v>5.1259259259259258</v>
      </c>
      <c r="CK241" s="213">
        <v>6.0888888888888886</v>
      </c>
      <c r="CL241" s="230">
        <v>0.9629629629629628</v>
      </c>
      <c r="CM241" s="245"/>
      <c r="CN241" s="245"/>
      <c r="CO241" s="245"/>
      <c r="CP241" s="245"/>
      <c r="CQ241" s="250"/>
      <c r="CR241" s="422" t="s">
        <v>187</v>
      </c>
      <c r="CS241" s="423"/>
      <c r="CT241" s="211">
        <v>0.93333333333333324</v>
      </c>
      <c r="CU241" s="213">
        <v>0.93333333333333324</v>
      </c>
      <c r="CV241" s="230">
        <v>0</v>
      </c>
      <c r="CW241" s="245"/>
      <c r="CX241" s="250"/>
      <c r="CY241" s="422" t="s">
        <v>187</v>
      </c>
      <c r="CZ241" s="423"/>
      <c r="DA241" s="211">
        <v>1.3333333333333333</v>
      </c>
      <c r="DB241" s="213">
        <v>1.6507936507936507</v>
      </c>
      <c r="DC241" s="230">
        <v>0.31746031746031744</v>
      </c>
      <c r="DD241" s="245"/>
      <c r="DE241" s="250"/>
      <c r="DF241" s="422" t="s">
        <v>187</v>
      </c>
      <c r="DG241" s="423"/>
      <c r="DH241" s="211">
        <v>0</v>
      </c>
      <c r="DI241" s="213">
        <v>0.5490196078431373</v>
      </c>
      <c r="DJ241" s="230">
        <v>0.5490196078431373</v>
      </c>
      <c r="DK241" s="245"/>
      <c r="DL241" s="250"/>
      <c r="DM241" s="138"/>
      <c r="DN241" s="138"/>
      <c r="DO241" s="234"/>
      <c r="DP241" s="239"/>
      <c r="DQ241" s="245"/>
      <c r="DR241" s="245"/>
      <c r="DS241" s="245"/>
      <c r="DT241" s="239"/>
      <c r="DU241" s="239"/>
      <c r="DV241" s="239"/>
      <c r="DW241" s="239"/>
      <c r="DX241" s="239"/>
      <c r="DY241" s="239"/>
      <c r="DZ241" s="239"/>
      <c r="EA241" s="239"/>
      <c r="EB241" s="239"/>
    </row>
    <row r="242" spans="14:132" ht="20.100000000000001" customHeight="1" x14ac:dyDescent="0.4">
      <c r="N242" s="201"/>
      <c r="O242" s="201"/>
      <c r="P242" s="422" t="s">
        <v>188</v>
      </c>
      <c r="Q242" s="423"/>
      <c r="R242" s="211">
        <v>0.45</v>
      </c>
      <c r="S242" s="212">
        <v>0.76249999999999996</v>
      </c>
      <c r="T242" s="230">
        <v>0.31249999999999994</v>
      </c>
      <c r="U242" s="239"/>
      <c r="V242" s="239"/>
      <c r="W242" s="239"/>
      <c r="X242" s="239"/>
      <c r="Y242" s="250"/>
      <c r="Z242" s="422" t="s">
        <v>188</v>
      </c>
      <c r="AA242" s="423"/>
      <c r="AB242" s="211">
        <v>1.1587301587301588</v>
      </c>
      <c r="AC242" s="212">
        <v>1.746031746031746</v>
      </c>
      <c r="AD242" s="230">
        <v>0.58730158730158721</v>
      </c>
      <c r="AE242" s="239"/>
      <c r="AF242" s="239"/>
      <c r="AG242" s="239"/>
      <c r="AH242" s="239"/>
      <c r="AI242" s="250"/>
      <c r="AJ242" s="422" t="s">
        <v>188</v>
      </c>
      <c r="AK242" s="423"/>
      <c r="AL242" s="211">
        <v>0.60317460317460314</v>
      </c>
      <c r="AM242" s="212">
        <v>0.87936507936507935</v>
      </c>
      <c r="AN242" s="230">
        <v>0.27619047619047621</v>
      </c>
      <c r="AO242" s="239"/>
      <c r="AP242" s="239"/>
      <c r="AQ242" s="239"/>
      <c r="AR242" s="239"/>
      <c r="AS242" s="250"/>
      <c r="AT242" s="422" t="s">
        <v>188</v>
      </c>
      <c r="AU242" s="423"/>
      <c r="AV242" s="211">
        <v>0.82727272727272727</v>
      </c>
      <c r="AW242" s="212">
        <v>1.0303030303030303</v>
      </c>
      <c r="AX242" s="230">
        <v>0.20303030303030301</v>
      </c>
      <c r="AY242" s="239"/>
      <c r="AZ242" s="239"/>
      <c r="BA242" s="239"/>
      <c r="BB242" s="239"/>
      <c r="BC242" s="250"/>
      <c r="BD242" s="134"/>
      <c r="BE242" s="134"/>
      <c r="BF242" s="422" t="s">
        <v>188</v>
      </c>
      <c r="BG242" s="423"/>
      <c r="BH242" s="211">
        <v>0.38730158730158731</v>
      </c>
      <c r="BI242" s="212">
        <v>0.53015873015873016</v>
      </c>
      <c r="BJ242" s="230">
        <v>0.14285714285714285</v>
      </c>
      <c r="BK242" s="239"/>
      <c r="BL242" s="239"/>
      <c r="BM242" s="250"/>
      <c r="BN242" s="422" t="s">
        <v>188</v>
      </c>
      <c r="BO242" s="423"/>
      <c r="BP242" s="211">
        <v>4.5454545454545456E-2</v>
      </c>
      <c r="BQ242" s="212">
        <v>6.363636363636363E-2</v>
      </c>
      <c r="BR242" s="230">
        <v>1.8181818181818174E-2</v>
      </c>
      <c r="BS242" s="245"/>
      <c r="BT242" s="245"/>
      <c r="BU242" s="245"/>
      <c r="BV242" s="245"/>
      <c r="BW242" s="250"/>
      <c r="BX242" s="422" t="s">
        <v>188</v>
      </c>
      <c r="BY242" s="423"/>
      <c r="BZ242" s="211">
        <v>0.85333333333333328</v>
      </c>
      <c r="CA242" s="212">
        <v>0.87333333333333329</v>
      </c>
      <c r="CB242" s="230">
        <v>2.0000000000000018E-2</v>
      </c>
      <c r="CC242" s="245"/>
      <c r="CD242" s="245"/>
      <c r="CE242" s="245"/>
      <c r="CF242" s="245"/>
      <c r="CG242" s="250"/>
      <c r="CH242" s="422" t="s">
        <v>188</v>
      </c>
      <c r="CI242" s="423"/>
      <c r="CJ242" s="211">
        <v>2.5222222222222221</v>
      </c>
      <c r="CK242" s="212">
        <v>4.0074074074074071</v>
      </c>
      <c r="CL242" s="230">
        <v>1.4851851851851849</v>
      </c>
      <c r="CM242" s="245"/>
      <c r="CN242" s="245"/>
      <c r="CO242" s="245"/>
      <c r="CP242" s="245"/>
      <c r="CQ242" s="250"/>
      <c r="CR242" s="422" t="s">
        <v>188</v>
      </c>
      <c r="CS242" s="423"/>
      <c r="CT242" s="211">
        <v>0.36666666666666664</v>
      </c>
      <c r="CU242" s="212">
        <v>0.7433333333333334</v>
      </c>
      <c r="CV242" s="230">
        <v>0.37666666666666676</v>
      </c>
      <c r="CW242" s="245"/>
      <c r="CX242" s="250"/>
      <c r="CY242" s="422" t="s">
        <v>188</v>
      </c>
      <c r="CZ242" s="423"/>
      <c r="DA242" s="211">
        <v>1.0476190476190474</v>
      </c>
      <c r="DB242" s="212">
        <v>1.3047619047619046</v>
      </c>
      <c r="DC242" s="230">
        <v>0.25714285714285712</v>
      </c>
      <c r="DD242" s="245"/>
      <c r="DE242" s="250"/>
      <c r="DF242" s="422" t="s">
        <v>188</v>
      </c>
      <c r="DG242" s="423"/>
      <c r="DH242" s="211">
        <v>0.10980392156862745</v>
      </c>
      <c r="DI242" s="212">
        <v>0.33725490196078434</v>
      </c>
      <c r="DJ242" s="230">
        <v>0.22745098039215689</v>
      </c>
      <c r="DK242" s="245"/>
      <c r="DL242" s="250"/>
      <c r="DM242" s="134"/>
      <c r="DN242" s="134"/>
      <c r="DO242" s="234"/>
      <c r="DP242" s="239"/>
      <c r="DQ242" s="245"/>
      <c r="DR242" s="245"/>
      <c r="DS242" s="245"/>
      <c r="DT242" s="239"/>
      <c r="DU242" s="239"/>
      <c r="DV242" s="239"/>
      <c r="DW242" s="239"/>
      <c r="DX242" s="239"/>
      <c r="DY242" s="239"/>
      <c r="DZ242" s="239"/>
      <c r="EA242" s="239"/>
      <c r="EB242" s="239"/>
    </row>
    <row r="243" spans="14:132" ht="20.100000000000001" customHeight="1" x14ac:dyDescent="0.4">
      <c r="N243" s="201"/>
      <c r="O243" s="201"/>
      <c r="P243" s="422" t="s">
        <v>189</v>
      </c>
      <c r="Q243" s="423"/>
      <c r="R243" s="211">
        <v>5.833333333333333</v>
      </c>
      <c r="S243" s="212">
        <v>5.833333333333333</v>
      </c>
      <c r="T243" s="230">
        <v>0</v>
      </c>
      <c r="U243" s="239"/>
      <c r="V243" s="239"/>
      <c r="W243" s="239"/>
      <c r="X243" s="239"/>
      <c r="Y243" s="250"/>
      <c r="Z243" s="422" t="s">
        <v>189</v>
      </c>
      <c r="AA243" s="423"/>
      <c r="AB243" s="211">
        <v>7.8412698412698401</v>
      </c>
      <c r="AC243" s="212">
        <v>8.7936507936507926</v>
      </c>
      <c r="AD243" s="230">
        <v>0.95238095238095255</v>
      </c>
      <c r="AE243" s="239"/>
      <c r="AF243" s="239"/>
      <c r="AG243" s="239"/>
      <c r="AH243" s="239"/>
      <c r="AI243" s="250"/>
      <c r="AJ243" s="422" t="s">
        <v>189</v>
      </c>
      <c r="AK243" s="423"/>
      <c r="AL243" s="211">
        <v>7.7968253968253958</v>
      </c>
      <c r="AM243" s="212">
        <v>8.936507936507935</v>
      </c>
      <c r="AN243" s="230">
        <v>1.1396825396825392</v>
      </c>
      <c r="AO243" s="239"/>
      <c r="AP243" s="239"/>
      <c r="AQ243" s="239"/>
      <c r="AR243" s="239"/>
      <c r="AS243" s="250"/>
      <c r="AT243" s="422" t="s">
        <v>189</v>
      </c>
      <c r="AU243" s="423"/>
      <c r="AV243" s="211">
        <v>7.2484848484848472</v>
      </c>
      <c r="AW243" s="212">
        <v>7.9757575757575756</v>
      </c>
      <c r="AX243" s="230">
        <v>0.7272727272727284</v>
      </c>
      <c r="AY243" s="239"/>
      <c r="AZ243" s="239"/>
      <c r="BA243" s="239"/>
      <c r="BB243" s="239"/>
      <c r="BC243" s="250"/>
      <c r="BD243" s="134"/>
      <c r="BE243" s="134"/>
      <c r="BF243" s="422" t="s">
        <v>189</v>
      </c>
      <c r="BG243" s="423"/>
      <c r="BH243" s="211">
        <v>5.0539682539682529</v>
      </c>
      <c r="BI243" s="212">
        <v>9.4349206349206334</v>
      </c>
      <c r="BJ243" s="230">
        <v>4.3809523809523805</v>
      </c>
      <c r="BK243" s="239"/>
      <c r="BL243" s="239"/>
      <c r="BM243" s="250"/>
      <c r="BN243" s="422" t="s">
        <v>189</v>
      </c>
      <c r="BO243" s="423"/>
      <c r="BP243" s="211">
        <v>7.0969696969696994</v>
      </c>
      <c r="BQ243" s="212">
        <v>7.824242424242426</v>
      </c>
      <c r="BR243" s="230">
        <v>0.72727272727272663</v>
      </c>
      <c r="BS243" s="245"/>
      <c r="BT243" s="245"/>
      <c r="BU243" s="245"/>
      <c r="BV243" s="245"/>
      <c r="BW243" s="250"/>
      <c r="BX243" s="422" t="s">
        <v>189</v>
      </c>
      <c r="BY243" s="423"/>
      <c r="BZ243" s="211">
        <v>3.5466666666666669</v>
      </c>
      <c r="CA243" s="212">
        <v>6.2133333333333338</v>
      </c>
      <c r="CB243" s="230">
        <v>2.666666666666667</v>
      </c>
      <c r="CC243" s="245"/>
      <c r="CD243" s="245"/>
      <c r="CE243" s="245"/>
      <c r="CF243" s="245"/>
      <c r="CG243" s="250"/>
      <c r="CH243" s="422" t="s">
        <v>189</v>
      </c>
      <c r="CI243" s="423"/>
      <c r="CJ243" s="211">
        <v>8</v>
      </c>
      <c r="CK243" s="212">
        <v>10</v>
      </c>
      <c r="CL243" s="230">
        <v>2</v>
      </c>
      <c r="CM243" s="245"/>
      <c r="CN243" s="245"/>
      <c r="CO243" s="245"/>
      <c r="CP243" s="245"/>
      <c r="CQ243" s="250"/>
      <c r="CR243" s="422" t="s">
        <v>189</v>
      </c>
      <c r="CS243" s="423"/>
      <c r="CT243" s="211">
        <v>5.003333333333333</v>
      </c>
      <c r="CU243" s="212">
        <v>6.3233333333333333</v>
      </c>
      <c r="CV243" s="230">
        <v>1.3200000000000003</v>
      </c>
      <c r="CW243" s="245"/>
      <c r="CX243" s="250"/>
      <c r="CY243" s="422" t="s">
        <v>189</v>
      </c>
      <c r="CZ243" s="423"/>
      <c r="DA243" s="211">
        <v>4.5238095238095237</v>
      </c>
      <c r="DB243" s="212">
        <v>5.6222222222222218</v>
      </c>
      <c r="DC243" s="230">
        <v>1.0984126984126981</v>
      </c>
      <c r="DD243" s="245"/>
      <c r="DE243" s="250"/>
      <c r="DF243" s="422" t="s">
        <v>189</v>
      </c>
      <c r="DG243" s="423"/>
      <c r="DH243" s="211">
        <v>1.4431372549019608</v>
      </c>
      <c r="DI243" s="212">
        <v>5.2705882352941176</v>
      </c>
      <c r="DJ243" s="230">
        <v>3.8274509803921566</v>
      </c>
      <c r="DK243" s="245"/>
      <c r="DL243" s="250"/>
      <c r="DM243" s="134"/>
      <c r="DN243" s="134"/>
      <c r="DO243" s="234"/>
      <c r="DP243" s="239"/>
      <c r="DQ243" s="245"/>
      <c r="DR243" s="245"/>
      <c r="DS243" s="245"/>
      <c r="DT243" s="239"/>
      <c r="DU243" s="239"/>
      <c r="DV243" s="239"/>
      <c r="DW243" s="239"/>
      <c r="DX243" s="239"/>
      <c r="DY243" s="239"/>
      <c r="DZ243" s="239"/>
      <c r="EA243" s="239"/>
      <c r="EB243" s="239"/>
    </row>
    <row r="244" spans="14:132" ht="20.100000000000001" customHeight="1" x14ac:dyDescent="0.4">
      <c r="N244" s="201"/>
      <c r="O244" s="201"/>
      <c r="P244" s="422" t="s">
        <v>190</v>
      </c>
      <c r="Q244" s="423"/>
      <c r="R244" s="211">
        <v>4.375</v>
      </c>
      <c r="S244" s="214">
        <v>5.625</v>
      </c>
      <c r="T244" s="230">
        <v>1.25</v>
      </c>
      <c r="U244" s="239"/>
      <c r="V244" s="239"/>
      <c r="W244" s="239"/>
      <c r="X244" s="239"/>
      <c r="Y244" s="250"/>
      <c r="Z244" s="422" t="s">
        <v>190</v>
      </c>
      <c r="AA244" s="423"/>
      <c r="AB244" s="211">
        <v>4.2920634920634919</v>
      </c>
      <c r="AC244" s="214">
        <v>6.6730158730158733</v>
      </c>
      <c r="AD244" s="230">
        <v>2.3809523809523814</v>
      </c>
      <c r="AE244" s="239"/>
      <c r="AF244" s="239"/>
      <c r="AG244" s="239"/>
      <c r="AH244" s="239"/>
      <c r="AI244" s="250"/>
      <c r="AJ244" s="422" t="s">
        <v>190</v>
      </c>
      <c r="AK244" s="423"/>
      <c r="AL244" s="211">
        <v>3.8095238095238098</v>
      </c>
      <c r="AM244" s="214">
        <v>6.193650793650793</v>
      </c>
      <c r="AN244" s="230">
        <v>2.3841269841269832</v>
      </c>
      <c r="AO244" s="239"/>
      <c r="AP244" s="239"/>
      <c r="AQ244" s="239"/>
      <c r="AR244" s="239"/>
      <c r="AS244" s="250"/>
      <c r="AT244" s="422" t="s">
        <v>190</v>
      </c>
      <c r="AU244" s="423"/>
      <c r="AV244" s="211">
        <v>4.9969696969696971</v>
      </c>
      <c r="AW244" s="214">
        <v>7.2818181818181822</v>
      </c>
      <c r="AX244" s="230">
        <v>2.2848484848484851</v>
      </c>
      <c r="AY244" s="239"/>
      <c r="AZ244" s="239"/>
      <c r="BA244" s="239"/>
      <c r="BB244" s="239"/>
      <c r="BC244" s="250"/>
      <c r="BD244" s="138"/>
      <c r="BE244" s="138"/>
      <c r="BF244" s="422" t="s">
        <v>190</v>
      </c>
      <c r="BG244" s="423"/>
      <c r="BH244" s="211">
        <v>4.2825396825396824</v>
      </c>
      <c r="BI244" s="214">
        <v>6.6666666666666661</v>
      </c>
      <c r="BJ244" s="230">
        <v>2.3841269841269837</v>
      </c>
      <c r="BK244" s="239"/>
      <c r="BL244" s="239"/>
      <c r="BM244" s="250"/>
      <c r="BN244" s="422" t="s">
        <v>190</v>
      </c>
      <c r="BO244" s="423"/>
      <c r="BP244" s="211">
        <v>3.6363636363636362</v>
      </c>
      <c r="BQ244" s="214">
        <v>5.9121212121212112</v>
      </c>
      <c r="BR244" s="230">
        <v>2.275757575757575</v>
      </c>
      <c r="BS244" s="245"/>
      <c r="BT244" s="245"/>
      <c r="BU244" s="245"/>
      <c r="BV244" s="245"/>
      <c r="BW244" s="250"/>
      <c r="BX244" s="422" t="s">
        <v>190</v>
      </c>
      <c r="BY244" s="423"/>
      <c r="BZ244" s="211">
        <v>4.4966666666666661</v>
      </c>
      <c r="CA244" s="214">
        <v>6.496666666666667</v>
      </c>
      <c r="CB244" s="230">
        <v>2.0000000000000009</v>
      </c>
      <c r="CC244" s="245"/>
      <c r="CD244" s="245"/>
      <c r="CE244" s="245"/>
      <c r="CF244" s="245"/>
      <c r="CG244" s="250"/>
      <c r="CH244" s="422" t="s">
        <v>190</v>
      </c>
      <c r="CI244" s="423"/>
      <c r="CJ244" s="211">
        <v>3.8888888888888888</v>
      </c>
      <c r="CK244" s="214">
        <v>6.1111111111111107</v>
      </c>
      <c r="CL244" s="230">
        <v>2.2222222222222219</v>
      </c>
      <c r="CM244" s="245"/>
      <c r="CN244" s="245"/>
      <c r="CO244" s="245"/>
      <c r="CP244" s="245"/>
      <c r="CQ244" s="250"/>
      <c r="CR244" s="422" t="s">
        <v>190</v>
      </c>
      <c r="CS244" s="423"/>
      <c r="CT244" s="211">
        <v>2.8000000000000003</v>
      </c>
      <c r="CU244" s="214">
        <v>4.55</v>
      </c>
      <c r="CV244" s="230">
        <v>1.7499999999999996</v>
      </c>
      <c r="CW244" s="245"/>
      <c r="CX244" s="250"/>
      <c r="CY244" s="422" t="s">
        <v>190</v>
      </c>
      <c r="CZ244" s="423"/>
      <c r="DA244" s="211">
        <v>3.0063492063492063</v>
      </c>
      <c r="DB244" s="214">
        <v>4.6761904761904756</v>
      </c>
      <c r="DC244" s="230">
        <v>1.6698412698412692</v>
      </c>
      <c r="DD244" s="245"/>
      <c r="DE244" s="250"/>
      <c r="DF244" s="422" t="s">
        <v>190</v>
      </c>
      <c r="DG244" s="423"/>
      <c r="DH244" s="211">
        <v>1.2352941176470587</v>
      </c>
      <c r="DI244" s="214">
        <v>3.2941176470588234</v>
      </c>
      <c r="DJ244" s="230">
        <v>2.0588235294117645</v>
      </c>
      <c r="DK244" s="245"/>
      <c r="DL244" s="250"/>
      <c r="DM244" s="138"/>
      <c r="DN244" s="138"/>
      <c r="DO244" s="234"/>
      <c r="DP244" s="239"/>
      <c r="DQ244" s="245"/>
      <c r="DR244" s="245"/>
      <c r="DS244" s="245"/>
      <c r="DT244" s="239"/>
      <c r="DU244" s="239"/>
      <c r="DV244" s="239"/>
      <c r="DW244" s="239"/>
      <c r="DX244" s="239"/>
      <c r="DY244" s="239"/>
      <c r="DZ244" s="239"/>
      <c r="EA244" s="239"/>
      <c r="EB244" s="239"/>
    </row>
    <row r="245" spans="14:132" ht="20.100000000000001" customHeight="1" x14ac:dyDescent="0.4">
      <c r="N245" s="201"/>
      <c r="O245" s="201"/>
      <c r="P245" s="201"/>
      <c r="Q245" s="201"/>
      <c r="R245" s="203"/>
      <c r="S245" s="202"/>
      <c r="U245" s="239"/>
      <c r="V245" s="239"/>
      <c r="W245" s="239"/>
      <c r="X245" s="239"/>
      <c r="Y245" s="239"/>
      <c r="Z245" s="239"/>
      <c r="AA245" s="239"/>
      <c r="AB245" s="239"/>
      <c r="AC245" s="239"/>
      <c r="AD245" s="239"/>
      <c r="AE245" s="239"/>
      <c r="AF245" s="239"/>
      <c r="AG245" s="239"/>
      <c r="AH245" s="239"/>
      <c r="AI245" s="239"/>
      <c r="AJ245" s="239"/>
      <c r="AK245" s="239"/>
      <c r="AL245" s="239"/>
      <c r="AM245" s="239"/>
      <c r="AN245" s="239"/>
      <c r="AO245" s="239"/>
      <c r="AP245" s="239"/>
      <c r="AQ245" s="239"/>
      <c r="AR245" s="239"/>
      <c r="AS245" s="239"/>
      <c r="AT245" s="239"/>
      <c r="AU245" s="239"/>
      <c r="AV245" s="239"/>
      <c r="AW245" s="239"/>
      <c r="AX245" s="239"/>
      <c r="AY245" s="239"/>
      <c r="AZ245" s="239"/>
      <c r="BA245" s="239"/>
      <c r="BB245" s="239"/>
      <c r="BC245" s="239"/>
      <c r="BD245" s="239"/>
      <c r="BE245" s="239"/>
      <c r="BF245" s="239"/>
      <c r="BG245" s="239"/>
      <c r="BH245" s="239"/>
      <c r="BI245" s="239"/>
      <c r="BJ245" s="239"/>
      <c r="BK245" s="239"/>
      <c r="BL245" s="239"/>
      <c r="BM245" s="239"/>
      <c r="BN245" s="239"/>
      <c r="BO245" s="239"/>
      <c r="BP245" s="239"/>
      <c r="BQ245" s="239"/>
      <c r="BR245" s="239"/>
      <c r="BS245" s="239"/>
      <c r="BT245" s="239"/>
      <c r="BU245" s="239"/>
      <c r="BV245" s="239"/>
      <c r="BW245" s="245"/>
      <c r="BX245" s="245"/>
      <c r="BY245" s="245"/>
      <c r="BZ245" s="245"/>
      <c r="CA245" s="245"/>
      <c r="CB245" s="239"/>
      <c r="CC245" s="239"/>
      <c r="CD245" s="239"/>
      <c r="CE245" s="239"/>
      <c r="CF245" s="239"/>
      <c r="CG245" s="239"/>
      <c r="CH245" s="239"/>
      <c r="CI245" s="239"/>
      <c r="CJ245" s="239"/>
      <c r="CK245" s="239"/>
      <c r="CL245" s="239"/>
      <c r="CM245" s="239"/>
      <c r="CN245" s="239"/>
      <c r="CO245" s="239"/>
      <c r="CP245" s="239"/>
      <c r="CQ245" s="239"/>
      <c r="CR245" s="239"/>
      <c r="CS245" s="239"/>
      <c r="CT245" s="239"/>
      <c r="CU245" s="239"/>
      <c r="CV245" s="239"/>
      <c r="CW245" s="239"/>
      <c r="CX245" s="239"/>
      <c r="CY245" s="239"/>
      <c r="CZ245" s="239"/>
      <c r="DA245" s="239"/>
      <c r="DB245" s="239"/>
      <c r="DC245" s="239"/>
      <c r="DD245" s="239"/>
      <c r="DE245" s="239"/>
      <c r="DF245" s="239"/>
      <c r="DG245" s="239"/>
      <c r="DH245" s="239"/>
      <c r="DI245" s="239"/>
      <c r="DJ245" s="239"/>
      <c r="DK245" s="239"/>
      <c r="DL245" s="239"/>
      <c r="DM245" s="239"/>
      <c r="DN245" s="239"/>
      <c r="DO245" s="239"/>
      <c r="DP245" s="239"/>
      <c r="DQ245" s="239"/>
      <c r="DR245" s="239"/>
      <c r="DS245" s="239"/>
      <c r="DT245" s="239"/>
      <c r="DU245" s="239"/>
      <c r="DV245" s="239"/>
      <c r="DW245" s="239"/>
      <c r="DX245" s="239"/>
      <c r="DY245" s="239"/>
      <c r="DZ245" s="239"/>
      <c r="EA245" s="239"/>
      <c r="EB245" s="239"/>
    </row>
    <row r="246" spans="14:132" ht="20.100000000000001" customHeight="1" x14ac:dyDescent="0.4">
      <c r="N246" s="201"/>
      <c r="O246" s="201"/>
      <c r="P246" s="426" t="s">
        <v>433</v>
      </c>
      <c r="Q246" s="427"/>
      <c r="R246" s="206" t="s">
        <v>180</v>
      </c>
      <c r="S246" s="207" t="s">
        <v>181</v>
      </c>
      <c r="T246" s="208" t="s">
        <v>182</v>
      </c>
      <c r="U246" s="239"/>
      <c r="V246" s="239"/>
      <c r="W246" s="239"/>
      <c r="X246" s="239"/>
      <c r="Y246" s="246"/>
      <c r="Z246" s="426" t="s">
        <v>498</v>
      </c>
      <c r="AA246" s="430"/>
      <c r="AB246" s="206" t="s">
        <v>180</v>
      </c>
      <c r="AC246" s="207" t="s">
        <v>181</v>
      </c>
      <c r="AD246" s="208" t="s">
        <v>182</v>
      </c>
      <c r="AE246" s="239"/>
      <c r="AF246" s="239"/>
      <c r="AG246" s="239"/>
      <c r="AH246" s="239"/>
      <c r="AI246" s="246"/>
      <c r="AJ246" s="426" t="s">
        <v>530</v>
      </c>
      <c r="AK246" s="427"/>
      <c r="AL246" s="206" t="s">
        <v>180</v>
      </c>
      <c r="AM246" s="207" t="s">
        <v>181</v>
      </c>
      <c r="AN246" s="208" t="s">
        <v>182</v>
      </c>
      <c r="AO246" s="239"/>
      <c r="AP246" s="239"/>
      <c r="AQ246" s="239"/>
      <c r="AR246" s="239"/>
      <c r="AS246" s="246"/>
      <c r="AT246" s="426" t="s">
        <v>596</v>
      </c>
      <c r="AU246" s="427"/>
      <c r="AV246" s="206" t="s">
        <v>180</v>
      </c>
      <c r="AW246" s="207" t="s">
        <v>181</v>
      </c>
      <c r="AX246" s="208" t="s">
        <v>182</v>
      </c>
      <c r="AY246" s="239"/>
      <c r="AZ246" s="239"/>
      <c r="BA246" s="239"/>
      <c r="BB246" s="239"/>
      <c r="BC246" s="246"/>
      <c r="BD246" s="247"/>
      <c r="BE246" s="248"/>
      <c r="BF246" s="426" t="s">
        <v>635</v>
      </c>
      <c r="BG246" s="427"/>
      <c r="BH246" s="206" t="s">
        <v>180</v>
      </c>
      <c r="BI246" s="207" t="s">
        <v>181</v>
      </c>
      <c r="BJ246" s="208" t="s">
        <v>182</v>
      </c>
      <c r="BK246" s="239"/>
      <c r="BL246" s="239"/>
      <c r="BM246" s="246"/>
      <c r="BN246" s="426" t="s">
        <v>673</v>
      </c>
      <c r="BO246" s="427"/>
      <c r="BP246" s="206" t="s">
        <v>180</v>
      </c>
      <c r="BQ246" s="207" t="s">
        <v>181</v>
      </c>
      <c r="BR246" s="208" t="s">
        <v>182</v>
      </c>
      <c r="BS246" s="239"/>
      <c r="BT246" s="239"/>
      <c r="BU246" s="239"/>
      <c r="BV246" s="239"/>
      <c r="BW246" s="246"/>
      <c r="BX246" s="426" t="s">
        <v>704</v>
      </c>
      <c r="BY246" s="427"/>
      <c r="BZ246" s="206" t="s">
        <v>180</v>
      </c>
      <c r="CA246" s="207" t="s">
        <v>181</v>
      </c>
      <c r="CB246" s="208" t="s">
        <v>182</v>
      </c>
      <c r="CC246" s="239"/>
      <c r="CD246" s="239"/>
      <c r="CE246" s="239"/>
      <c r="CF246" s="239"/>
      <c r="CG246" s="246"/>
      <c r="CH246" s="426" t="s">
        <v>748</v>
      </c>
      <c r="CI246" s="427"/>
      <c r="CJ246" s="206" t="s">
        <v>180</v>
      </c>
      <c r="CK246" s="207" t="s">
        <v>181</v>
      </c>
      <c r="CL246" s="208" t="s">
        <v>182</v>
      </c>
      <c r="CM246" s="239"/>
      <c r="CN246" s="239"/>
      <c r="CO246" s="239"/>
      <c r="CP246" s="239"/>
      <c r="CQ246" s="246"/>
      <c r="CR246" s="426" t="s">
        <v>776</v>
      </c>
      <c r="CS246" s="427"/>
      <c r="CT246" s="206" t="s">
        <v>180</v>
      </c>
      <c r="CU246" s="207" t="s">
        <v>181</v>
      </c>
      <c r="CV246" s="208" t="s">
        <v>182</v>
      </c>
      <c r="CW246" s="239"/>
      <c r="CX246" s="246"/>
      <c r="CY246" s="426" t="s">
        <v>840</v>
      </c>
      <c r="CZ246" s="427"/>
      <c r="DA246" s="206" t="s">
        <v>180</v>
      </c>
      <c r="DB246" s="207" t="s">
        <v>181</v>
      </c>
      <c r="DC246" s="208" t="s">
        <v>182</v>
      </c>
      <c r="DD246" s="239"/>
      <c r="DE246" s="246"/>
      <c r="DF246" s="426" t="s">
        <v>906</v>
      </c>
      <c r="DG246" s="427"/>
      <c r="DH246" s="206" t="s">
        <v>180</v>
      </c>
      <c r="DI246" s="207" t="s">
        <v>181</v>
      </c>
      <c r="DJ246" s="208" t="s">
        <v>182</v>
      </c>
      <c r="DK246" s="239"/>
      <c r="DL246" s="246"/>
      <c r="DM246" s="247"/>
      <c r="DN246" s="248"/>
      <c r="DO246" s="249"/>
      <c r="DP246" s="239"/>
      <c r="DQ246" s="239"/>
      <c r="DR246" s="239"/>
      <c r="DS246" s="239"/>
      <c r="DT246" s="239"/>
      <c r="DU246" s="239"/>
      <c r="DV246" s="239"/>
      <c r="DW246" s="239"/>
      <c r="DX246" s="239"/>
      <c r="DY246" s="239"/>
      <c r="DZ246" s="239"/>
      <c r="EA246" s="239"/>
      <c r="EB246" s="239"/>
    </row>
    <row r="247" spans="14:132" ht="20.100000000000001" customHeight="1" x14ac:dyDescent="0.4">
      <c r="N247" s="201"/>
      <c r="O247" s="201"/>
      <c r="P247" s="422" t="s">
        <v>183</v>
      </c>
      <c r="Q247" s="423"/>
      <c r="R247" s="211">
        <v>0</v>
      </c>
      <c r="S247" s="211">
        <v>5.833333333333333</v>
      </c>
      <c r="T247" s="230">
        <v>5.833333333333333</v>
      </c>
      <c r="U247" s="239"/>
      <c r="V247" s="239"/>
      <c r="W247" s="239"/>
      <c r="X247" s="239"/>
      <c r="Y247" s="250"/>
      <c r="Z247" s="422" t="s">
        <v>183</v>
      </c>
      <c r="AA247" s="423"/>
      <c r="AB247" s="211">
        <v>1.2380952380952381</v>
      </c>
      <c r="AC247" s="211">
        <v>2.7301587301587298</v>
      </c>
      <c r="AD247" s="230">
        <v>1.4920634920634916</v>
      </c>
      <c r="AE247" s="239"/>
      <c r="AF247" s="239"/>
      <c r="AG247" s="239"/>
      <c r="AH247" s="239"/>
      <c r="AI247" s="250"/>
      <c r="AJ247" s="422" t="s">
        <v>183</v>
      </c>
      <c r="AK247" s="423"/>
      <c r="AL247" s="211">
        <v>0</v>
      </c>
      <c r="AM247" s="211">
        <v>3.6698412698412701</v>
      </c>
      <c r="AN247" s="230">
        <v>3.6698412698412701</v>
      </c>
      <c r="AO247" s="239"/>
      <c r="AP247" s="239"/>
      <c r="AQ247" s="239"/>
      <c r="AR247" s="239"/>
      <c r="AS247" s="250"/>
      <c r="AT247" s="422" t="s">
        <v>183</v>
      </c>
      <c r="AU247" s="423"/>
      <c r="AV247" s="211">
        <v>2.0303030303030303</v>
      </c>
      <c r="AW247" s="211">
        <v>4.4545454545454541</v>
      </c>
      <c r="AX247" s="230">
        <v>2.4242424242424239</v>
      </c>
      <c r="AY247" s="239"/>
      <c r="AZ247" s="239"/>
      <c r="BA247" s="239"/>
      <c r="BB247" s="239"/>
      <c r="BC247" s="250"/>
      <c r="BD247" s="134"/>
      <c r="BE247" s="134"/>
      <c r="BF247" s="422" t="s">
        <v>183</v>
      </c>
      <c r="BG247" s="423"/>
      <c r="BH247" s="211">
        <v>0</v>
      </c>
      <c r="BI247" s="211">
        <v>3.4920634920634912</v>
      </c>
      <c r="BJ247" s="230">
        <v>3.4920634920634912</v>
      </c>
      <c r="BK247" s="239"/>
      <c r="BL247" s="239"/>
      <c r="BM247" s="250"/>
      <c r="BN247" s="422" t="s">
        <v>183</v>
      </c>
      <c r="BO247" s="423"/>
      <c r="BP247" s="211">
        <v>0</v>
      </c>
      <c r="BQ247" s="211">
        <v>6.1757575757575776</v>
      </c>
      <c r="BR247" s="230">
        <v>6.1757575757575776</v>
      </c>
      <c r="BS247" s="239"/>
      <c r="BT247" s="239"/>
      <c r="BU247" s="239"/>
      <c r="BV247" s="239"/>
      <c r="BW247" s="250"/>
      <c r="BX247" s="422" t="s">
        <v>183</v>
      </c>
      <c r="BY247" s="423"/>
      <c r="BZ247" s="211">
        <v>2.5333333333333332</v>
      </c>
      <c r="CA247" s="211">
        <v>2.5333333333333332</v>
      </c>
      <c r="CB247" s="230">
        <v>0</v>
      </c>
      <c r="CC247" s="239"/>
      <c r="CD247" s="239"/>
      <c r="CE247" s="239"/>
      <c r="CF247" s="239"/>
      <c r="CG247" s="250"/>
      <c r="CH247" s="422" t="s">
        <v>183</v>
      </c>
      <c r="CI247" s="423"/>
      <c r="CJ247" s="211">
        <v>0</v>
      </c>
      <c r="CK247" s="211">
        <v>1.2592592592592591</v>
      </c>
      <c r="CL247" s="230">
        <v>1.2592592592592591</v>
      </c>
      <c r="CM247" s="239"/>
      <c r="CN247" s="239"/>
      <c r="CO247" s="239"/>
      <c r="CP247" s="239"/>
      <c r="CQ247" s="250"/>
      <c r="CR247" s="422" t="s">
        <v>183</v>
      </c>
      <c r="CS247" s="423"/>
      <c r="CT247" s="211">
        <v>0</v>
      </c>
      <c r="CU247" s="211">
        <v>3.4133333333333327</v>
      </c>
      <c r="CV247" s="230">
        <v>3.4133333333333327</v>
      </c>
      <c r="CW247" s="239"/>
      <c r="CX247" s="250"/>
      <c r="CY247" s="422" t="s">
        <v>183</v>
      </c>
      <c r="CZ247" s="423"/>
      <c r="DA247" s="211">
        <v>0.79365079365079361</v>
      </c>
      <c r="DB247" s="211">
        <v>1.9682539682539684</v>
      </c>
      <c r="DC247" s="230">
        <v>1.1746031746031749</v>
      </c>
      <c r="DD247" s="239"/>
      <c r="DE247" s="250"/>
      <c r="DF247" s="422" t="s">
        <v>183</v>
      </c>
      <c r="DG247" s="423"/>
      <c r="DH247" s="211"/>
      <c r="DI247" s="211">
        <v>0</v>
      </c>
      <c r="DJ247" s="230">
        <v>0</v>
      </c>
      <c r="DK247" s="239"/>
      <c r="DL247" s="250"/>
      <c r="DM247" s="134"/>
      <c r="DN247" s="134"/>
      <c r="DO247" s="234"/>
      <c r="DP247" s="239"/>
      <c r="DQ247" s="239"/>
      <c r="DR247" s="239"/>
      <c r="DS247" s="239"/>
      <c r="DT247" s="239"/>
      <c r="DU247" s="239"/>
      <c r="DV247" s="239"/>
      <c r="DW247" s="239"/>
      <c r="DX247" s="239"/>
      <c r="DY247" s="239"/>
      <c r="DZ247" s="239"/>
      <c r="EA247" s="239"/>
      <c r="EB247" s="239"/>
    </row>
    <row r="248" spans="14:132" ht="20.100000000000001" customHeight="1" x14ac:dyDescent="0.4">
      <c r="O248" s="201"/>
      <c r="P248" s="422" t="s">
        <v>184</v>
      </c>
      <c r="Q248" s="423"/>
      <c r="R248" s="211">
        <v>0.9458333333333333</v>
      </c>
      <c r="S248" s="211">
        <v>3.2041666666666671</v>
      </c>
      <c r="T248" s="230">
        <v>2.2583333333333337</v>
      </c>
      <c r="U248" s="239"/>
      <c r="V248" s="239"/>
      <c r="W248" s="239"/>
      <c r="X248" s="239"/>
      <c r="Y248" s="250"/>
      <c r="Z248" s="422" t="s">
        <v>184</v>
      </c>
      <c r="AA248" s="423"/>
      <c r="AB248" s="211">
        <v>0.97142857142857131</v>
      </c>
      <c r="AC248" s="211">
        <v>2.3047619047619046</v>
      </c>
      <c r="AD248" s="230">
        <v>1.3333333333333333</v>
      </c>
      <c r="AE248" s="239"/>
      <c r="AF248" s="239"/>
      <c r="AG248" s="239"/>
      <c r="AH248" s="239"/>
      <c r="AI248" s="250"/>
      <c r="AJ248" s="422" t="s">
        <v>184</v>
      </c>
      <c r="AK248" s="423"/>
      <c r="AL248" s="211">
        <v>0.95238095238095233</v>
      </c>
      <c r="AM248" s="211">
        <v>2.6190476190476191</v>
      </c>
      <c r="AN248" s="230">
        <v>1.6666666666666667</v>
      </c>
      <c r="AO248" s="239"/>
      <c r="AP248" s="239"/>
      <c r="AQ248" s="239"/>
      <c r="AR248" s="239"/>
      <c r="AS248" s="250"/>
      <c r="AT248" s="422" t="s">
        <v>184</v>
      </c>
      <c r="AU248" s="423"/>
      <c r="AV248" s="211">
        <v>1.8090909090909091</v>
      </c>
      <c r="AW248" s="211">
        <v>3.396969696969697</v>
      </c>
      <c r="AX248" s="230">
        <v>1.5878787878787879</v>
      </c>
      <c r="AY248" s="239"/>
      <c r="AZ248" s="239"/>
      <c r="BA248" s="239"/>
      <c r="BB248" s="239"/>
      <c r="BC248" s="250"/>
      <c r="BD248" s="134"/>
      <c r="BE248" s="134"/>
      <c r="BF248" s="422" t="s">
        <v>184</v>
      </c>
      <c r="BG248" s="423"/>
      <c r="BH248" s="211">
        <v>1.4222222222222223</v>
      </c>
      <c r="BI248" s="211">
        <v>3.244444444444444</v>
      </c>
      <c r="BJ248" s="230">
        <v>1.8222222222222217</v>
      </c>
      <c r="BK248" s="239"/>
      <c r="BL248" s="239"/>
      <c r="BM248" s="250"/>
      <c r="BN248" s="422" t="s">
        <v>184</v>
      </c>
      <c r="BO248" s="423"/>
      <c r="BP248" s="211">
        <v>1.1651515151515148</v>
      </c>
      <c r="BQ248" s="211">
        <v>3.1348484848484848</v>
      </c>
      <c r="BR248" s="230">
        <v>1.9696969696969699</v>
      </c>
      <c r="BS248" s="239"/>
      <c r="BT248" s="239"/>
      <c r="BU248" s="239"/>
      <c r="BV248" s="239"/>
      <c r="BW248" s="250"/>
      <c r="BX248" s="422" t="s">
        <v>184</v>
      </c>
      <c r="BY248" s="423"/>
      <c r="BZ248" s="211">
        <v>1.3233333333333333</v>
      </c>
      <c r="CA248" s="211">
        <v>3.1066666666666665</v>
      </c>
      <c r="CB248" s="230">
        <v>1.7833333333333332</v>
      </c>
      <c r="CC248" s="239"/>
      <c r="CD248" s="239"/>
      <c r="CE248" s="239"/>
      <c r="CF248" s="239"/>
      <c r="CG248" s="250"/>
      <c r="CH248" s="422" t="s">
        <v>184</v>
      </c>
      <c r="CI248" s="423"/>
      <c r="CJ248" s="211">
        <v>0.3666666666666667</v>
      </c>
      <c r="CK248" s="211">
        <v>0.85925925925925917</v>
      </c>
      <c r="CL248" s="230">
        <v>0.49259259259259247</v>
      </c>
      <c r="CM248" s="239"/>
      <c r="CN248" s="239"/>
      <c r="CO248" s="239"/>
      <c r="CP248" s="239"/>
      <c r="CQ248" s="250"/>
      <c r="CR248" s="422" t="s">
        <v>184</v>
      </c>
      <c r="CS248" s="423"/>
      <c r="CT248" s="211">
        <v>0.80333333333333345</v>
      </c>
      <c r="CU248" s="211">
        <v>2.1</v>
      </c>
      <c r="CV248" s="230">
        <v>1.2966666666666666</v>
      </c>
      <c r="CW248" s="239"/>
      <c r="CX248" s="250"/>
      <c r="CY248" s="422" t="s">
        <v>184</v>
      </c>
      <c r="CZ248" s="423"/>
      <c r="DA248" s="211">
        <v>0.2095238095238095</v>
      </c>
      <c r="DB248" s="211">
        <v>1.558730158730159</v>
      </c>
      <c r="DC248" s="230">
        <v>1.3492063492063495</v>
      </c>
      <c r="DD248" s="239"/>
      <c r="DE248" s="250"/>
      <c r="DF248" s="422" t="s">
        <v>184</v>
      </c>
      <c r="DG248" s="423"/>
      <c r="DH248" s="211"/>
      <c r="DI248" s="211">
        <v>0.98039215686274495</v>
      </c>
      <c r="DJ248" s="230">
        <v>0.98039215686274495</v>
      </c>
      <c r="DK248" s="239"/>
      <c r="DL248" s="250"/>
      <c r="DM248" s="134"/>
      <c r="DN248" s="134"/>
      <c r="DO248" s="234"/>
      <c r="DP248" s="239"/>
      <c r="DQ248" s="239"/>
      <c r="DR248" s="239"/>
      <c r="DS248" s="239"/>
      <c r="DT248" s="239"/>
      <c r="DU248" s="239"/>
      <c r="DV248" s="239"/>
      <c r="DW248" s="239"/>
      <c r="DX248" s="239"/>
      <c r="DY248" s="239"/>
      <c r="DZ248" s="239"/>
      <c r="EA248" s="239"/>
      <c r="EB248" s="239"/>
    </row>
    <row r="249" spans="14:132" ht="20.100000000000001" customHeight="1" x14ac:dyDescent="0.4">
      <c r="O249" s="201"/>
      <c r="P249" s="424" t="s">
        <v>185</v>
      </c>
      <c r="Q249" s="425"/>
      <c r="R249" s="211">
        <v>0</v>
      </c>
      <c r="S249" s="212">
        <v>0</v>
      </c>
      <c r="T249" s="230">
        <v>0</v>
      </c>
      <c r="U249" s="239"/>
      <c r="V249" s="239"/>
      <c r="W249" s="239"/>
      <c r="X249" s="239"/>
      <c r="Y249" s="251"/>
      <c r="Z249" s="424" t="s">
        <v>185</v>
      </c>
      <c r="AA249" s="425"/>
      <c r="AB249" s="211">
        <v>2.1269841269841265</v>
      </c>
      <c r="AC249" s="212">
        <v>2.1269841269841265</v>
      </c>
      <c r="AD249" s="230">
        <v>0</v>
      </c>
      <c r="AE249" s="239"/>
      <c r="AF249" s="239"/>
      <c r="AG249" s="239"/>
      <c r="AH249" s="239"/>
      <c r="AI249" s="251"/>
      <c r="AJ249" s="424" t="s">
        <v>185</v>
      </c>
      <c r="AK249" s="425"/>
      <c r="AL249" s="211">
        <v>1.4603174603174598</v>
      </c>
      <c r="AM249" s="212">
        <v>1.4603174603174598</v>
      </c>
      <c r="AN249" s="230">
        <v>0</v>
      </c>
      <c r="AO249" s="239"/>
      <c r="AP249" s="239"/>
      <c r="AQ249" s="239"/>
      <c r="AR249" s="239"/>
      <c r="AS249" s="251"/>
      <c r="AT249" s="424" t="s">
        <v>185</v>
      </c>
      <c r="AU249" s="425"/>
      <c r="AV249" s="211">
        <v>1.5212121212121206</v>
      </c>
      <c r="AW249" s="212">
        <v>1.5212121212121206</v>
      </c>
      <c r="AX249" s="230">
        <v>0</v>
      </c>
      <c r="AY249" s="239"/>
      <c r="AZ249" s="239"/>
      <c r="BA249" s="239"/>
      <c r="BB249" s="239"/>
      <c r="BC249" s="251"/>
      <c r="BD249" s="134"/>
      <c r="BE249" s="134"/>
      <c r="BF249" s="424" t="s">
        <v>185</v>
      </c>
      <c r="BG249" s="425"/>
      <c r="BH249" s="211">
        <v>0</v>
      </c>
      <c r="BI249" s="212">
        <v>1.5619047619047615</v>
      </c>
      <c r="BJ249" s="230">
        <v>1.5619047619047615</v>
      </c>
      <c r="BK249" s="239"/>
      <c r="BL249" s="239"/>
      <c r="BM249" s="251"/>
      <c r="BN249" s="424" t="s">
        <v>185</v>
      </c>
      <c r="BO249" s="425"/>
      <c r="BP249" s="211">
        <v>1.5878787878787886</v>
      </c>
      <c r="BQ249" s="212">
        <v>0.92121212121212159</v>
      </c>
      <c r="BR249" s="230">
        <v>-0.66666666666666696</v>
      </c>
      <c r="BS249" s="239"/>
      <c r="BT249" s="239"/>
      <c r="BU249" s="239"/>
      <c r="BV249" s="239"/>
      <c r="BW249" s="251"/>
      <c r="BX249" s="424" t="s">
        <v>185</v>
      </c>
      <c r="BY249" s="425"/>
      <c r="BZ249" s="211">
        <v>1.0133333333333334</v>
      </c>
      <c r="CA249" s="212">
        <v>1.0133333333333334</v>
      </c>
      <c r="CB249" s="230">
        <v>0</v>
      </c>
      <c r="CC249" s="239"/>
      <c r="CD249" s="239"/>
      <c r="CE249" s="239"/>
      <c r="CF249" s="239"/>
      <c r="CG249" s="251"/>
      <c r="CH249" s="424" t="s">
        <v>185</v>
      </c>
      <c r="CI249" s="425"/>
      <c r="CJ249" s="211">
        <v>1.6148148148148147</v>
      </c>
      <c r="CK249" s="212">
        <v>1.6148148148148147</v>
      </c>
      <c r="CL249" s="230">
        <v>0</v>
      </c>
      <c r="CM249" s="239"/>
      <c r="CN249" s="239"/>
      <c r="CO249" s="239"/>
      <c r="CP249" s="239"/>
      <c r="CQ249" s="251"/>
      <c r="CR249" s="424" t="s">
        <v>185</v>
      </c>
      <c r="CS249" s="425"/>
      <c r="CT249" s="211">
        <v>0.53666666666666663</v>
      </c>
      <c r="CU249" s="212">
        <v>0.65666666666666662</v>
      </c>
      <c r="CV249" s="230">
        <v>0.12</v>
      </c>
      <c r="CW249" s="239"/>
      <c r="CX249" s="251"/>
      <c r="CY249" s="424" t="s">
        <v>185</v>
      </c>
      <c r="CZ249" s="425"/>
      <c r="DA249" s="211">
        <v>1.2222222222222219</v>
      </c>
      <c r="DB249" s="212">
        <v>1.2222222222222219</v>
      </c>
      <c r="DC249" s="230">
        <v>0</v>
      </c>
      <c r="DD249" s="239"/>
      <c r="DE249" s="251"/>
      <c r="DF249" s="424" t="s">
        <v>185</v>
      </c>
      <c r="DG249" s="425"/>
      <c r="DH249" s="211"/>
      <c r="DI249" s="212">
        <v>1.4431372549019608</v>
      </c>
      <c r="DJ249" s="230">
        <v>1.4431372549019608</v>
      </c>
      <c r="DK249" s="239"/>
      <c r="DL249" s="251"/>
      <c r="DM249" s="134"/>
      <c r="DN249" s="134"/>
      <c r="DO249" s="234"/>
      <c r="DP249" s="239"/>
      <c r="DQ249" s="239"/>
      <c r="DR249" s="239"/>
      <c r="DS249" s="239"/>
      <c r="DT249" s="239"/>
      <c r="DU249" s="239"/>
      <c r="DV249" s="239"/>
      <c r="DW249" s="239"/>
      <c r="DX249" s="239"/>
      <c r="DY249" s="239"/>
      <c r="DZ249" s="239"/>
      <c r="EA249" s="239"/>
      <c r="EB249" s="239"/>
    </row>
    <row r="250" spans="14:132" ht="20.100000000000001" customHeight="1" x14ac:dyDescent="0.4">
      <c r="O250" s="201"/>
      <c r="P250" s="424" t="s">
        <v>186</v>
      </c>
      <c r="Q250" s="425"/>
      <c r="R250" s="211">
        <v>0.19999999999999998</v>
      </c>
      <c r="S250" s="212">
        <v>0.72083333333333333</v>
      </c>
      <c r="T250" s="230">
        <v>0.52083333333333337</v>
      </c>
      <c r="U250" s="239"/>
      <c r="V250" s="239"/>
      <c r="W250" s="239"/>
      <c r="X250" s="239"/>
      <c r="Y250" s="251"/>
      <c r="Z250" s="424" t="s">
        <v>186</v>
      </c>
      <c r="AA250" s="425"/>
      <c r="AB250" s="211">
        <v>0.41587301587301595</v>
      </c>
      <c r="AC250" s="212">
        <v>0.82857142857142863</v>
      </c>
      <c r="AD250" s="230">
        <v>0.41269841269841268</v>
      </c>
      <c r="AE250" s="239"/>
      <c r="AF250" s="239"/>
      <c r="AG250" s="239"/>
      <c r="AH250" s="239"/>
      <c r="AI250" s="251"/>
      <c r="AJ250" s="424" t="s">
        <v>186</v>
      </c>
      <c r="AK250" s="425"/>
      <c r="AL250" s="211">
        <v>0.22857142857142854</v>
      </c>
      <c r="AM250" s="212">
        <v>0.58730158730158732</v>
      </c>
      <c r="AN250" s="230">
        <v>0.35873015873015879</v>
      </c>
      <c r="AO250" s="239"/>
      <c r="AP250" s="239"/>
      <c r="AQ250" s="239"/>
      <c r="AR250" s="239"/>
      <c r="AS250" s="251"/>
      <c r="AT250" s="424" t="s">
        <v>186</v>
      </c>
      <c r="AU250" s="425"/>
      <c r="AV250" s="211">
        <v>0.42121212121212126</v>
      </c>
      <c r="AW250" s="212">
        <v>0.77272727272727282</v>
      </c>
      <c r="AX250" s="230">
        <v>0.35151515151515156</v>
      </c>
      <c r="AY250" s="239"/>
      <c r="AZ250" s="239"/>
      <c r="BA250" s="239"/>
      <c r="BB250" s="239"/>
      <c r="BC250" s="251"/>
      <c r="BD250" s="134"/>
      <c r="BE250" s="134"/>
      <c r="BF250" s="424" t="s">
        <v>186</v>
      </c>
      <c r="BG250" s="425"/>
      <c r="BH250" s="211">
        <v>0.30476190476190484</v>
      </c>
      <c r="BI250" s="212">
        <v>0.65079365079365081</v>
      </c>
      <c r="BJ250" s="230">
        <v>0.34603174603174597</v>
      </c>
      <c r="BK250" s="239"/>
      <c r="BL250" s="239"/>
      <c r="BM250" s="251"/>
      <c r="BN250" s="424" t="s">
        <v>186</v>
      </c>
      <c r="BO250" s="425"/>
      <c r="BP250" s="211">
        <v>0.19848484848484849</v>
      </c>
      <c r="BQ250" s="212">
        <v>0.45606060606060606</v>
      </c>
      <c r="BR250" s="230">
        <v>0.25757575757575757</v>
      </c>
      <c r="BS250" s="239"/>
      <c r="BT250" s="239"/>
      <c r="BU250" s="239"/>
      <c r="BV250" s="239"/>
      <c r="BW250" s="251"/>
      <c r="BX250" s="424" t="s">
        <v>186</v>
      </c>
      <c r="BY250" s="425"/>
      <c r="BZ250" s="211">
        <v>0.2533333333333333</v>
      </c>
      <c r="CA250" s="212">
        <v>0.53666666666666663</v>
      </c>
      <c r="CB250" s="230">
        <v>0.28333333333333333</v>
      </c>
      <c r="CC250" s="239"/>
      <c r="CD250" s="239"/>
      <c r="CE250" s="239"/>
      <c r="CF250" s="239"/>
      <c r="CG250" s="251"/>
      <c r="CH250" s="424" t="s">
        <v>186</v>
      </c>
      <c r="CI250" s="425"/>
      <c r="CJ250" s="211">
        <v>8.5185185185185211E-2</v>
      </c>
      <c r="CK250" s="212">
        <v>0.50740740740740742</v>
      </c>
      <c r="CL250" s="230">
        <v>0.42222222222222222</v>
      </c>
      <c r="CM250" s="239"/>
      <c r="CN250" s="239"/>
      <c r="CO250" s="239"/>
      <c r="CP250" s="239"/>
      <c r="CQ250" s="251"/>
      <c r="CR250" s="424" t="s">
        <v>186</v>
      </c>
      <c r="CS250" s="425"/>
      <c r="CT250" s="211">
        <v>9.9999999999999992E-2</v>
      </c>
      <c r="CU250" s="212">
        <v>0.33333333333333337</v>
      </c>
      <c r="CV250" s="230">
        <v>0.23333333333333339</v>
      </c>
      <c r="CW250" s="239"/>
      <c r="CX250" s="251"/>
      <c r="CY250" s="424" t="s">
        <v>186</v>
      </c>
      <c r="CZ250" s="425"/>
      <c r="DA250" s="211">
        <v>0.15555555555555556</v>
      </c>
      <c r="DB250" s="212">
        <v>0.39999999999999997</v>
      </c>
      <c r="DC250" s="230">
        <v>0.24444444444444441</v>
      </c>
      <c r="DD250" s="239"/>
      <c r="DE250" s="251"/>
      <c r="DF250" s="424" t="s">
        <v>186</v>
      </c>
      <c r="DG250" s="425"/>
      <c r="DH250" s="211"/>
      <c r="DI250" s="212">
        <v>0.14509803921568626</v>
      </c>
      <c r="DJ250" s="230">
        <v>0.14509803921568626</v>
      </c>
      <c r="DK250" s="239"/>
      <c r="DL250" s="251"/>
      <c r="DM250" s="134"/>
      <c r="DN250" s="134"/>
      <c r="DO250" s="234"/>
      <c r="DP250" s="239"/>
      <c r="DQ250" s="239"/>
      <c r="DR250" s="239"/>
      <c r="DS250" s="239"/>
      <c r="DT250" s="239"/>
      <c r="DU250" s="239"/>
      <c r="DV250" s="239"/>
      <c r="DW250" s="239"/>
      <c r="DX250" s="239"/>
      <c r="DY250" s="239"/>
      <c r="DZ250" s="239"/>
      <c r="EA250" s="239"/>
      <c r="EB250" s="239"/>
    </row>
    <row r="251" spans="14:132" ht="20.100000000000001" customHeight="1" x14ac:dyDescent="0.4">
      <c r="O251" s="201"/>
      <c r="P251" s="422" t="s">
        <v>187</v>
      </c>
      <c r="Q251" s="423"/>
      <c r="R251" s="211">
        <v>0</v>
      </c>
      <c r="S251" s="213">
        <v>0</v>
      </c>
      <c r="T251" s="230">
        <v>0</v>
      </c>
      <c r="U251" s="239"/>
      <c r="V251" s="239"/>
      <c r="W251" s="239"/>
      <c r="X251" s="239"/>
      <c r="Y251" s="250"/>
      <c r="Z251" s="422" t="s">
        <v>187</v>
      </c>
      <c r="AA251" s="423"/>
      <c r="AB251" s="211">
        <v>2.9841269841269842</v>
      </c>
      <c r="AC251" s="213">
        <v>2.9841269841269842</v>
      </c>
      <c r="AD251" s="230">
        <v>0</v>
      </c>
      <c r="AE251" s="239"/>
      <c r="AF251" s="239"/>
      <c r="AG251" s="239"/>
      <c r="AH251" s="239"/>
      <c r="AI251" s="250"/>
      <c r="AJ251" s="422" t="s">
        <v>187</v>
      </c>
      <c r="AK251" s="423"/>
      <c r="AL251" s="211">
        <v>2.6666666666666665</v>
      </c>
      <c r="AM251" s="213">
        <v>2.6666666666666665</v>
      </c>
      <c r="AN251" s="230">
        <v>0</v>
      </c>
      <c r="AO251" s="239"/>
      <c r="AP251" s="239"/>
      <c r="AQ251" s="239"/>
      <c r="AR251" s="239"/>
      <c r="AS251" s="250"/>
      <c r="AT251" s="422" t="s">
        <v>187</v>
      </c>
      <c r="AU251" s="423"/>
      <c r="AV251" s="211">
        <v>1.2727272727272723</v>
      </c>
      <c r="AW251" s="213">
        <v>1.2727272727272723</v>
      </c>
      <c r="AX251" s="230">
        <v>0</v>
      </c>
      <c r="AY251" s="239"/>
      <c r="AZ251" s="239"/>
      <c r="BA251" s="239"/>
      <c r="BB251" s="239"/>
      <c r="BC251" s="250"/>
      <c r="BD251" s="138"/>
      <c r="BE251" s="138"/>
      <c r="BF251" s="422" t="s">
        <v>187</v>
      </c>
      <c r="BG251" s="423"/>
      <c r="BH251" s="211">
        <v>0</v>
      </c>
      <c r="BI251" s="213">
        <v>0</v>
      </c>
      <c r="BJ251" s="230">
        <v>0</v>
      </c>
      <c r="BK251" s="239"/>
      <c r="BL251" s="239"/>
      <c r="BM251" s="250"/>
      <c r="BN251" s="422" t="s">
        <v>187</v>
      </c>
      <c r="BO251" s="423"/>
      <c r="BP251" s="211">
        <v>0</v>
      </c>
      <c r="BQ251" s="213">
        <v>0</v>
      </c>
      <c r="BR251" s="230">
        <v>0</v>
      </c>
      <c r="BS251" s="239"/>
      <c r="BT251" s="239"/>
      <c r="BU251" s="239"/>
      <c r="BV251" s="239"/>
      <c r="BW251" s="250"/>
      <c r="BX251" s="422" t="s">
        <v>187</v>
      </c>
      <c r="BY251" s="423"/>
      <c r="BZ251" s="211">
        <v>0</v>
      </c>
      <c r="CA251" s="213">
        <v>0</v>
      </c>
      <c r="CB251" s="230">
        <v>0</v>
      </c>
      <c r="CC251" s="239"/>
      <c r="CD251" s="239"/>
      <c r="CE251" s="239"/>
      <c r="CF251" s="239"/>
      <c r="CG251" s="250"/>
      <c r="CH251" s="422" t="s">
        <v>187</v>
      </c>
      <c r="CI251" s="423"/>
      <c r="CJ251" s="211">
        <v>0</v>
      </c>
      <c r="CK251" s="213">
        <v>5.1259259259259258</v>
      </c>
      <c r="CL251" s="230">
        <v>5.1259259259259258</v>
      </c>
      <c r="CM251" s="239"/>
      <c r="CN251" s="239"/>
      <c r="CO251" s="239"/>
      <c r="CP251" s="239"/>
      <c r="CQ251" s="250"/>
      <c r="CR251" s="422" t="s">
        <v>187</v>
      </c>
      <c r="CS251" s="423"/>
      <c r="CT251" s="211">
        <v>0</v>
      </c>
      <c r="CU251" s="213">
        <v>0.93333333333333324</v>
      </c>
      <c r="CV251" s="230">
        <v>0.93333333333333324</v>
      </c>
      <c r="CW251" s="239"/>
      <c r="CX251" s="250"/>
      <c r="CY251" s="422" t="s">
        <v>187</v>
      </c>
      <c r="CZ251" s="423"/>
      <c r="DA251" s="211">
        <v>1.3333333333333333</v>
      </c>
      <c r="DB251" s="213">
        <v>1.3333333333333333</v>
      </c>
      <c r="DC251" s="230">
        <v>0</v>
      </c>
      <c r="DD251" s="239"/>
      <c r="DE251" s="250"/>
      <c r="DF251" s="422" t="s">
        <v>187</v>
      </c>
      <c r="DG251" s="423"/>
      <c r="DH251" s="211"/>
      <c r="DI251" s="213">
        <v>0</v>
      </c>
      <c r="DJ251" s="230">
        <v>0</v>
      </c>
      <c r="DK251" s="239"/>
      <c r="DL251" s="250"/>
      <c r="DM251" s="138"/>
      <c r="DN251" s="138"/>
      <c r="DO251" s="234"/>
      <c r="DP251" s="239"/>
      <c r="DQ251" s="239"/>
      <c r="DR251" s="239"/>
      <c r="DS251" s="239"/>
      <c r="DT251" s="239"/>
      <c r="DU251" s="239"/>
      <c r="DV251" s="239"/>
      <c r="DW251" s="239"/>
      <c r="DX251" s="239"/>
      <c r="DY251" s="239"/>
      <c r="DZ251" s="239"/>
      <c r="EA251" s="239"/>
      <c r="EB251" s="239"/>
    </row>
    <row r="252" spans="14:132" ht="20.100000000000001" customHeight="1" x14ac:dyDescent="0.4">
      <c r="O252" s="201"/>
      <c r="P252" s="422" t="s">
        <v>188</v>
      </c>
      <c r="Q252" s="423"/>
      <c r="R252" s="211">
        <v>0.10416666666666666</v>
      </c>
      <c r="S252" s="212">
        <v>0.45</v>
      </c>
      <c r="T252" s="230">
        <v>0.34583333333333333</v>
      </c>
      <c r="U252" s="239"/>
      <c r="V252" s="239"/>
      <c r="W252" s="239"/>
      <c r="X252" s="239"/>
      <c r="Y252" s="250"/>
      <c r="Z252" s="422" t="s">
        <v>188</v>
      </c>
      <c r="AA252" s="423"/>
      <c r="AB252" s="211">
        <v>0.5174603174603174</v>
      </c>
      <c r="AC252" s="212">
        <v>1.1587301587301588</v>
      </c>
      <c r="AD252" s="230">
        <v>0.64126984126984143</v>
      </c>
      <c r="AE252" s="239"/>
      <c r="AF252" s="239"/>
      <c r="AG252" s="239"/>
      <c r="AH252" s="239"/>
      <c r="AI252" s="250"/>
      <c r="AJ252" s="422" t="s">
        <v>188</v>
      </c>
      <c r="AK252" s="423"/>
      <c r="AL252" s="211">
        <v>0.24761904761904766</v>
      </c>
      <c r="AM252" s="212">
        <v>0.60317460317460314</v>
      </c>
      <c r="AN252" s="230">
        <v>0.35555555555555551</v>
      </c>
      <c r="AO252" s="239"/>
      <c r="AP252" s="239"/>
      <c r="AQ252" s="239"/>
      <c r="AR252" s="239"/>
      <c r="AS252" s="250"/>
      <c r="AT252" s="422" t="s">
        <v>188</v>
      </c>
      <c r="AU252" s="423"/>
      <c r="AV252" s="211">
        <v>0.4939393939393939</v>
      </c>
      <c r="AW252" s="212">
        <v>0.82727272727272727</v>
      </c>
      <c r="AX252" s="230">
        <v>0.33333333333333337</v>
      </c>
      <c r="AY252" s="239"/>
      <c r="AZ252" s="239"/>
      <c r="BA252" s="239"/>
      <c r="BB252" s="239"/>
      <c r="BC252" s="250"/>
      <c r="BD252" s="134"/>
      <c r="BE252" s="134"/>
      <c r="BF252" s="422" t="s">
        <v>188</v>
      </c>
      <c r="BG252" s="423"/>
      <c r="BH252" s="211">
        <v>0.17777777777777776</v>
      </c>
      <c r="BI252" s="212">
        <v>0.38730158730158731</v>
      </c>
      <c r="BJ252" s="230">
        <v>0.20952380952380956</v>
      </c>
      <c r="BK252" s="239"/>
      <c r="BL252" s="239"/>
      <c r="BM252" s="250"/>
      <c r="BN252" s="422" t="s">
        <v>188</v>
      </c>
      <c r="BO252" s="423"/>
      <c r="BP252" s="211">
        <v>0</v>
      </c>
      <c r="BQ252" s="212">
        <v>4.5454545454545456E-2</v>
      </c>
      <c r="BR252" s="230">
        <v>4.5454545454545456E-2</v>
      </c>
      <c r="BS252" s="239"/>
      <c r="BT252" s="239"/>
      <c r="BU252" s="239"/>
      <c r="BV252" s="239"/>
      <c r="BW252" s="250"/>
      <c r="BX252" s="422" t="s">
        <v>188</v>
      </c>
      <c r="BY252" s="423"/>
      <c r="BZ252" s="211">
        <v>0.42000000000000004</v>
      </c>
      <c r="CA252" s="212">
        <v>0.85333333333333328</v>
      </c>
      <c r="CB252" s="230">
        <v>0.43333333333333324</v>
      </c>
      <c r="CC252" s="239"/>
      <c r="CD252" s="239"/>
      <c r="CE252" s="239"/>
      <c r="CF252" s="239"/>
      <c r="CG252" s="250"/>
      <c r="CH252" s="422" t="s">
        <v>188</v>
      </c>
      <c r="CI252" s="423"/>
      <c r="CJ252" s="211">
        <v>0.10370370370370371</v>
      </c>
      <c r="CK252" s="212">
        <v>2.5222222222222221</v>
      </c>
      <c r="CL252" s="230">
        <v>2.4185185185185185</v>
      </c>
      <c r="CM252" s="239"/>
      <c r="CN252" s="239"/>
      <c r="CO252" s="239"/>
      <c r="CP252" s="239"/>
      <c r="CQ252" s="250"/>
      <c r="CR252" s="422" t="s">
        <v>188</v>
      </c>
      <c r="CS252" s="423"/>
      <c r="CT252" s="211">
        <v>0.14666666666666667</v>
      </c>
      <c r="CU252" s="212">
        <v>0.36666666666666664</v>
      </c>
      <c r="CV252" s="230">
        <v>0.21999999999999997</v>
      </c>
      <c r="CW252" s="239"/>
      <c r="CX252" s="250"/>
      <c r="CY252" s="422" t="s">
        <v>188</v>
      </c>
      <c r="CZ252" s="423"/>
      <c r="DA252" s="211">
        <v>0.63492063492063489</v>
      </c>
      <c r="DB252" s="212">
        <v>1.0476190476190474</v>
      </c>
      <c r="DC252" s="230">
        <v>0.41269841269841256</v>
      </c>
      <c r="DD252" s="239"/>
      <c r="DE252" s="250"/>
      <c r="DF252" s="422" t="s">
        <v>188</v>
      </c>
      <c r="DG252" s="423"/>
      <c r="DH252" s="211"/>
      <c r="DI252" s="212">
        <v>0.10980392156862745</v>
      </c>
      <c r="DJ252" s="230">
        <v>0.10980392156862745</v>
      </c>
      <c r="DK252" s="239"/>
      <c r="DL252" s="250"/>
      <c r="DM252" s="134"/>
      <c r="DN252" s="134"/>
      <c r="DO252" s="234"/>
      <c r="DP252" s="239"/>
      <c r="DQ252" s="239"/>
      <c r="DR252" s="239"/>
      <c r="DS252" s="239"/>
      <c r="DT252" s="239"/>
      <c r="DU252" s="239"/>
      <c r="DV252" s="239"/>
      <c r="DW252" s="239"/>
      <c r="DX252" s="239"/>
      <c r="DY252" s="239"/>
      <c r="DZ252" s="239"/>
      <c r="EA252" s="239"/>
      <c r="EB252" s="239"/>
    </row>
    <row r="253" spans="14:132" ht="20.100000000000001" customHeight="1" x14ac:dyDescent="0.4">
      <c r="O253" s="201"/>
      <c r="P253" s="422" t="s">
        <v>189</v>
      </c>
      <c r="Q253" s="423"/>
      <c r="R253" s="211">
        <v>0</v>
      </c>
      <c r="S253" s="212">
        <v>5.833333333333333</v>
      </c>
      <c r="T253" s="230">
        <v>5.833333333333333</v>
      </c>
      <c r="U253" s="239"/>
      <c r="V253" s="239"/>
      <c r="W253" s="239"/>
      <c r="X253" s="239"/>
      <c r="Y253" s="250"/>
      <c r="Z253" s="422" t="s">
        <v>189</v>
      </c>
      <c r="AA253" s="423"/>
      <c r="AB253" s="211">
        <v>6.3492063492063489</v>
      </c>
      <c r="AC253" s="212">
        <v>7.8412698412698401</v>
      </c>
      <c r="AD253" s="230">
        <v>1.4920634920634912</v>
      </c>
      <c r="AE253" s="239"/>
      <c r="AF253" s="239"/>
      <c r="AG253" s="239"/>
      <c r="AH253" s="239"/>
      <c r="AI253" s="250"/>
      <c r="AJ253" s="422" t="s">
        <v>189</v>
      </c>
      <c r="AK253" s="423"/>
      <c r="AL253" s="211">
        <v>4.1269841269841265</v>
      </c>
      <c r="AM253" s="212">
        <v>7.7968253968253958</v>
      </c>
      <c r="AN253" s="230">
        <v>3.6698412698412692</v>
      </c>
      <c r="AO253" s="239"/>
      <c r="AP253" s="239"/>
      <c r="AQ253" s="239"/>
      <c r="AR253" s="239"/>
      <c r="AS253" s="250"/>
      <c r="AT253" s="422" t="s">
        <v>189</v>
      </c>
      <c r="AU253" s="423"/>
      <c r="AV253" s="211">
        <v>4.8242424242424233</v>
      </c>
      <c r="AW253" s="212">
        <v>7.2484848484848472</v>
      </c>
      <c r="AX253" s="230">
        <v>2.4242424242424239</v>
      </c>
      <c r="AY253" s="239"/>
      <c r="AZ253" s="239"/>
      <c r="BA253" s="239"/>
      <c r="BB253" s="239"/>
      <c r="BC253" s="250"/>
      <c r="BD253" s="134"/>
      <c r="BE253" s="134"/>
      <c r="BF253" s="422" t="s">
        <v>189</v>
      </c>
      <c r="BG253" s="423"/>
      <c r="BH253" s="211">
        <v>0</v>
      </c>
      <c r="BI253" s="212">
        <v>5.0539682539682529</v>
      </c>
      <c r="BJ253" s="230">
        <v>5.0539682539682529</v>
      </c>
      <c r="BK253" s="239"/>
      <c r="BL253" s="239"/>
      <c r="BM253" s="250"/>
      <c r="BN253" s="422" t="s">
        <v>189</v>
      </c>
      <c r="BO253" s="423"/>
      <c r="BP253" s="211">
        <v>1.5878787878787886</v>
      </c>
      <c r="BQ253" s="212">
        <v>7.0969696969696994</v>
      </c>
      <c r="BR253" s="230">
        <v>5.5090909090909106</v>
      </c>
      <c r="BS253" s="239"/>
      <c r="BT253" s="239"/>
      <c r="BU253" s="239"/>
      <c r="BV253" s="239"/>
      <c r="BW253" s="250"/>
      <c r="BX253" s="422" t="s">
        <v>189</v>
      </c>
      <c r="BY253" s="423"/>
      <c r="BZ253" s="211">
        <v>3.5466666666666669</v>
      </c>
      <c r="CA253" s="212">
        <v>3.5466666666666669</v>
      </c>
      <c r="CB253" s="230">
        <v>0</v>
      </c>
      <c r="CC253" s="239"/>
      <c r="CD253" s="239"/>
      <c r="CE253" s="239"/>
      <c r="CF253" s="239"/>
      <c r="CG253" s="250"/>
      <c r="CH253" s="422" t="s">
        <v>189</v>
      </c>
      <c r="CI253" s="423"/>
      <c r="CJ253" s="211">
        <v>1.6148148148148147</v>
      </c>
      <c r="CK253" s="212">
        <v>8</v>
      </c>
      <c r="CL253" s="230">
        <v>6.3851851851851853</v>
      </c>
      <c r="CM253" s="239"/>
      <c r="CN253" s="239"/>
      <c r="CO253" s="239"/>
      <c r="CP253" s="239"/>
      <c r="CQ253" s="250"/>
      <c r="CR253" s="422" t="s">
        <v>189</v>
      </c>
      <c r="CS253" s="423"/>
      <c r="CT253" s="211">
        <v>0.53666666666666663</v>
      </c>
      <c r="CU253" s="212">
        <v>5.003333333333333</v>
      </c>
      <c r="CV253" s="230">
        <v>4.4666666666666668</v>
      </c>
      <c r="CW253" s="239"/>
      <c r="CX253" s="250"/>
      <c r="CY253" s="422" t="s">
        <v>189</v>
      </c>
      <c r="CZ253" s="423"/>
      <c r="DA253" s="211">
        <v>3.3492063492063489</v>
      </c>
      <c r="DB253" s="212">
        <v>4.5238095238095237</v>
      </c>
      <c r="DC253" s="230">
        <v>1.1746031746031749</v>
      </c>
      <c r="DD253" s="239"/>
      <c r="DE253" s="250"/>
      <c r="DF253" s="422" t="s">
        <v>189</v>
      </c>
      <c r="DG253" s="423"/>
      <c r="DH253" s="211"/>
      <c r="DI253" s="212">
        <v>1.4431372549019608</v>
      </c>
      <c r="DJ253" s="230">
        <v>1.4431372549019608</v>
      </c>
      <c r="DK253" s="239"/>
      <c r="DL253" s="250"/>
      <c r="DM253" s="134"/>
      <c r="DN253" s="134"/>
      <c r="DO253" s="234"/>
      <c r="DP253" s="239"/>
      <c r="DQ253" s="239"/>
      <c r="DR253" s="239"/>
      <c r="DS253" s="239"/>
      <c r="DT253" s="239"/>
      <c r="DU253" s="239"/>
      <c r="DV253" s="239"/>
      <c r="DW253" s="239"/>
      <c r="DX253" s="239"/>
      <c r="DY253" s="239"/>
      <c r="DZ253" s="239"/>
      <c r="EA253" s="239"/>
      <c r="EB253" s="239"/>
    </row>
    <row r="254" spans="14:132" ht="20.100000000000001" customHeight="1" x14ac:dyDescent="0.4">
      <c r="O254" s="201"/>
      <c r="P254" s="422" t="s">
        <v>190</v>
      </c>
      <c r="Q254" s="423"/>
      <c r="R254" s="211">
        <v>1.25</v>
      </c>
      <c r="S254" s="214">
        <v>4.375</v>
      </c>
      <c r="T254" s="230">
        <v>3.125</v>
      </c>
      <c r="U254" s="239"/>
      <c r="V254" s="239"/>
      <c r="W254" s="239"/>
      <c r="X254" s="239"/>
      <c r="Y254" s="250"/>
      <c r="Z254" s="422" t="s">
        <v>190</v>
      </c>
      <c r="AA254" s="423"/>
      <c r="AB254" s="211">
        <v>1.9047619047619047</v>
      </c>
      <c r="AC254" s="214">
        <v>4.2920634920634919</v>
      </c>
      <c r="AD254" s="230">
        <v>2.3873015873015873</v>
      </c>
      <c r="AE254" s="239"/>
      <c r="AF254" s="239"/>
      <c r="AG254" s="239"/>
      <c r="AH254" s="239"/>
      <c r="AI254" s="250"/>
      <c r="AJ254" s="422" t="s">
        <v>190</v>
      </c>
      <c r="AK254" s="423"/>
      <c r="AL254" s="211">
        <v>1.4285714285714284</v>
      </c>
      <c r="AM254" s="214">
        <v>3.8095238095238098</v>
      </c>
      <c r="AN254" s="230">
        <v>2.3809523809523814</v>
      </c>
      <c r="AO254" s="239"/>
      <c r="AP254" s="239"/>
      <c r="AQ254" s="239"/>
      <c r="AR254" s="239"/>
      <c r="AS254" s="250"/>
      <c r="AT254" s="422" t="s">
        <v>190</v>
      </c>
      <c r="AU254" s="423"/>
      <c r="AV254" s="211">
        <v>2.7242424242424246</v>
      </c>
      <c r="AW254" s="214">
        <v>4.9969696969696971</v>
      </c>
      <c r="AX254" s="230">
        <v>2.2727272727272725</v>
      </c>
      <c r="AY254" s="239"/>
      <c r="AZ254" s="239"/>
      <c r="BA254" s="239"/>
      <c r="BB254" s="239"/>
      <c r="BC254" s="250"/>
      <c r="BD254" s="138"/>
      <c r="BE254" s="138"/>
      <c r="BF254" s="422" t="s">
        <v>190</v>
      </c>
      <c r="BG254" s="423"/>
      <c r="BH254" s="211">
        <v>1.9047619047619049</v>
      </c>
      <c r="BI254" s="214">
        <v>4.2825396825396824</v>
      </c>
      <c r="BJ254" s="230">
        <v>2.3777777777777773</v>
      </c>
      <c r="BK254" s="239"/>
      <c r="BL254" s="239"/>
      <c r="BM254" s="250"/>
      <c r="BN254" s="422" t="s">
        <v>190</v>
      </c>
      <c r="BO254" s="423"/>
      <c r="BP254" s="211">
        <v>1.3636363636363633</v>
      </c>
      <c r="BQ254" s="214">
        <v>3.6363636363636362</v>
      </c>
      <c r="BR254" s="230">
        <v>2.2727272727272729</v>
      </c>
      <c r="BS254" s="239"/>
      <c r="BT254" s="239"/>
      <c r="BU254" s="239"/>
      <c r="BV254" s="239"/>
      <c r="BW254" s="250"/>
      <c r="BX254" s="422" t="s">
        <v>190</v>
      </c>
      <c r="BY254" s="423"/>
      <c r="BZ254" s="211">
        <v>1.9966666666666666</v>
      </c>
      <c r="CA254" s="214">
        <v>4.4966666666666661</v>
      </c>
      <c r="CB254" s="230">
        <v>2.4999999999999996</v>
      </c>
      <c r="CC254" s="239"/>
      <c r="CD254" s="239"/>
      <c r="CE254" s="239"/>
      <c r="CF254" s="239"/>
      <c r="CG254" s="250"/>
      <c r="CH254" s="422" t="s">
        <v>190</v>
      </c>
      <c r="CI254" s="423"/>
      <c r="CJ254" s="211">
        <v>0.55555555555555558</v>
      </c>
      <c r="CK254" s="214">
        <v>3.8888888888888888</v>
      </c>
      <c r="CL254" s="230">
        <v>3.333333333333333</v>
      </c>
      <c r="CM254" s="239"/>
      <c r="CN254" s="239"/>
      <c r="CO254" s="239"/>
      <c r="CP254" s="239"/>
      <c r="CQ254" s="250"/>
      <c r="CR254" s="422" t="s">
        <v>190</v>
      </c>
      <c r="CS254" s="423"/>
      <c r="CT254" s="211">
        <v>1.05</v>
      </c>
      <c r="CU254" s="214">
        <v>2.8000000000000003</v>
      </c>
      <c r="CV254" s="230">
        <v>1.7500000000000002</v>
      </c>
      <c r="CW254" s="239"/>
      <c r="CX254" s="250"/>
      <c r="CY254" s="422" t="s">
        <v>190</v>
      </c>
      <c r="CZ254" s="423"/>
      <c r="DA254" s="211">
        <v>1</v>
      </c>
      <c r="DB254" s="214">
        <v>3.0063492063492099</v>
      </c>
      <c r="DC254" s="230">
        <v>2.0063492063492063</v>
      </c>
      <c r="DD254" s="239"/>
      <c r="DE254" s="250"/>
      <c r="DF254" s="422" t="s">
        <v>190</v>
      </c>
      <c r="DG254" s="423"/>
      <c r="DH254" s="211"/>
      <c r="DI254" s="214">
        <v>1.2352941176470587</v>
      </c>
      <c r="DJ254" s="230">
        <v>1.2352941176470587</v>
      </c>
      <c r="DK254" s="239"/>
      <c r="DL254" s="250"/>
      <c r="DM254" s="138"/>
      <c r="DN254" s="138"/>
      <c r="DO254" s="234"/>
      <c r="DP254" s="239"/>
      <c r="DQ254" s="239"/>
      <c r="DR254" s="239"/>
      <c r="DS254" s="239"/>
      <c r="DT254" s="239"/>
      <c r="DU254" s="239"/>
      <c r="DV254" s="239"/>
      <c r="DW254" s="239"/>
      <c r="DX254" s="239"/>
      <c r="DY254" s="239"/>
      <c r="DZ254" s="239"/>
      <c r="EA254" s="239"/>
      <c r="EB254" s="239"/>
    </row>
    <row r="255" spans="14:132" ht="20.100000000000001" customHeight="1" x14ac:dyDescent="0.4">
      <c r="O255" s="201"/>
      <c r="P255" s="201"/>
      <c r="Q255" s="201"/>
      <c r="R255" s="203"/>
      <c r="S255" s="203"/>
      <c r="U255" s="239"/>
      <c r="V255" s="239"/>
      <c r="W255" s="239"/>
      <c r="X255" s="239"/>
      <c r="Y255" s="239"/>
      <c r="Z255" s="239"/>
      <c r="AA255" s="239"/>
      <c r="AB255" s="239"/>
      <c r="AC255" s="239"/>
      <c r="AD255" s="239"/>
      <c r="AE255" s="239"/>
      <c r="AF255" s="239"/>
      <c r="AG255" s="239"/>
      <c r="AH255" s="239"/>
      <c r="AI255" s="239"/>
      <c r="AJ255" s="239"/>
      <c r="AK255" s="239"/>
      <c r="AL255" s="239"/>
      <c r="AM255" s="239"/>
      <c r="AN255" s="239"/>
      <c r="AO255" s="239"/>
      <c r="AP255" s="239"/>
      <c r="AQ255" s="239"/>
      <c r="AR255" s="239"/>
      <c r="AS255" s="239"/>
      <c r="AT255" s="239"/>
      <c r="AU255" s="239"/>
      <c r="AV255" s="239"/>
      <c r="AW255" s="239"/>
      <c r="AX255" s="239"/>
      <c r="AY255" s="239"/>
      <c r="AZ255" s="239"/>
      <c r="BA255" s="239"/>
      <c r="BB255" s="239"/>
      <c r="BC255" s="239"/>
      <c r="BD255" s="239"/>
      <c r="BE255" s="239"/>
      <c r="BF255" s="239"/>
      <c r="BG255" s="239"/>
      <c r="BH255" s="239"/>
      <c r="BI255" s="239"/>
      <c r="BJ255" s="239"/>
      <c r="BK255" s="239"/>
      <c r="BL255" s="239"/>
      <c r="BM255" s="239"/>
      <c r="BN255" s="239"/>
      <c r="BO255" s="239"/>
      <c r="BP255" s="239"/>
      <c r="BQ255" s="239"/>
      <c r="BR255" s="239"/>
      <c r="BS255" s="239"/>
      <c r="BT255" s="239"/>
      <c r="BU255" s="239"/>
      <c r="BV255" s="239"/>
      <c r="BW255" s="239"/>
      <c r="BX255" s="239"/>
      <c r="BY255" s="239"/>
      <c r="BZ255" s="239"/>
      <c r="CA255" s="239"/>
      <c r="CB255" s="239"/>
      <c r="CC255" s="239"/>
      <c r="CD255" s="239"/>
      <c r="CE255" s="239"/>
      <c r="CF255" s="239"/>
      <c r="CG255" s="239"/>
      <c r="CH255" s="239"/>
      <c r="CI255" s="239"/>
      <c r="CJ255" s="239"/>
      <c r="CK255" s="239"/>
      <c r="CL255" s="239"/>
      <c r="CM255" s="239"/>
      <c r="CN255" s="239"/>
      <c r="CO255" s="239"/>
      <c r="CP255" s="239"/>
      <c r="CQ255" s="239"/>
      <c r="CR255" s="239"/>
      <c r="CS255" s="239"/>
      <c r="CT255" s="239"/>
      <c r="CU255" s="239"/>
      <c r="CV255" s="239"/>
      <c r="CW255" s="239"/>
      <c r="CX255" s="239"/>
      <c r="CY255" s="239"/>
      <c r="CZ255" s="239"/>
      <c r="DA255" s="239"/>
      <c r="DB255" s="239"/>
      <c r="DC255" s="239"/>
      <c r="DD255" s="239"/>
      <c r="DE255" s="239"/>
      <c r="DF255" s="239"/>
      <c r="DG255" s="239"/>
      <c r="DH255" s="239"/>
      <c r="DI255" s="239"/>
      <c r="DJ255" s="239"/>
      <c r="DK255" s="239"/>
      <c r="DL255" s="239"/>
      <c r="DM255" s="239"/>
      <c r="DN255" s="239"/>
      <c r="DO255" s="239"/>
      <c r="DP255" s="239"/>
      <c r="DQ255" s="239"/>
      <c r="DR255" s="239"/>
      <c r="DS255" s="239"/>
      <c r="DT255" s="239"/>
      <c r="DU255" s="239"/>
      <c r="DV255" s="239"/>
      <c r="DW255" s="239"/>
      <c r="DX255" s="239"/>
      <c r="DY255" s="239"/>
      <c r="DZ255" s="239"/>
      <c r="EA255" s="239"/>
      <c r="EB255" s="239"/>
    </row>
    <row r="256" spans="14:132" ht="20.100000000000001" customHeight="1" x14ac:dyDescent="0.4">
      <c r="O256" s="201"/>
      <c r="P256" s="426" t="s">
        <v>432</v>
      </c>
      <c r="Q256" s="427"/>
      <c r="R256" s="206" t="s">
        <v>180</v>
      </c>
      <c r="S256" s="207" t="s">
        <v>181</v>
      </c>
      <c r="T256" s="208" t="s">
        <v>182</v>
      </c>
      <c r="U256" s="239"/>
      <c r="V256" s="239"/>
      <c r="W256" s="239"/>
      <c r="X256" s="239"/>
      <c r="Y256" s="246"/>
      <c r="Z256" s="426" t="s">
        <v>485</v>
      </c>
      <c r="AA256" s="427"/>
      <c r="AB256" s="206" t="s">
        <v>180</v>
      </c>
      <c r="AC256" s="207" t="s">
        <v>181</v>
      </c>
      <c r="AD256" s="208" t="s">
        <v>182</v>
      </c>
      <c r="AE256" s="239"/>
      <c r="AF256" s="239"/>
      <c r="AG256" s="239"/>
      <c r="AH256" s="239"/>
      <c r="AI256" s="246"/>
      <c r="AJ256" s="426" t="s">
        <v>525</v>
      </c>
      <c r="AK256" s="427"/>
      <c r="AL256" s="206" t="s">
        <v>180</v>
      </c>
      <c r="AM256" s="207" t="s">
        <v>181</v>
      </c>
      <c r="AN256" s="208" t="s">
        <v>182</v>
      </c>
      <c r="AO256" s="239"/>
      <c r="AP256" s="239"/>
      <c r="AQ256" s="239"/>
      <c r="AR256" s="239"/>
      <c r="AS256" s="246"/>
      <c r="AT256" s="426" t="s">
        <v>574</v>
      </c>
      <c r="AU256" s="427"/>
      <c r="AV256" s="206" t="s">
        <v>180</v>
      </c>
      <c r="AW256" s="207" t="s">
        <v>181</v>
      </c>
      <c r="AX256" s="208" t="s">
        <v>182</v>
      </c>
      <c r="AY256" s="239"/>
      <c r="AZ256" s="239"/>
      <c r="BA256" s="239"/>
      <c r="BB256" s="239"/>
      <c r="BC256" s="246"/>
      <c r="BD256" s="247"/>
      <c r="BE256" s="248"/>
      <c r="BF256" s="426" t="s">
        <v>627</v>
      </c>
      <c r="BG256" s="427"/>
      <c r="BH256" s="206" t="s">
        <v>180</v>
      </c>
      <c r="BI256" s="207" t="s">
        <v>181</v>
      </c>
      <c r="BJ256" s="208" t="s">
        <v>182</v>
      </c>
      <c r="BK256" s="239"/>
      <c r="BL256" s="239"/>
      <c r="BM256" s="246"/>
      <c r="BN256" s="426" t="s">
        <v>672</v>
      </c>
      <c r="BO256" s="427"/>
      <c r="BP256" s="206" t="s">
        <v>180</v>
      </c>
      <c r="BQ256" s="207" t="s">
        <v>181</v>
      </c>
      <c r="BR256" s="208" t="s">
        <v>182</v>
      </c>
      <c r="BS256" s="239"/>
      <c r="BT256" s="239"/>
      <c r="BU256" s="239"/>
      <c r="BV256" s="239"/>
      <c r="BW256" s="246"/>
      <c r="BX256" s="426" t="s">
        <v>699</v>
      </c>
      <c r="BY256" s="430"/>
      <c r="BZ256" s="206" t="s">
        <v>180</v>
      </c>
      <c r="CA256" s="207" t="s">
        <v>181</v>
      </c>
      <c r="CB256" s="208" t="s">
        <v>182</v>
      </c>
      <c r="CC256" s="239"/>
      <c r="CD256" s="239"/>
      <c r="CE256" s="239"/>
      <c r="CF256" s="239"/>
      <c r="CG256" s="246"/>
      <c r="CH256" s="426" t="s">
        <v>352</v>
      </c>
      <c r="CI256" s="427"/>
      <c r="CJ256" s="206" t="s">
        <v>180</v>
      </c>
      <c r="CK256" s="207" t="s">
        <v>181</v>
      </c>
      <c r="CL256" s="208" t="s">
        <v>182</v>
      </c>
      <c r="CM256" s="239"/>
      <c r="CN256" s="239"/>
      <c r="CO256" s="239"/>
      <c r="CP256" s="239"/>
      <c r="CQ256" s="246"/>
      <c r="CR256" s="426" t="s">
        <v>763</v>
      </c>
      <c r="CS256" s="427"/>
      <c r="CT256" s="206" t="s">
        <v>180</v>
      </c>
      <c r="CU256" s="207" t="s">
        <v>181</v>
      </c>
      <c r="CV256" s="208" t="s">
        <v>182</v>
      </c>
      <c r="CW256" s="239"/>
      <c r="CX256" s="246"/>
      <c r="CY256" s="426" t="s">
        <v>836</v>
      </c>
      <c r="CZ256" s="427"/>
      <c r="DA256" s="206" t="s">
        <v>180</v>
      </c>
      <c r="DB256" s="207" t="s">
        <v>181</v>
      </c>
      <c r="DC256" s="208" t="s">
        <v>182</v>
      </c>
      <c r="DD256" s="239"/>
      <c r="DE256" s="246"/>
      <c r="DF256" s="247"/>
      <c r="DG256" s="248"/>
      <c r="DH256" s="249"/>
      <c r="DI256" s="239"/>
      <c r="DJ256" s="239"/>
      <c r="DK256" s="239"/>
      <c r="DL256" s="246"/>
      <c r="DM256" s="247"/>
      <c r="DN256" s="248"/>
      <c r="DO256" s="249"/>
      <c r="DP256" s="239"/>
      <c r="DQ256" s="239"/>
      <c r="DR256" s="239"/>
      <c r="DS256" s="239"/>
      <c r="DT256" s="239"/>
      <c r="DU256" s="239"/>
      <c r="DV256" s="239"/>
      <c r="DW256" s="239"/>
      <c r="DX256" s="239"/>
      <c r="DY256" s="239"/>
      <c r="DZ256" s="239"/>
      <c r="EA256" s="239"/>
      <c r="EB256" s="239"/>
    </row>
    <row r="257" spans="15:138" ht="20.100000000000001" customHeight="1" x14ac:dyDescent="0.4">
      <c r="O257" s="201"/>
      <c r="P257" s="422" t="s">
        <v>183</v>
      </c>
      <c r="Q257" s="423"/>
      <c r="R257" s="211"/>
      <c r="S257" s="211">
        <v>0</v>
      </c>
      <c r="T257" s="230">
        <v>0</v>
      </c>
      <c r="U257" s="239"/>
      <c r="V257" s="239"/>
      <c r="W257" s="239"/>
      <c r="X257" s="239"/>
      <c r="Y257" s="250"/>
      <c r="Z257" s="422" t="s">
        <v>183</v>
      </c>
      <c r="AA257" s="423"/>
      <c r="AB257" s="211"/>
      <c r="AC257" s="211">
        <v>1.2380952380952381</v>
      </c>
      <c r="AD257" s="230">
        <v>1.2380952380952381</v>
      </c>
      <c r="AE257" s="239"/>
      <c r="AF257" s="239"/>
      <c r="AG257" s="239"/>
      <c r="AH257" s="239"/>
      <c r="AI257" s="250"/>
      <c r="AJ257" s="422" t="s">
        <v>183</v>
      </c>
      <c r="AK257" s="423"/>
      <c r="AL257" s="211"/>
      <c r="AM257" s="211">
        <v>0</v>
      </c>
      <c r="AN257" s="230">
        <v>0</v>
      </c>
      <c r="AO257" s="239"/>
      <c r="AP257" s="239"/>
      <c r="AQ257" s="239"/>
      <c r="AR257" s="239"/>
      <c r="AS257" s="250"/>
      <c r="AT257" s="422" t="s">
        <v>183</v>
      </c>
      <c r="AU257" s="423"/>
      <c r="AV257" s="211">
        <v>0.36363636363636365</v>
      </c>
      <c r="AW257" s="211">
        <v>2.0303030303030303</v>
      </c>
      <c r="AX257" s="230">
        <v>1.6666666666666665</v>
      </c>
      <c r="AY257" s="239"/>
      <c r="AZ257" s="239"/>
      <c r="BA257" s="239"/>
      <c r="BB257" s="239"/>
      <c r="BC257" s="250"/>
      <c r="BD257" s="134"/>
      <c r="BE257" s="134"/>
      <c r="BF257" s="422" t="s">
        <v>183</v>
      </c>
      <c r="BG257" s="423"/>
      <c r="BH257" s="211"/>
      <c r="BI257" s="211">
        <v>0</v>
      </c>
      <c r="BJ257" s="230">
        <v>0</v>
      </c>
      <c r="BK257" s="239"/>
      <c r="BL257" s="239"/>
      <c r="BM257" s="250"/>
      <c r="BN257" s="422" t="s">
        <v>183</v>
      </c>
      <c r="BO257" s="423"/>
      <c r="BP257" s="211"/>
      <c r="BQ257" s="211">
        <v>0</v>
      </c>
      <c r="BR257" s="230">
        <v>0</v>
      </c>
      <c r="BS257" s="239"/>
      <c r="BT257" s="239"/>
      <c r="BU257" s="239"/>
      <c r="BV257" s="239"/>
      <c r="BW257" s="250"/>
      <c r="BX257" s="422" t="s">
        <v>183</v>
      </c>
      <c r="BY257" s="423"/>
      <c r="BZ257" s="211">
        <v>0</v>
      </c>
      <c r="CA257" s="211">
        <v>2.4126984126984126</v>
      </c>
      <c r="CB257" s="230">
        <v>2.4126984126984126</v>
      </c>
      <c r="CC257" s="239"/>
      <c r="CD257" s="239"/>
      <c r="CE257" s="239"/>
      <c r="CF257" s="239"/>
      <c r="CG257" s="250"/>
      <c r="CH257" s="422" t="s">
        <v>183</v>
      </c>
      <c r="CI257" s="423"/>
      <c r="CJ257" s="211"/>
      <c r="CK257" s="211">
        <v>0</v>
      </c>
      <c r="CL257" s="230">
        <v>0</v>
      </c>
      <c r="CM257" s="239"/>
      <c r="CN257" s="239"/>
      <c r="CO257" s="239"/>
      <c r="CP257" s="239"/>
      <c r="CQ257" s="250"/>
      <c r="CR257" s="422" t="s">
        <v>183</v>
      </c>
      <c r="CS257" s="423"/>
      <c r="CT257" s="211"/>
      <c r="CU257" s="211">
        <v>0</v>
      </c>
      <c r="CV257" s="230">
        <v>0</v>
      </c>
      <c r="CW257" s="239"/>
      <c r="CX257" s="250"/>
      <c r="CY257" s="422" t="s">
        <v>183</v>
      </c>
      <c r="CZ257" s="423"/>
      <c r="DA257" s="211"/>
      <c r="DB257" s="211">
        <v>0.79365079365079361</v>
      </c>
      <c r="DC257" s="230">
        <v>0.79365079365079361</v>
      </c>
      <c r="DD257" s="239"/>
      <c r="DE257" s="250"/>
      <c r="DF257" s="134"/>
      <c r="DG257" s="134"/>
      <c r="DH257" s="234"/>
      <c r="DI257" s="239"/>
      <c r="DJ257" s="239"/>
      <c r="DK257" s="239"/>
      <c r="DL257" s="250"/>
      <c r="DM257" s="134"/>
      <c r="DN257" s="134"/>
      <c r="DO257" s="234"/>
      <c r="DP257" s="239"/>
      <c r="DQ257" s="239"/>
      <c r="DR257" s="239"/>
      <c r="DS257" s="239"/>
      <c r="DT257" s="239"/>
      <c r="DU257" s="239"/>
      <c r="DV257" s="239"/>
      <c r="DW257" s="239"/>
      <c r="DX257" s="239"/>
      <c r="DY257" s="239"/>
      <c r="DZ257" s="239"/>
      <c r="EA257" s="239"/>
      <c r="EB257" s="239"/>
    </row>
    <row r="258" spans="15:138" ht="20.100000000000001" customHeight="1" x14ac:dyDescent="0.4">
      <c r="O258" s="201"/>
      <c r="P258" s="422" t="s">
        <v>184</v>
      </c>
      <c r="Q258" s="423"/>
      <c r="R258" s="211"/>
      <c r="S258" s="211">
        <v>0.9458333333333333</v>
      </c>
      <c r="T258" s="230">
        <v>0.9458333333333333</v>
      </c>
      <c r="U258" s="239"/>
      <c r="V258" s="239"/>
      <c r="W258" s="239"/>
      <c r="X258" s="239"/>
      <c r="Y258" s="250"/>
      <c r="Z258" s="422" t="s">
        <v>184</v>
      </c>
      <c r="AA258" s="423"/>
      <c r="AB258" s="211"/>
      <c r="AC258" s="211">
        <v>0.97142857142857131</v>
      </c>
      <c r="AD258" s="230">
        <v>0.97142857142857131</v>
      </c>
      <c r="AE258" s="239"/>
      <c r="AF258" s="239"/>
      <c r="AG258" s="239"/>
      <c r="AH258" s="239"/>
      <c r="AI258" s="250"/>
      <c r="AJ258" s="422" t="s">
        <v>184</v>
      </c>
      <c r="AK258" s="423"/>
      <c r="AL258" s="211"/>
      <c r="AM258" s="211">
        <v>0.95238095238095233</v>
      </c>
      <c r="AN258" s="230">
        <v>0.95238095238095233</v>
      </c>
      <c r="AO258" s="239"/>
      <c r="AP258" s="239"/>
      <c r="AQ258" s="239"/>
      <c r="AR258" s="239"/>
      <c r="AS258" s="250"/>
      <c r="AT258" s="422" t="s">
        <v>184</v>
      </c>
      <c r="AU258" s="423"/>
      <c r="AV258" s="211">
        <v>0.60606060606060608</v>
      </c>
      <c r="AW258" s="211">
        <v>1.8090909090909091</v>
      </c>
      <c r="AX258" s="230">
        <v>1.2030303030303031</v>
      </c>
      <c r="AY258" s="239"/>
      <c r="AZ258" s="239"/>
      <c r="BA258" s="239"/>
      <c r="BB258" s="239"/>
      <c r="BC258" s="250"/>
      <c r="BD258" s="134"/>
      <c r="BE258" s="134"/>
      <c r="BF258" s="422" t="s">
        <v>184</v>
      </c>
      <c r="BG258" s="423"/>
      <c r="BH258" s="211"/>
      <c r="BI258" s="211">
        <v>1.4222222222222223</v>
      </c>
      <c r="BJ258" s="230">
        <v>1.4222222222222223</v>
      </c>
      <c r="BK258" s="239"/>
      <c r="BL258" s="239"/>
      <c r="BM258" s="250"/>
      <c r="BN258" s="422" t="s">
        <v>184</v>
      </c>
      <c r="BO258" s="423"/>
      <c r="BP258" s="211"/>
      <c r="BQ258" s="211">
        <v>1.1651515151515148</v>
      </c>
      <c r="BR258" s="230">
        <v>1.1651515151515148</v>
      </c>
      <c r="BS258" s="239"/>
      <c r="BT258" s="239"/>
      <c r="BU258" s="239"/>
      <c r="BV258" s="239"/>
      <c r="BW258" s="250"/>
      <c r="BX258" s="422" t="s">
        <v>184</v>
      </c>
      <c r="BY258" s="423"/>
      <c r="BZ258" s="211">
        <v>0.36190476190476195</v>
      </c>
      <c r="CA258" s="211">
        <v>1.2603174603174603</v>
      </c>
      <c r="CB258" s="230">
        <v>0.89841269841269833</v>
      </c>
      <c r="CC258" s="239"/>
      <c r="CD258" s="239"/>
      <c r="CE258" s="239"/>
      <c r="CF258" s="239"/>
      <c r="CG258" s="250"/>
      <c r="CH258" s="422" t="s">
        <v>184</v>
      </c>
      <c r="CI258" s="423"/>
      <c r="CJ258" s="211"/>
      <c r="CK258" s="211">
        <v>0.3666666666666667</v>
      </c>
      <c r="CL258" s="230">
        <v>0.3666666666666667</v>
      </c>
      <c r="CM258" s="239"/>
      <c r="CN258" s="239"/>
      <c r="CO258" s="239"/>
      <c r="CP258" s="239"/>
      <c r="CQ258" s="250"/>
      <c r="CR258" s="422" t="s">
        <v>184</v>
      </c>
      <c r="CS258" s="423"/>
      <c r="CT258" s="211"/>
      <c r="CU258" s="211">
        <v>0.80333333333333345</v>
      </c>
      <c r="CV258" s="230">
        <v>0.80333333333333345</v>
      </c>
      <c r="CW258" s="239"/>
      <c r="CX258" s="250"/>
      <c r="CY258" s="422" t="s">
        <v>184</v>
      </c>
      <c r="CZ258" s="423"/>
      <c r="DA258" s="211"/>
      <c r="DB258" s="211">
        <v>0.2095238095238095</v>
      </c>
      <c r="DC258" s="230">
        <v>0.2095238095238095</v>
      </c>
      <c r="DD258" s="239"/>
      <c r="DE258" s="250"/>
      <c r="DF258" s="134"/>
      <c r="DG258" s="134"/>
      <c r="DH258" s="234"/>
      <c r="DI258" s="239"/>
      <c r="DJ258" s="239"/>
      <c r="DK258" s="239"/>
      <c r="DL258" s="250"/>
      <c r="DM258" s="134"/>
      <c r="DN258" s="134"/>
      <c r="DO258" s="234"/>
      <c r="DP258" s="239"/>
      <c r="DQ258" s="239"/>
      <c r="DR258" s="239"/>
      <c r="DS258" s="239"/>
      <c r="DT258" s="239"/>
      <c r="DU258" s="239"/>
      <c r="DV258" s="239"/>
      <c r="DW258" s="239"/>
      <c r="DX258" s="239"/>
      <c r="DY258" s="239"/>
      <c r="DZ258" s="239"/>
      <c r="EA258" s="239"/>
      <c r="EB258" s="239"/>
    </row>
    <row r="259" spans="15:138" ht="20.100000000000001" customHeight="1" x14ac:dyDescent="0.4">
      <c r="O259" s="201"/>
      <c r="P259" s="424" t="s">
        <v>185</v>
      </c>
      <c r="Q259" s="425"/>
      <c r="R259" s="211"/>
      <c r="S259" s="212">
        <v>0</v>
      </c>
      <c r="T259" s="230">
        <v>0</v>
      </c>
      <c r="U259" s="239"/>
      <c r="V259" s="239"/>
      <c r="W259" s="239"/>
      <c r="X259" s="239"/>
      <c r="Y259" s="251"/>
      <c r="Z259" s="424" t="s">
        <v>185</v>
      </c>
      <c r="AA259" s="425"/>
      <c r="AB259" s="211"/>
      <c r="AC259" s="212">
        <v>2.1269841269841265</v>
      </c>
      <c r="AD259" s="230">
        <v>2.1269841269841265</v>
      </c>
      <c r="AE259" s="239"/>
      <c r="AF259" s="239"/>
      <c r="AG259" s="239"/>
      <c r="AH259" s="239"/>
      <c r="AI259" s="251"/>
      <c r="AJ259" s="424" t="s">
        <v>185</v>
      </c>
      <c r="AK259" s="425"/>
      <c r="AL259" s="211"/>
      <c r="AM259" s="212">
        <v>1.4603174603174598</v>
      </c>
      <c r="AN259" s="230">
        <v>1.4603174603174598</v>
      </c>
      <c r="AO259" s="239"/>
      <c r="AP259" s="239"/>
      <c r="AQ259" s="239"/>
      <c r="AR259" s="239"/>
      <c r="AS259" s="251"/>
      <c r="AT259" s="424" t="s">
        <v>185</v>
      </c>
      <c r="AU259" s="425"/>
      <c r="AV259" s="211">
        <v>1.5212121212121206</v>
      </c>
      <c r="AW259" s="212">
        <v>1.5212121212121206</v>
      </c>
      <c r="AX259" s="230">
        <v>0</v>
      </c>
      <c r="AY259" s="239"/>
      <c r="AZ259" s="239"/>
      <c r="BA259" s="239"/>
      <c r="BB259" s="239"/>
      <c r="BC259" s="251"/>
      <c r="BD259" s="134"/>
      <c r="BE259" s="134"/>
      <c r="BF259" s="424" t="s">
        <v>185</v>
      </c>
      <c r="BG259" s="425"/>
      <c r="BH259" s="211"/>
      <c r="BI259" s="212">
        <v>0</v>
      </c>
      <c r="BJ259" s="230">
        <v>0</v>
      </c>
      <c r="BK259" s="239"/>
      <c r="BL259" s="239"/>
      <c r="BM259" s="251"/>
      <c r="BN259" s="424" t="s">
        <v>185</v>
      </c>
      <c r="BO259" s="425"/>
      <c r="BP259" s="211"/>
      <c r="BQ259" s="212">
        <v>1.5878787878787886</v>
      </c>
      <c r="BR259" s="230">
        <v>1.5878787878787886</v>
      </c>
      <c r="BS259" s="239"/>
      <c r="BT259" s="239"/>
      <c r="BU259" s="239"/>
      <c r="BV259" s="239"/>
      <c r="BW259" s="251"/>
      <c r="BX259" s="424" t="s">
        <v>185</v>
      </c>
      <c r="BY259" s="425"/>
      <c r="BZ259" s="211">
        <v>0.9650793650793652</v>
      </c>
      <c r="CA259" s="212">
        <v>0.9650793650793652</v>
      </c>
      <c r="CB259" s="230">
        <v>0</v>
      </c>
      <c r="CC259" s="239"/>
      <c r="CD259" s="239"/>
      <c r="CE259" s="239"/>
      <c r="CF259" s="239"/>
      <c r="CG259" s="251"/>
      <c r="CH259" s="424" t="s">
        <v>185</v>
      </c>
      <c r="CI259" s="425"/>
      <c r="CJ259" s="211"/>
      <c r="CK259" s="212">
        <v>1.6148148148148147</v>
      </c>
      <c r="CL259" s="230">
        <v>1.6148148148148147</v>
      </c>
      <c r="CM259" s="239"/>
      <c r="CN259" s="239"/>
      <c r="CO259" s="239"/>
      <c r="CP259" s="239"/>
      <c r="CQ259" s="251"/>
      <c r="CR259" s="424" t="s">
        <v>185</v>
      </c>
      <c r="CS259" s="425"/>
      <c r="CT259" s="211"/>
      <c r="CU259" s="212">
        <v>0.53666666666666663</v>
      </c>
      <c r="CV259" s="230">
        <v>0.53666666666666663</v>
      </c>
      <c r="CW259" s="239"/>
      <c r="CX259" s="251"/>
      <c r="CY259" s="424" t="s">
        <v>185</v>
      </c>
      <c r="CZ259" s="425"/>
      <c r="DA259" s="211"/>
      <c r="DB259" s="212">
        <v>1.2222222222222219</v>
      </c>
      <c r="DC259" s="230">
        <v>1.2222222222222219</v>
      </c>
      <c r="DD259" s="239"/>
      <c r="DE259" s="251"/>
      <c r="DF259" s="134"/>
      <c r="DG259" s="134"/>
      <c r="DH259" s="234"/>
      <c r="DI259" s="239"/>
      <c r="DJ259" s="239"/>
      <c r="DK259" s="239"/>
      <c r="DL259" s="251"/>
      <c r="DM259" s="134"/>
      <c r="DN259" s="134"/>
      <c r="DO259" s="234"/>
      <c r="DP259" s="239"/>
      <c r="DQ259" s="239"/>
      <c r="DR259" s="239"/>
      <c r="DS259" s="239"/>
      <c r="DT259" s="239"/>
      <c r="DU259" s="239"/>
      <c r="DV259" s="239"/>
      <c r="DW259" s="239"/>
      <c r="DX259" s="239"/>
      <c r="DY259" s="239"/>
      <c r="DZ259" s="239"/>
      <c r="EA259" s="239"/>
      <c r="EB259" s="239"/>
    </row>
    <row r="260" spans="15:138" ht="20.100000000000001" customHeight="1" x14ac:dyDescent="0.4">
      <c r="O260" s="201"/>
      <c r="P260" s="424" t="s">
        <v>186</v>
      </c>
      <c r="Q260" s="425"/>
      <c r="R260" s="211"/>
      <c r="S260" s="212">
        <v>0.19999999999999998</v>
      </c>
      <c r="T260" s="230">
        <v>0.19999999999999998</v>
      </c>
      <c r="U260" s="239"/>
      <c r="V260" s="239"/>
      <c r="W260" s="239"/>
      <c r="X260" s="239"/>
      <c r="Y260" s="251"/>
      <c r="Z260" s="424" t="s">
        <v>186</v>
      </c>
      <c r="AA260" s="425"/>
      <c r="AB260" s="211"/>
      <c r="AC260" s="212">
        <v>0.41587301587301595</v>
      </c>
      <c r="AD260" s="230">
        <v>0.41587301587301595</v>
      </c>
      <c r="AE260" s="239"/>
      <c r="AF260" s="239"/>
      <c r="AG260" s="239"/>
      <c r="AH260" s="239"/>
      <c r="AI260" s="251"/>
      <c r="AJ260" s="424" t="s">
        <v>186</v>
      </c>
      <c r="AK260" s="425"/>
      <c r="AL260" s="211"/>
      <c r="AM260" s="212">
        <v>0.22857142857142854</v>
      </c>
      <c r="AN260" s="230">
        <v>0.22857142857142854</v>
      </c>
      <c r="AO260" s="239"/>
      <c r="AP260" s="239"/>
      <c r="AQ260" s="239"/>
      <c r="AR260" s="239"/>
      <c r="AS260" s="251"/>
      <c r="AT260" s="424" t="s">
        <v>186</v>
      </c>
      <c r="AU260" s="425"/>
      <c r="AV260" s="211">
        <v>0.13333333333333333</v>
      </c>
      <c r="AW260" s="212">
        <v>0.42121212121212126</v>
      </c>
      <c r="AX260" s="230">
        <v>0.28787878787878796</v>
      </c>
      <c r="AY260" s="239"/>
      <c r="AZ260" s="239"/>
      <c r="BA260" s="239"/>
      <c r="BB260" s="239"/>
      <c r="BC260" s="251"/>
      <c r="BD260" s="134"/>
      <c r="BE260" s="134"/>
      <c r="BF260" s="424" t="s">
        <v>186</v>
      </c>
      <c r="BG260" s="425"/>
      <c r="BH260" s="211"/>
      <c r="BI260" s="212">
        <v>0.30476190476190484</v>
      </c>
      <c r="BJ260" s="230">
        <v>0.30476190476190484</v>
      </c>
      <c r="BK260" s="239"/>
      <c r="BL260" s="239"/>
      <c r="BM260" s="251"/>
      <c r="BN260" s="424" t="s">
        <v>186</v>
      </c>
      <c r="BO260" s="425"/>
      <c r="BP260" s="211"/>
      <c r="BQ260" s="212">
        <v>0.19848484848484849</v>
      </c>
      <c r="BR260" s="230">
        <v>0.19848484848484849</v>
      </c>
      <c r="BS260" s="239"/>
      <c r="BT260" s="239"/>
      <c r="BU260" s="239"/>
      <c r="BV260" s="239"/>
      <c r="BW260" s="251"/>
      <c r="BX260" s="424" t="s">
        <v>186</v>
      </c>
      <c r="BY260" s="425"/>
      <c r="BZ260" s="211">
        <v>6.3492063492063516E-2</v>
      </c>
      <c r="CA260" s="212">
        <v>0.24126984126984133</v>
      </c>
      <c r="CB260" s="230">
        <v>0.17777777777777781</v>
      </c>
      <c r="CC260" s="239"/>
      <c r="CD260" s="239"/>
      <c r="CE260" s="239"/>
      <c r="CF260" s="239"/>
      <c r="CG260" s="251"/>
      <c r="CH260" s="424" t="s">
        <v>186</v>
      </c>
      <c r="CI260" s="425"/>
      <c r="CJ260" s="211"/>
      <c r="CK260" s="212">
        <v>8.5185185185185211E-2</v>
      </c>
      <c r="CL260" s="230">
        <v>8.5185185185185211E-2</v>
      </c>
      <c r="CM260" s="239"/>
      <c r="CN260" s="239"/>
      <c r="CO260" s="239"/>
      <c r="CP260" s="239"/>
      <c r="CQ260" s="251"/>
      <c r="CR260" s="424" t="s">
        <v>186</v>
      </c>
      <c r="CS260" s="425"/>
      <c r="CT260" s="211"/>
      <c r="CU260" s="212">
        <v>9.9999999999999992E-2</v>
      </c>
      <c r="CV260" s="230">
        <v>9.9999999999999992E-2</v>
      </c>
      <c r="CW260" s="239"/>
      <c r="CX260" s="251"/>
      <c r="CY260" s="424" t="s">
        <v>186</v>
      </c>
      <c r="CZ260" s="425"/>
      <c r="DA260" s="211"/>
      <c r="DB260" s="212">
        <v>0.15555555555555556</v>
      </c>
      <c r="DC260" s="230">
        <v>0.15555555555555556</v>
      </c>
      <c r="DD260" s="239"/>
      <c r="DE260" s="251"/>
      <c r="DF260" s="134"/>
      <c r="DG260" s="134"/>
      <c r="DH260" s="234"/>
      <c r="DI260" s="239"/>
      <c r="DJ260" s="239"/>
      <c r="DK260" s="239"/>
      <c r="DL260" s="251"/>
      <c r="DM260" s="134"/>
      <c r="DN260" s="134"/>
      <c r="DO260" s="234"/>
      <c r="DP260" s="239"/>
      <c r="DQ260" s="239"/>
      <c r="DR260" s="239"/>
      <c r="DS260" s="239"/>
      <c r="DT260" s="239"/>
      <c r="DU260" s="239"/>
      <c r="DV260" s="239"/>
      <c r="DW260" s="239"/>
      <c r="DX260" s="239"/>
      <c r="DY260" s="239"/>
      <c r="DZ260" s="239"/>
      <c r="EA260" s="239"/>
      <c r="EB260" s="239"/>
    </row>
    <row r="261" spans="15:138" ht="20.100000000000001" customHeight="1" x14ac:dyDescent="0.4">
      <c r="O261" s="201"/>
      <c r="P261" s="422" t="s">
        <v>187</v>
      </c>
      <c r="Q261" s="423"/>
      <c r="R261" s="211"/>
      <c r="S261" s="213">
        <v>0</v>
      </c>
      <c r="T261" s="230">
        <v>0</v>
      </c>
      <c r="U261" s="239"/>
      <c r="V261" s="239"/>
      <c r="W261" s="239"/>
      <c r="X261" s="239"/>
      <c r="Y261" s="250"/>
      <c r="Z261" s="422" t="s">
        <v>187</v>
      </c>
      <c r="AA261" s="423"/>
      <c r="AB261" s="211"/>
      <c r="AC261" s="213">
        <v>2.9841269841269842</v>
      </c>
      <c r="AD261" s="230">
        <v>2.9841269841269842</v>
      </c>
      <c r="AE261" s="239"/>
      <c r="AF261" s="239"/>
      <c r="AG261" s="239"/>
      <c r="AH261" s="239"/>
      <c r="AI261" s="250"/>
      <c r="AJ261" s="422" t="s">
        <v>187</v>
      </c>
      <c r="AK261" s="423"/>
      <c r="AL261" s="211"/>
      <c r="AM261" s="213">
        <v>2.6666666666666665</v>
      </c>
      <c r="AN261" s="230">
        <v>2.6666666666666665</v>
      </c>
      <c r="AO261" s="239"/>
      <c r="AP261" s="239"/>
      <c r="AQ261" s="239"/>
      <c r="AR261" s="239"/>
      <c r="AS261" s="250"/>
      <c r="AT261" s="422" t="s">
        <v>187</v>
      </c>
      <c r="AU261" s="423"/>
      <c r="AV261" s="211">
        <v>1.2727272727272723</v>
      </c>
      <c r="AW261" s="213">
        <v>1.2727272727272723</v>
      </c>
      <c r="AX261" s="230">
        <v>0</v>
      </c>
      <c r="AY261" s="239"/>
      <c r="AZ261" s="239"/>
      <c r="BA261" s="239"/>
      <c r="BB261" s="239"/>
      <c r="BC261" s="250"/>
      <c r="BD261" s="138"/>
      <c r="BE261" s="138"/>
      <c r="BF261" s="422" t="s">
        <v>187</v>
      </c>
      <c r="BG261" s="423"/>
      <c r="BH261" s="211"/>
      <c r="BI261" s="213">
        <v>0</v>
      </c>
      <c r="BJ261" s="230">
        <v>0</v>
      </c>
      <c r="BK261" s="239"/>
      <c r="BL261" s="239"/>
      <c r="BM261" s="250"/>
      <c r="BN261" s="422" t="s">
        <v>187</v>
      </c>
      <c r="BO261" s="423"/>
      <c r="BP261" s="211"/>
      <c r="BQ261" s="213">
        <v>0</v>
      </c>
      <c r="BR261" s="230">
        <v>0</v>
      </c>
      <c r="BS261" s="239"/>
      <c r="BT261" s="239"/>
      <c r="BU261" s="239"/>
      <c r="BV261" s="239"/>
      <c r="BW261" s="250"/>
      <c r="BX261" s="422" t="s">
        <v>187</v>
      </c>
      <c r="BY261" s="423"/>
      <c r="BZ261" s="211">
        <v>0</v>
      </c>
      <c r="CA261" s="213">
        <v>0</v>
      </c>
      <c r="CB261" s="230">
        <v>0</v>
      </c>
      <c r="CC261" s="239"/>
      <c r="CD261" s="239"/>
      <c r="CE261" s="239"/>
      <c r="CF261" s="239"/>
      <c r="CG261" s="250"/>
      <c r="CH261" s="422" t="s">
        <v>187</v>
      </c>
      <c r="CI261" s="423"/>
      <c r="CJ261" s="211"/>
      <c r="CK261" s="213">
        <v>0</v>
      </c>
      <c r="CL261" s="230">
        <v>0</v>
      </c>
      <c r="CM261" s="239"/>
      <c r="CN261" s="239"/>
      <c r="CO261" s="239"/>
      <c r="CP261" s="239"/>
      <c r="CQ261" s="250"/>
      <c r="CR261" s="422" t="s">
        <v>187</v>
      </c>
      <c r="CS261" s="423"/>
      <c r="CT261" s="211"/>
      <c r="CU261" s="213">
        <v>0</v>
      </c>
      <c r="CV261" s="230">
        <v>0</v>
      </c>
      <c r="CW261" s="239"/>
      <c r="CX261" s="250"/>
      <c r="CY261" s="422" t="s">
        <v>187</v>
      </c>
      <c r="CZ261" s="423"/>
      <c r="DA261" s="211"/>
      <c r="DB261" s="213">
        <v>1.3333333333333333</v>
      </c>
      <c r="DC261" s="230">
        <v>1.3333333333333333</v>
      </c>
      <c r="DD261" s="239"/>
      <c r="DE261" s="250"/>
      <c r="DF261" s="138"/>
      <c r="DG261" s="138"/>
      <c r="DH261" s="234"/>
      <c r="DI261" s="239"/>
      <c r="DJ261" s="239"/>
      <c r="DK261" s="239"/>
      <c r="DL261" s="250"/>
      <c r="DM261" s="138"/>
      <c r="DN261" s="138"/>
      <c r="DO261" s="234"/>
      <c r="DP261" s="239"/>
      <c r="DQ261" s="239"/>
      <c r="DR261" s="239"/>
      <c r="DS261" s="239"/>
      <c r="DT261" s="239"/>
      <c r="DU261" s="239"/>
      <c r="DV261" s="239"/>
      <c r="DW261" s="239"/>
      <c r="DX261" s="239"/>
      <c r="DY261" s="239"/>
      <c r="DZ261" s="239"/>
      <c r="EA261" s="239"/>
      <c r="EB261" s="239"/>
    </row>
    <row r="262" spans="15:138" ht="20.100000000000001" customHeight="1" x14ac:dyDescent="0.4">
      <c r="O262" s="201"/>
      <c r="P262" s="422" t="s">
        <v>188</v>
      </c>
      <c r="Q262" s="423"/>
      <c r="R262" s="211"/>
      <c r="S262" s="212">
        <v>0.10416666666666666</v>
      </c>
      <c r="T262" s="230">
        <v>0.10416666666666666</v>
      </c>
      <c r="U262" s="239"/>
      <c r="V262" s="239"/>
      <c r="W262" s="239"/>
      <c r="X262" s="239"/>
      <c r="Y262" s="250"/>
      <c r="Z262" s="422" t="s">
        <v>188</v>
      </c>
      <c r="AA262" s="423"/>
      <c r="AB262" s="211"/>
      <c r="AC262" s="212">
        <v>0.5174603174603174</v>
      </c>
      <c r="AD262" s="230">
        <v>0.5174603174603174</v>
      </c>
      <c r="AE262" s="239"/>
      <c r="AF262" s="239"/>
      <c r="AG262" s="239"/>
      <c r="AH262" s="239"/>
      <c r="AI262" s="250"/>
      <c r="AJ262" s="422" t="s">
        <v>188</v>
      </c>
      <c r="AK262" s="423"/>
      <c r="AL262" s="211"/>
      <c r="AM262" s="212">
        <v>0.24761904761904766</v>
      </c>
      <c r="AN262" s="230">
        <v>0.24761904761904766</v>
      </c>
      <c r="AO262" s="239"/>
      <c r="AP262" s="239"/>
      <c r="AQ262" s="239"/>
      <c r="AR262" s="239"/>
      <c r="AS262" s="250"/>
      <c r="AT262" s="422" t="s">
        <v>188</v>
      </c>
      <c r="AU262" s="423"/>
      <c r="AV262" s="211">
        <v>0.1727272727272727</v>
      </c>
      <c r="AW262" s="212">
        <v>0.4939393939393939</v>
      </c>
      <c r="AX262" s="230">
        <v>0.32121212121212117</v>
      </c>
      <c r="AY262" s="239"/>
      <c r="AZ262" s="239"/>
      <c r="BA262" s="239"/>
      <c r="BB262" s="239"/>
      <c r="BC262" s="250"/>
      <c r="BD262" s="134"/>
      <c r="BE262" s="134"/>
      <c r="BF262" s="422" t="s">
        <v>188</v>
      </c>
      <c r="BG262" s="423"/>
      <c r="BH262" s="211"/>
      <c r="BI262" s="212">
        <v>0.17777777777777776</v>
      </c>
      <c r="BJ262" s="230">
        <v>0.17777777777777776</v>
      </c>
      <c r="BK262" s="239"/>
      <c r="BL262" s="239"/>
      <c r="BM262" s="250"/>
      <c r="BN262" s="422" t="s">
        <v>188</v>
      </c>
      <c r="BO262" s="423"/>
      <c r="BP262" s="211"/>
      <c r="BQ262" s="212">
        <v>0</v>
      </c>
      <c r="BR262" s="230">
        <v>0</v>
      </c>
      <c r="BS262" s="239"/>
      <c r="BT262" s="239"/>
      <c r="BU262" s="239"/>
      <c r="BV262" s="239"/>
      <c r="BW262" s="250"/>
      <c r="BX262" s="422" t="s">
        <v>188</v>
      </c>
      <c r="BY262" s="423"/>
      <c r="BZ262" s="211">
        <v>4.7619047619047616E-2</v>
      </c>
      <c r="CA262" s="212">
        <v>0.39999999999999997</v>
      </c>
      <c r="CB262" s="230">
        <v>0.35238095238095235</v>
      </c>
      <c r="CC262" s="239"/>
      <c r="CD262" s="239"/>
      <c r="CE262" s="239"/>
      <c r="CF262" s="239"/>
      <c r="CG262" s="250"/>
      <c r="CH262" s="422" t="s">
        <v>188</v>
      </c>
      <c r="CI262" s="423"/>
      <c r="CJ262" s="211"/>
      <c r="CK262" s="212">
        <v>0.10370370370370371</v>
      </c>
      <c r="CL262" s="230">
        <v>0.10370370370370371</v>
      </c>
      <c r="CM262" s="239"/>
      <c r="CN262" s="239"/>
      <c r="CO262" s="239"/>
      <c r="CP262" s="239"/>
      <c r="CQ262" s="250"/>
      <c r="CR262" s="422" t="s">
        <v>188</v>
      </c>
      <c r="CS262" s="423"/>
      <c r="CT262" s="211"/>
      <c r="CU262" s="212">
        <v>0.14666666666666667</v>
      </c>
      <c r="CV262" s="230">
        <v>0.14666666666666667</v>
      </c>
      <c r="CW262" s="239"/>
      <c r="CX262" s="250"/>
      <c r="CY262" s="422" t="s">
        <v>188</v>
      </c>
      <c r="CZ262" s="423"/>
      <c r="DA262" s="211"/>
      <c r="DB262" s="212">
        <v>0.63492063492063489</v>
      </c>
      <c r="DC262" s="230">
        <v>0.63492063492063489</v>
      </c>
      <c r="DD262" s="239"/>
      <c r="DE262" s="250"/>
      <c r="DF262" s="134"/>
      <c r="DG262" s="134"/>
      <c r="DH262" s="234"/>
      <c r="DI262" s="239"/>
      <c r="DJ262" s="239"/>
      <c r="DK262" s="239"/>
      <c r="DL262" s="250"/>
      <c r="DM262" s="134"/>
      <c r="DN262" s="134"/>
      <c r="DO262" s="234"/>
      <c r="DP262" s="239"/>
      <c r="DQ262" s="239"/>
      <c r="DR262" s="239"/>
      <c r="DS262" s="239"/>
      <c r="DT262" s="239"/>
      <c r="DU262" s="239"/>
      <c r="DV262" s="239"/>
      <c r="DW262" s="239"/>
      <c r="DX262" s="239"/>
      <c r="DY262" s="239"/>
      <c r="DZ262" s="239"/>
      <c r="EA262" s="239"/>
      <c r="EB262" s="239"/>
    </row>
    <row r="263" spans="15:138" ht="20.100000000000001" customHeight="1" x14ac:dyDescent="0.4">
      <c r="O263" s="201"/>
      <c r="P263" s="422" t="s">
        <v>189</v>
      </c>
      <c r="Q263" s="423"/>
      <c r="R263" s="211"/>
      <c r="S263" s="212">
        <v>0</v>
      </c>
      <c r="T263" s="230">
        <v>0</v>
      </c>
      <c r="U263" s="239"/>
      <c r="V263" s="239"/>
      <c r="W263" s="239"/>
      <c r="X263" s="239"/>
      <c r="Y263" s="250"/>
      <c r="Z263" s="422" t="s">
        <v>189</v>
      </c>
      <c r="AA263" s="423"/>
      <c r="AB263" s="211"/>
      <c r="AC263" s="212">
        <v>6.3492063492063489</v>
      </c>
      <c r="AD263" s="230">
        <v>6.3492063492063489</v>
      </c>
      <c r="AE263" s="239"/>
      <c r="AF263" s="239"/>
      <c r="AG263" s="239"/>
      <c r="AH263" s="239"/>
      <c r="AI263" s="250"/>
      <c r="AJ263" s="422" t="s">
        <v>189</v>
      </c>
      <c r="AK263" s="423"/>
      <c r="AL263" s="211"/>
      <c r="AM263" s="212">
        <v>4.1269841269841265</v>
      </c>
      <c r="AN263" s="230">
        <v>4.1269841269841265</v>
      </c>
      <c r="AO263" s="239"/>
      <c r="AP263" s="239"/>
      <c r="AQ263" s="239"/>
      <c r="AR263" s="239"/>
      <c r="AS263" s="250"/>
      <c r="AT263" s="422" t="s">
        <v>189</v>
      </c>
      <c r="AU263" s="423"/>
      <c r="AV263" s="211">
        <v>3.1575757575757564</v>
      </c>
      <c r="AW263" s="212">
        <v>4.8242424242424233</v>
      </c>
      <c r="AX263" s="230">
        <v>1.666666666666667</v>
      </c>
      <c r="AY263" s="239"/>
      <c r="AZ263" s="239"/>
      <c r="BA263" s="239"/>
      <c r="BB263" s="239"/>
      <c r="BC263" s="250"/>
      <c r="BD263" s="134"/>
      <c r="BE263" s="134"/>
      <c r="BF263" s="422" t="s">
        <v>189</v>
      </c>
      <c r="BG263" s="423"/>
      <c r="BH263" s="211"/>
      <c r="BI263" s="212">
        <v>0</v>
      </c>
      <c r="BJ263" s="230">
        <v>0</v>
      </c>
      <c r="BK263" s="239"/>
      <c r="BL263" s="239"/>
      <c r="BM263" s="250"/>
      <c r="BN263" s="422" t="s">
        <v>189</v>
      </c>
      <c r="BO263" s="423"/>
      <c r="BP263" s="211"/>
      <c r="BQ263" s="212">
        <v>1.5878787878787886</v>
      </c>
      <c r="BR263" s="230">
        <v>1.5878787878787886</v>
      </c>
      <c r="BS263" s="239"/>
      <c r="BT263" s="239"/>
      <c r="BU263" s="239"/>
      <c r="BV263" s="239"/>
      <c r="BW263" s="250"/>
      <c r="BX263" s="422" t="s">
        <v>189</v>
      </c>
      <c r="BY263" s="423"/>
      <c r="BZ263" s="211">
        <v>0.9650793650793652</v>
      </c>
      <c r="CA263" s="212">
        <v>3.3777777777777778</v>
      </c>
      <c r="CB263" s="230">
        <v>2.4126984126984126</v>
      </c>
      <c r="CC263" s="239"/>
      <c r="CD263" s="239"/>
      <c r="CE263" s="239"/>
      <c r="CF263" s="239"/>
      <c r="CG263" s="250"/>
      <c r="CH263" s="422" t="s">
        <v>189</v>
      </c>
      <c r="CI263" s="423"/>
      <c r="CJ263" s="211"/>
      <c r="CK263" s="212">
        <v>1.6148148148148147</v>
      </c>
      <c r="CL263" s="230">
        <v>1.6148148148148147</v>
      </c>
      <c r="CM263" s="239"/>
      <c r="CN263" s="239"/>
      <c r="CO263" s="239"/>
      <c r="CP263" s="239"/>
      <c r="CQ263" s="250"/>
      <c r="CR263" s="422" t="s">
        <v>189</v>
      </c>
      <c r="CS263" s="423"/>
      <c r="CT263" s="211"/>
      <c r="CU263" s="212">
        <v>0.53666666666666663</v>
      </c>
      <c r="CV263" s="230">
        <v>0.53666666666666663</v>
      </c>
      <c r="CW263" s="239"/>
      <c r="CX263" s="250"/>
      <c r="CY263" s="422" t="s">
        <v>189</v>
      </c>
      <c r="CZ263" s="423"/>
      <c r="DA263" s="211"/>
      <c r="DB263" s="212">
        <v>3.3492063492063489</v>
      </c>
      <c r="DC263" s="230">
        <v>3.3492063492063489</v>
      </c>
      <c r="DD263" s="239"/>
      <c r="DE263" s="250"/>
      <c r="DF263" s="134"/>
      <c r="DG263" s="134"/>
      <c r="DH263" s="234"/>
      <c r="DI263" s="239"/>
      <c r="DJ263" s="239"/>
      <c r="DK263" s="239"/>
      <c r="DL263" s="250"/>
      <c r="DM263" s="134"/>
      <c r="DN263" s="134"/>
      <c r="DO263" s="234"/>
      <c r="DP263" s="239"/>
      <c r="DQ263" s="239"/>
      <c r="DR263" s="239"/>
      <c r="DS263" s="239"/>
      <c r="DT263" s="239"/>
      <c r="DU263" s="239"/>
      <c r="DV263" s="239"/>
      <c r="DW263" s="239"/>
      <c r="DX263" s="239"/>
      <c r="DY263" s="239"/>
      <c r="DZ263" s="239"/>
      <c r="EA263" s="239"/>
      <c r="EB263" s="239"/>
    </row>
    <row r="264" spans="15:138" ht="20.100000000000001" customHeight="1" x14ac:dyDescent="0.4">
      <c r="O264" s="201"/>
      <c r="P264" s="422" t="s">
        <v>190</v>
      </c>
      <c r="Q264" s="423"/>
      <c r="R264" s="211"/>
      <c r="S264" s="214">
        <v>1.25</v>
      </c>
      <c r="T264" s="230">
        <v>1.25</v>
      </c>
      <c r="U264" s="239"/>
      <c r="V264" s="239"/>
      <c r="W264" s="239"/>
      <c r="X264" s="239"/>
      <c r="Y264" s="250"/>
      <c r="Z264" s="422" t="s">
        <v>190</v>
      </c>
      <c r="AA264" s="423"/>
      <c r="AB264" s="211"/>
      <c r="AC264" s="214">
        <v>1.9047619047619047</v>
      </c>
      <c r="AD264" s="230">
        <v>1.9047619047619047</v>
      </c>
      <c r="AE264" s="239"/>
      <c r="AF264" s="239"/>
      <c r="AG264" s="239"/>
      <c r="AH264" s="239"/>
      <c r="AI264" s="250"/>
      <c r="AJ264" s="422" t="s">
        <v>190</v>
      </c>
      <c r="AK264" s="423"/>
      <c r="AL264" s="211"/>
      <c r="AM264" s="214">
        <v>1.4285714285714284</v>
      </c>
      <c r="AN264" s="230">
        <v>1.4285714285714284</v>
      </c>
      <c r="AO264" s="239"/>
      <c r="AP264" s="239"/>
      <c r="AQ264" s="239"/>
      <c r="AR264" s="239"/>
      <c r="AS264" s="250"/>
      <c r="AT264" s="422" t="s">
        <v>190</v>
      </c>
      <c r="AU264" s="423"/>
      <c r="AV264" s="211">
        <v>0.91212121212121211</v>
      </c>
      <c r="AW264" s="214">
        <v>2.7242424242424246</v>
      </c>
      <c r="AX264" s="230">
        <v>1.8121212121212125</v>
      </c>
      <c r="AY264" s="239"/>
      <c r="AZ264" s="239"/>
      <c r="BA264" s="239"/>
      <c r="BB264" s="239"/>
      <c r="BC264" s="250"/>
      <c r="BD264" s="138"/>
      <c r="BE264" s="138"/>
      <c r="BF264" s="422" t="s">
        <v>190</v>
      </c>
      <c r="BG264" s="423"/>
      <c r="BH264" s="211"/>
      <c r="BI264" s="214">
        <v>1.9047619047619049</v>
      </c>
      <c r="BJ264" s="230">
        <v>1.9047619047619049</v>
      </c>
      <c r="BK264" s="239"/>
      <c r="BL264" s="239"/>
      <c r="BM264" s="250"/>
      <c r="BN264" s="422" t="s">
        <v>190</v>
      </c>
      <c r="BO264" s="423"/>
      <c r="BP264" s="211"/>
      <c r="BQ264" s="214">
        <v>1.3636363636363633</v>
      </c>
      <c r="BR264" s="230">
        <v>1.3636363636363633</v>
      </c>
      <c r="BS264" s="239"/>
      <c r="BT264" s="239"/>
      <c r="BU264" s="239"/>
      <c r="BV264" s="239"/>
      <c r="BW264" s="250"/>
      <c r="BX264" s="422" t="s">
        <v>190</v>
      </c>
      <c r="BY264" s="423"/>
      <c r="BZ264" s="211">
        <v>0.47301587301587306</v>
      </c>
      <c r="CA264" s="214">
        <v>1.9015873015873015</v>
      </c>
      <c r="CB264" s="230">
        <v>1.4285714285714284</v>
      </c>
      <c r="CC264" s="239"/>
      <c r="CD264" s="239"/>
      <c r="CE264" s="239"/>
      <c r="CF264" s="239"/>
      <c r="CG264" s="250"/>
      <c r="CH264" s="422" t="s">
        <v>190</v>
      </c>
      <c r="CI264" s="423"/>
      <c r="CJ264" s="211"/>
      <c r="CK264" s="214">
        <v>0.55555555555555558</v>
      </c>
      <c r="CL264" s="230">
        <v>0.55555555555555558</v>
      </c>
      <c r="CM264" s="239"/>
      <c r="CN264" s="239"/>
      <c r="CO264" s="239"/>
      <c r="CP264" s="239"/>
      <c r="CQ264" s="250"/>
      <c r="CR264" s="422" t="s">
        <v>190</v>
      </c>
      <c r="CS264" s="423"/>
      <c r="CT264" s="211"/>
      <c r="CU264" s="214">
        <v>1.05</v>
      </c>
      <c r="CV264" s="230">
        <v>1.05</v>
      </c>
      <c r="CW264" s="239"/>
      <c r="CX264" s="250"/>
      <c r="CY264" s="422" t="s">
        <v>190</v>
      </c>
      <c r="CZ264" s="423"/>
      <c r="DA264" s="211"/>
      <c r="DB264" s="214">
        <v>1</v>
      </c>
      <c r="DC264" s="230">
        <v>1</v>
      </c>
      <c r="DD264" s="239"/>
      <c r="DE264" s="250"/>
      <c r="DF264" s="138"/>
      <c r="DG264" s="138"/>
      <c r="DH264" s="234"/>
      <c r="DI264" s="239"/>
      <c r="DJ264" s="239"/>
      <c r="DK264" s="239"/>
      <c r="DL264" s="250"/>
      <c r="DM264" s="138"/>
      <c r="DN264" s="138"/>
      <c r="DO264" s="234"/>
      <c r="DP264" s="239"/>
      <c r="DQ264" s="239"/>
      <c r="DR264" s="239"/>
      <c r="DS264" s="239"/>
      <c r="DT264" s="239"/>
      <c r="DU264" s="239"/>
      <c r="DV264" s="239"/>
      <c r="DW264" s="239"/>
      <c r="DX264" s="239"/>
      <c r="DY264" s="239"/>
      <c r="DZ264" s="239"/>
      <c r="EA264" s="239"/>
      <c r="EB264" s="239"/>
    </row>
    <row r="265" spans="15:138" ht="20.100000000000001" customHeight="1" x14ac:dyDescent="0.4">
      <c r="O265" s="201"/>
      <c r="P265" s="201"/>
      <c r="Q265" s="203"/>
      <c r="R265" s="202"/>
      <c r="S265" s="201"/>
      <c r="U265" s="239"/>
      <c r="V265" s="239"/>
      <c r="W265" s="239"/>
      <c r="X265" s="239"/>
      <c r="Y265" s="239"/>
      <c r="Z265" s="239"/>
      <c r="AA265" s="239"/>
      <c r="AB265" s="239"/>
      <c r="AC265" s="239"/>
      <c r="AD265" s="239"/>
      <c r="AE265" s="239"/>
      <c r="AF265" s="239"/>
      <c r="AG265" s="239"/>
      <c r="AH265" s="239"/>
      <c r="AI265" s="239"/>
      <c r="AJ265" s="239"/>
      <c r="AK265" s="239"/>
      <c r="AL265" s="239"/>
      <c r="AM265" s="239"/>
      <c r="AN265" s="239"/>
      <c r="AO265" s="239"/>
      <c r="AP265" s="239"/>
      <c r="AQ265" s="239"/>
      <c r="AR265" s="239"/>
      <c r="AS265" s="239"/>
      <c r="AT265" s="239"/>
      <c r="AU265" s="239"/>
      <c r="AV265" s="239"/>
      <c r="AW265" s="239"/>
      <c r="AX265" s="239"/>
      <c r="AY265" s="239"/>
      <c r="AZ265" s="239"/>
      <c r="BA265" s="239"/>
      <c r="BB265" s="239"/>
      <c r="BC265" s="239"/>
      <c r="BD265" s="239"/>
      <c r="BE265" s="239"/>
      <c r="BF265" s="239"/>
      <c r="BG265" s="239"/>
      <c r="BH265" s="239"/>
      <c r="BI265" s="239"/>
      <c r="BJ265" s="239"/>
      <c r="BK265" s="239"/>
      <c r="BL265" s="239"/>
      <c r="BM265" s="239"/>
      <c r="BN265" s="239"/>
      <c r="BO265" s="239"/>
      <c r="BP265" s="239"/>
      <c r="BQ265" s="239"/>
      <c r="BR265" s="239"/>
      <c r="BS265" s="239"/>
      <c r="BT265" s="239"/>
      <c r="BU265" s="239"/>
      <c r="BV265" s="239"/>
      <c r="BW265" s="239"/>
      <c r="BX265" s="239"/>
      <c r="BY265" s="239"/>
      <c r="BZ265" s="239"/>
      <c r="CA265" s="239"/>
      <c r="CB265" s="239"/>
      <c r="CC265" s="239"/>
      <c r="CD265" s="239"/>
      <c r="CE265" s="239"/>
      <c r="CF265" s="239"/>
      <c r="CG265" s="239"/>
      <c r="CH265" s="239"/>
      <c r="CI265" s="239"/>
      <c r="CJ265" s="239"/>
      <c r="CK265" s="239"/>
      <c r="CL265" s="239"/>
      <c r="CM265" s="239"/>
      <c r="CN265" s="239"/>
      <c r="CO265" s="239"/>
      <c r="CP265" s="239"/>
      <c r="CQ265" s="239"/>
      <c r="CR265" s="239"/>
      <c r="CS265" s="239"/>
      <c r="CT265" s="239"/>
      <c r="CU265" s="239"/>
      <c r="CV265" s="239"/>
      <c r="CW265" s="239"/>
      <c r="CX265" s="239"/>
      <c r="CY265" s="239"/>
      <c r="CZ265" s="239"/>
      <c r="DA265" s="239"/>
      <c r="DB265" s="239"/>
      <c r="DC265" s="239"/>
      <c r="DD265" s="239"/>
      <c r="DE265" s="239"/>
      <c r="DF265" s="239"/>
      <c r="DG265" s="239"/>
      <c r="DH265" s="239"/>
      <c r="DI265" s="239"/>
      <c r="DJ265" s="239"/>
      <c r="DK265" s="239"/>
      <c r="DL265" s="239"/>
      <c r="DM265" s="239"/>
      <c r="DN265" s="239"/>
      <c r="DO265" s="239"/>
      <c r="DP265" s="239"/>
      <c r="DQ265" s="239"/>
      <c r="DR265" s="239"/>
      <c r="DS265" s="239"/>
      <c r="DT265" s="239"/>
      <c r="DU265" s="239"/>
      <c r="DV265" s="239"/>
      <c r="DW265" s="239"/>
      <c r="DX265" s="239"/>
      <c r="DY265" s="239"/>
      <c r="DZ265" s="239"/>
      <c r="EA265" s="239"/>
      <c r="EB265" s="239"/>
    </row>
    <row r="266" spans="15:138" ht="20.100000000000001" customHeight="1" x14ac:dyDescent="0.4">
      <c r="O266" s="201"/>
      <c r="P266" s="201"/>
      <c r="Q266" s="201"/>
      <c r="R266" s="202"/>
      <c r="S266" s="201"/>
      <c r="U266" s="239"/>
      <c r="V266" s="239"/>
      <c r="W266" s="239"/>
      <c r="X266" s="239"/>
      <c r="Y266" s="246"/>
      <c r="Z266" s="247"/>
      <c r="AA266" s="248"/>
      <c r="AB266" s="249"/>
      <c r="AC266" s="239"/>
      <c r="AD266" s="239"/>
      <c r="AE266" s="239"/>
      <c r="AF266" s="239"/>
      <c r="AG266" s="239"/>
      <c r="AH266" s="239"/>
      <c r="AI266" s="239"/>
      <c r="AJ266" s="239"/>
      <c r="AK266" s="239"/>
      <c r="AL266" s="239"/>
      <c r="AM266" s="239"/>
      <c r="AN266" s="239"/>
      <c r="AO266" s="239"/>
      <c r="AP266" s="239"/>
      <c r="AQ266" s="239"/>
      <c r="AR266" s="239"/>
      <c r="AS266" s="239"/>
      <c r="AT266" s="426" t="s">
        <v>573</v>
      </c>
      <c r="AU266" s="427"/>
      <c r="AV266" s="206" t="s">
        <v>180</v>
      </c>
      <c r="AW266" s="207" t="s">
        <v>181</v>
      </c>
      <c r="AX266" s="208" t="s">
        <v>182</v>
      </c>
      <c r="AY266" s="239"/>
      <c r="AZ266" s="239"/>
      <c r="BA266" s="239"/>
      <c r="BB266" s="239"/>
      <c r="BC266" s="239"/>
      <c r="BD266" s="239"/>
      <c r="BE266" s="239"/>
      <c r="BF266" s="239"/>
      <c r="BG266" s="239"/>
      <c r="BH266" s="239"/>
      <c r="BI266" s="239"/>
      <c r="BJ266" s="239"/>
      <c r="BK266" s="239"/>
      <c r="BL266" s="239"/>
      <c r="BM266" s="239"/>
      <c r="BN266" s="239"/>
      <c r="BO266" s="239"/>
      <c r="BP266" s="239"/>
      <c r="BQ266" s="239"/>
      <c r="BR266" s="239"/>
      <c r="BS266" s="239"/>
      <c r="BT266" s="239"/>
      <c r="BU266" s="239"/>
      <c r="BV266" s="239"/>
      <c r="BW266" s="246"/>
      <c r="BX266" s="426" t="s">
        <v>691</v>
      </c>
      <c r="BY266" s="427"/>
      <c r="BZ266" s="206" t="s">
        <v>180</v>
      </c>
      <c r="CA266" s="207" t="s">
        <v>181</v>
      </c>
      <c r="CB266" s="208" t="s">
        <v>182</v>
      </c>
      <c r="CC266" s="239"/>
      <c r="CD266" s="239"/>
      <c r="CE266" s="239"/>
      <c r="CF266" s="239"/>
      <c r="CG266" s="239"/>
      <c r="CH266" s="239"/>
      <c r="CI266" s="239"/>
      <c r="CJ266" s="239"/>
      <c r="CK266" s="239"/>
      <c r="CL266" s="250"/>
      <c r="CM266" s="134"/>
      <c r="CN266" s="250"/>
      <c r="CO266" s="134"/>
      <c r="CP266" s="134"/>
      <c r="CQ266" s="234"/>
      <c r="CR266" s="239"/>
      <c r="CS266" s="239"/>
      <c r="CT266" s="239"/>
      <c r="CU266" s="239"/>
      <c r="CV266" s="239"/>
      <c r="CW266" s="250"/>
      <c r="CX266" s="134"/>
      <c r="CY266" s="234"/>
      <c r="CZ266" s="239"/>
      <c r="DA266" s="239"/>
      <c r="DB266" s="239"/>
      <c r="DC266" s="239"/>
      <c r="DD266" s="134"/>
      <c r="DE266" s="134"/>
      <c r="DF266" s="234"/>
      <c r="DG266" s="239"/>
      <c r="DH266" s="239"/>
      <c r="DI266" s="239"/>
      <c r="DJ266" s="239"/>
      <c r="DK266" s="250"/>
      <c r="DL266" s="134"/>
      <c r="DM266" s="234"/>
      <c r="DN266" s="239"/>
      <c r="DO266" s="239"/>
      <c r="DP266" s="239"/>
      <c r="DQ266" s="239"/>
      <c r="DR266" s="250"/>
      <c r="DS266" s="134"/>
      <c r="DT266" s="134"/>
      <c r="DU266" s="234"/>
      <c r="DV266" s="239"/>
      <c r="DW266" s="239"/>
      <c r="DX266" s="239"/>
      <c r="DY266" s="239"/>
      <c r="DZ266" s="250"/>
      <c r="EA266" s="134"/>
      <c r="EB266" s="134"/>
      <c r="EC266" s="234"/>
      <c r="ED266" s="239"/>
      <c r="EE266" s="239"/>
      <c r="EF266" s="239"/>
      <c r="EG266" s="239"/>
      <c r="EH266" s="250"/>
    </row>
    <row r="267" spans="15:138" ht="20.100000000000001" customHeight="1" x14ac:dyDescent="0.4">
      <c r="U267" s="239"/>
      <c r="V267" s="239"/>
      <c r="W267" s="239"/>
      <c r="X267" s="239"/>
      <c r="Y267" s="250"/>
      <c r="Z267" s="134"/>
      <c r="AA267" s="134"/>
      <c r="AB267" s="234"/>
      <c r="AC267" s="239"/>
      <c r="AD267" s="239"/>
      <c r="AE267" s="239"/>
      <c r="AF267" s="239"/>
      <c r="AG267" s="239"/>
      <c r="AH267" s="239"/>
      <c r="AI267" s="239"/>
      <c r="AJ267" s="239"/>
      <c r="AK267" s="239"/>
      <c r="AL267" s="239"/>
      <c r="AM267" s="239"/>
      <c r="AN267" s="239"/>
      <c r="AO267" s="239"/>
      <c r="AP267" s="239"/>
      <c r="AQ267" s="239"/>
      <c r="AR267" s="239"/>
      <c r="AS267" s="239"/>
      <c r="AT267" s="422" t="s">
        <v>183</v>
      </c>
      <c r="AU267" s="423"/>
      <c r="AV267" s="211"/>
      <c r="AW267" s="211">
        <v>0.36363636363636365</v>
      </c>
      <c r="AX267" s="230">
        <v>0.36363636363636365</v>
      </c>
      <c r="AY267" s="239"/>
      <c r="AZ267" s="239"/>
      <c r="BA267" s="239"/>
      <c r="BB267" s="239"/>
      <c r="BC267" s="239"/>
      <c r="BD267" s="239"/>
      <c r="BE267" s="239"/>
      <c r="BF267" s="239"/>
      <c r="BG267" s="239"/>
      <c r="BH267" s="239"/>
      <c r="BI267" s="239"/>
      <c r="BJ267" s="239"/>
      <c r="BK267" s="239"/>
      <c r="BL267" s="239"/>
      <c r="BM267" s="239"/>
      <c r="BN267" s="239"/>
      <c r="BO267" s="239"/>
      <c r="BP267" s="239"/>
      <c r="BQ267" s="239"/>
      <c r="BR267" s="239"/>
      <c r="BS267" s="239"/>
      <c r="BT267" s="239"/>
      <c r="BU267" s="239"/>
      <c r="BV267" s="239"/>
      <c r="BW267" s="250"/>
      <c r="BX267" s="422" t="s">
        <v>183</v>
      </c>
      <c r="BY267" s="423"/>
      <c r="BZ267" s="211"/>
      <c r="CA267" s="211">
        <v>0</v>
      </c>
      <c r="CB267" s="230">
        <v>0</v>
      </c>
      <c r="CC267" s="239"/>
      <c r="CD267" s="239"/>
      <c r="CE267" s="239"/>
      <c r="CF267" s="239"/>
      <c r="CG267" s="239"/>
      <c r="CH267" s="239"/>
      <c r="CI267" s="239"/>
      <c r="CJ267" s="239"/>
      <c r="CK267" s="239"/>
      <c r="CL267" s="251"/>
      <c r="CM267" s="134"/>
      <c r="CN267" s="251"/>
      <c r="CO267" s="134"/>
      <c r="CP267" s="134"/>
      <c r="CQ267" s="234"/>
      <c r="CR267" s="239"/>
      <c r="CS267" s="239"/>
      <c r="CT267" s="239"/>
      <c r="CU267" s="239"/>
      <c r="CV267" s="239"/>
      <c r="CW267" s="251"/>
      <c r="CX267" s="134"/>
      <c r="CY267" s="234"/>
      <c r="CZ267" s="239"/>
      <c r="DA267" s="239"/>
      <c r="DB267" s="239"/>
      <c r="DC267" s="239"/>
      <c r="DD267" s="134"/>
      <c r="DE267" s="134"/>
      <c r="DF267" s="234"/>
      <c r="DG267" s="239"/>
      <c r="DH267" s="239"/>
      <c r="DI267" s="239"/>
      <c r="DJ267" s="239"/>
      <c r="DK267" s="251"/>
      <c r="DL267" s="134"/>
      <c r="DM267" s="234"/>
      <c r="DN267" s="239"/>
      <c r="DO267" s="239"/>
      <c r="DP267" s="239"/>
      <c r="DQ267" s="239"/>
      <c r="DR267" s="251"/>
      <c r="DS267" s="134"/>
      <c r="DT267" s="134"/>
      <c r="DU267" s="234"/>
      <c r="DV267" s="239"/>
      <c r="DW267" s="239"/>
      <c r="DX267" s="239"/>
      <c r="DY267" s="239"/>
      <c r="DZ267" s="251"/>
      <c r="EA267" s="134"/>
      <c r="EB267" s="134"/>
      <c r="EC267" s="234"/>
      <c r="ED267" s="239"/>
      <c r="EE267" s="239"/>
      <c r="EF267" s="239"/>
      <c r="EG267" s="239"/>
      <c r="EH267" s="251"/>
    </row>
    <row r="268" spans="15:138" ht="20.100000000000001" customHeight="1" x14ac:dyDescent="0.4">
      <c r="U268" s="239"/>
      <c r="V268" s="239"/>
      <c r="W268" s="239"/>
      <c r="X268" s="239"/>
      <c r="Y268" s="250"/>
      <c r="Z268" s="134"/>
      <c r="AA268" s="134"/>
      <c r="AB268" s="234"/>
      <c r="AC268" s="239"/>
      <c r="AD268" s="239"/>
      <c r="AE268" s="239"/>
      <c r="AF268" s="239"/>
      <c r="AG268" s="239"/>
      <c r="AH268" s="239"/>
      <c r="AI268" s="239"/>
      <c r="AJ268" s="239"/>
      <c r="AK268" s="239"/>
      <c r="AL268" s="239"/>
      <c r="AM268" s="239"/>
      <c r="AN268" s="239"/>
      <c r="AO268" s="239"/>
      <c r="AP268" s="239"/>
      <c r="AQ268" s="239"/>
      <c r="AR268" s="239"/>
      <c r="AS268" s="239"/>
      <c r="AT268" s="422" t="s">
        <v>184</v>
      </c>
      <c r="AU268" s="423"/>
      <c r="AV268" s="211"/>
      <c r="AW268" s="211">
        <v>0.60606060606060608</v>
      </c>
      <c r="AX268" s="230">
        <v>0.60606060606060608</v>
      </c>
      <c r="AY268" s="239"/>
      <c r="AZ268" s="239"/>
      <c r="BA268" s="239"/>
      <c r="BB268" s="239"/>
      <c r="BC268" s="239"/>
      <c r="BD268" s="239"/>
      <c r="BE268" s="239"/>
      <c r="BF268" s="239"/>
      <c r="BG268" s="239"/>
      <c r="BH268" s="239"/>
      <c r="BI268" s="239"/>
      <c r="BJ268" s="239"/>
      <c r="BK268" s="239"/>
      <c r="BL268" s="239"/>
      <c r="BM268" s="239"/>
      <c r="BN268" s="239"/>
      <c r="BO268" s="239"/>
      <c r="BP268" s="239"/>
      <c r="BQ268" s="239"/>
      <c r="BR268" s="239"/>
      <c r="BS268" s="239"/>
      <c r="BT268" s="239"/>
      <c r="BU268" s="239"/>
      <c r="BV268" s="239"/>
      <c r="BW268" s="250"/>
      <c r="BX268" s="422" t="s">
        <v>184</v>
      </c>
      <c r="BY268" s="423"/>
      <c r="BZ268" s="211"/>
      <c r="CA268" s="211">
        <v>0.36190476190476195</v>
      </c>
      <c r="CB268" s="230">
        <v>0.36190476190476195</v>
      </c>
      <c r="CC268" s="239"/>
      <c r="CD268" s="239"/>
      <c r="CE268" s="239"/>
      <c r="CF268" s="239"/>
      <c r="CG268" s="239"/>
      <c r="CH268" s="239"/>
      <c r="CI268" s="239"/>
      <c r="CJ268" s="239"/>
      <c r="CK268" s="239"/>
      <c r="CL268" s="251"/>
      <c r="CM268" s="134"/>
      <c r="CN268" s="251"/>
      <c r="CO268" s="134"/>
      <c r="CP268" s="134"/>
      <c r="CQ268" s="234"/>
      <c r="CR268" s="239"/>
      <c r="CS268" s="239"/>
      <c r="CT268" s="239"/>
      <c r="CU268" s="239"/>
      <c r="CV268" s="239"/>
      <c r="CW268" s="251"/>
      <c r="CX268" s="134"/>
      <c r="CY268" s="234"/>
      <c r="CZ268" s="239"/>
      <c r="DA268" s="239"/>
      <c r="DB268" s="239"/>
      <c r="DC268" s="239"/>
      <c r="DD268" s="134"/>
      <c r="DE268" s="134"/>
      <c r="DF268" s="234"/>
      <c r="DG268" s="239"/>
      <c r="DH268" s="239"/>
      <c r="DI268" s="239"/>
      <c r="DJ268" s="239"/>
      <c r="DK268" s="251"/>
      <c r="DL268" s="134"/>
      <c r="DM268" s="234"/>
      <c r="DN268" s="239"/>
      <c r="DO268" s="239"/>
      <c r="DP268" s="239"/>
      <c r="DQ268" s="239"/>
      <c r="DR268" s="251"/>
      <c r="DS268" s="134"/>
      <c r="DT268" s="134"/>
      <c r="DU268" s="234"/>
      <c r="DV268" s="239"/>
      <c r="DW268" s="239"/>
      <c r="DX268" s="239"/>
      <c r="DY268" s="239"/>
      <c r="DZ268" s="251"/>
      <c r="EA268" s="134"/>
      <c r="EB268" s="134"/>
      <c r="EC268" s="234"/>
      <c r="ED268" s="239"/>
      <c r="EE268" s="239"/>
      <c r="EF268" s="239"/>
      <c r="EG268" s="239"/>
      <c r="EH268" s="251"/>
    </row>
    <row r="269" spans="15:138" ht="20.100000000000001" customHeight="1" x14ac:dyDescent="0.4">
      <c r="U269" s="239"/>
      <c r="V269" s="239"/>
      <c r="W269" s="239"/>
      <c r="X269" s="239"/>
      <c r="Y269" s="239"/>
      <c r="Z269" s="250"/>
      <c r="AA269" s="134"/>
      <c r="AB269" s="134"/>
      <c r="AC269" s="234"/>
      <c r="AD269" s="239"/>
      <c r="AE269" s="239"/>
      <c r="AF269" s="239"/>
      <c r="AG269" s="239"/>
      <c r="AH269" s="239"/>
      <c r="AI269" s="239"/>
      <c r="AJ269" s="250"/>
      <c r="AK269" s="134"/>
      <c r="AL269" s="134"/>
      <c r="AM269" s="234"/>
      <c r="AN269" s="239"/>
      <c r="AO269" s="239"/>
      <c r="AP269" s="239"/>
      <c r="AQ269" s="239"/>
      <c r="AR269" s="239"/>
      <c r="AS269" s="239"/>
      <c r="AT269" s="424" t="s">
        <v>185</v>
      </c>
      <c r="AU269" s="425"/>
      <c r="AV269" s="211"/>
      <c r="AW269" s="212">
        <v>1.5212121212121206</v>
      </c>
      <c r="AX269" s="230">
        <v>1.5212121212121206</v>
      </c>
      <c r="AY269" s="239"/>
      <c r="AZ269" s="239"/>
      <c r="BA269" s="239"/>
      <c r="BB269" s="239"/>
      <c r="BC269" s="239"/>
      <c r="BD269" s="250"/>
      <c r="BE269" s="134"/>
      <c r="BF269" s="250"/>
      <c r="BG269" s="134"/>
      <c r="BH269" s="134"/>
      <c r="BI269" s="234"/>
      <c r="BJ269" s="239"/>
      <c r="BK269" s="239"/>
      <c r="BL269" s="239"/>
      <c r="BM269" s="239"/>
      <c r="BN269" s="250"/>
      <c r="BO269" s="134"/>
      <c r="BP269" s="134"/>
      <c r="BQ269" s="234"/>
      <c r="BR269" s="239"/>
      <c r="BS269" s="239"/>
      <c r="BT269" s="239"/>
      <c r="BU269" s="239"/>
      <c r="BV269" s="239"/>
      <c r="BW269" s="239"/>
      <c r="BX269" s="424" t="s">
        <v>185</v>
      </c>
      <c r="BY269" s="425"/>
      <c r="BZ269" s="211"/>
      <c r="CA269" s="212">
        <v>0.9650793650793652</v>
      </c>
      <c r="CB269" s="230">
        <v>0.9650793650793652</v>
      </c>
      <c r="CC269" s="239"/>
      <c r="CD269" s="239"/>
      <c r="CE269" s="239"/>
      <c r="CF269" s="239"/>
      <c r="CG269" s="239"/>
      <c r="CH269" s="250"/>
      <c r="CI269" s="239"/>
      <c r="CJ269" s="239"/>
      <c r="CK269" s="239"/>
      <c r="CL269" s="250"/>
      <c r="CM269" s="138"/>
      <c r="CN269" s="250"/>
      <c r="CO269" s="138"/>
      <c r="CP269" s="138"/>
      <c r="CQ269" s="234"/>
      <c r="CR269" s="239"/>
      <c r="CS269" s="239"/>
      <c r="CT269" s="239"/>
      <c r="CU269" s="239"/>
      <c r="CV269" s="239"/>
      <c r="CW269" s="250"/>
      <c r="CX269" s="138"/>
      <c r="CY269" s="234"/>
      <c r="CZ269" s="239"/>
      <c r="DA269" s="239"/>
      <c r="DB269" s="239"/>
      <c r="DC269" s="239"/>
      <c r="DD269" s="138"/>
      <c r="DE269" s="138"/>
      <c r="DF269" s="234"/>
      <c r="DG269" s="239"/>
      <c r="DH269" s="239"/>
      <c r="DI269" s="239"/>
      <c r="DJ269" s="239"/>
      <c r="DK269" s="250"/>
      <c r="DL269" s="138"/>
      <c r="DM269" s="234"/>
      <c r="DN269" s="239"/>
      <c r="DO269" s="239"/>
      <c r="DP269" s="239"/>
      <c r="DQ269" s="239"/>
      <c r="DR269" s="250"/>
      <c r="DS269" s="138"/>
      <c r="DT269" s="138"/>
      <c r="DU269" s="234"/>
      <c r="DV269" s="239"/>
      <c r="DW269" s="239"/>
      <c r="DX269" s="239"/>
      <c r="DY269" s="239"/>
      <c r="DZ269" s="250"/>
      <c r="EA269" s="138"/>
      <c r="EB269" s="138"/>
      <c r="EC269" s="234"/>
      <c r="ED269" s="239"/>
      <c r="EE269" s="239"/>
      <c r="EF269" s="239"/>
      <c r="EG269" s="239"/>
      <c r="EH269" s="250"/>
    </row>
    <row r="270" spans="15:138" ht="20.100000000000001" customHeight="1" x14ac:dyDescent="0.4">
      <c r="U270" s="239"/>
      <c r="V270" s="239"/>
      <c r="W270" s="239"/>
      <c r="X270" s="239"/>
      <c r="Y270" s="239"/>
      <c r="Z270" s="251"/>
      <c r="AA270" s="134"/>
      <c r="AB270" s="134"/>
      <c r="AC270" s="234"/>
      <c r="AD270" s="239"/>
      <c r="AE270" s="239"/>
      <c r="AF270" s="239"/>
      <c r="AG270" s="239"/>
      <c r="AH270" s="239"/>
      <c r="AI270" s="239"/>
      <c r="AJ270" s="251"/>
      <c r="AK270" s="134"/>
      <c r="AL270" s="134"/>
      <c r="AM270" s="234"/>
      <c r="AN270" s="239"/>
      <c r="AO270" s="239"/>
      <c r="AP270" s="239"/>
      <c r="AQ270" s="239"/>
      <c r="AR270" s="239"/>
      <c r="AS270" s="239"/>
      <c r="AT270" s="424" t="s">
        <v>186</v>
      </c>
      <c r="AU270" s="425"/>
      <c r="AV270" s="211"/>
      <c r="AW270" s="212">
        <v>0.13333333333333333</v>
      </c>
      <c r="AX270" s="230">
        <v>0.13333333333333333</v>
      </c>
      <c r="AY270" s="239"/>
      <c r="AZ270" s="239"/>
      <c r="BA270" s="239"/>
      <c r="BB270" s="239"/>
      <c r="BC270" s="239"/>
      <c r="BD270" s="251"/>
      <c r="BE270" s="134"/>
      <c r="BF270" s="251"/>
      <c r="BG270" s="134"/>
      <c r="BH270" s="134"/>
      <c r="BI270" s="234"/>
      <c r="BJ270" s="239"/>
      <c r="BK270" s="239"/>
      <c r="BL270" s="239"/>
      <c r="BM270" s="239"/>
      <c r="BN270" s="251"/>
      <c r="BO270" s="134"/>
      <c r="BP270" s="134"/>
      <c r="BQ270" s="234"/>
      <c r="BR270" s="239"/>
      <c r="BS270" s="239"/>
      <c r="BT270" s="239"/>
      <c r="BU270" s="239"/>
      <c r="BV270" s="239"/>
      <c r="BW270" s="239"/>
      <c r="BX270" s="424" t="s">
        <v>186</v>
      </c>
      <c r="BY270" s="425"/>
      <c r="BZ270" s="211"/>
      <c r="CA270" s="212">
        <v>6.3492063492063516E-2</v>
      </c>
      <c r="CB270" s="230">
        <v>6.3492063492063516E-2</v>
      </c>
      <c r="CC270" s="239"/>
      <c r="CD270" s="239"/>
      <c r="CE270" s="239"/>
      <c r="CF270" s="239"/>
      <c r="CG270" s="239"/>
      <c r="CH270" s="251"/>
      <c r="CI270" s="239"/>
      <c r="CJ270" s="239"/>
      <c r="CK270" s="239"/>
      <c r="CL270" s="250"/>
      <c r="CM270" s="134"/>
      <c r="CN270" s="250"/>
      <c r="CO270" s="134"/>
      <c r="CP270" s="134"/>
      <c r="CQ270" s="234"/>
      <c r="CR270" s="239"/>
      <c r="CS270" s="239"/>
      <c r="CT270" s="239"/>
      <c r="CU270" s="239"/>
      <c r="CV270" s="239"/>
      <c r="CW270" s="250"/>
      <c r="CX270" s="134"/>
      <c r="CY270" s="234"/>
      <c r="CZ270" s="239"/>
      <c r="DA270" s="239"/>
      <c r="DB270" s="239"/>
      <c r="DC270" s="239"/>
      <c r="DD270" s="134"/>
      <c r="DE270" s="134"/>
      <c r="DF270" s="234"/>
      <c r="DG270" s="239"/>
      <c r="DH270" s="239"/>
      <c r="DI270" s="239"/>
      <c r="DJ270" s="239"/>
      <c r="DK270" s="250"/>
      <c r="DL270" s="134"/>
      <c r="DM270" s="234"/>
      <c r="DN270" s="239"/>
      <c r="DO270" s="239"/>
      <c r="DP270" s="239"/>
      <c r="DQ270" s="239"/>
      <c r="DR270" s="250"/>
      <c r="DS270" s="134"/>
      <c r="DT270" s="134"/>
      <c r="DU270" s="234"/>
      <c r="DV270" s="239"/>
      <c r="DW270" s="239"/>
      <c r="DX270" s="239"/>
      <c r="DY270" s="239"/>
      <c r="DZ270" s="250"/>
      <c r="EA270" s="134"/>
      <c r="EB270" s="134"/>
      <c r="EC270" s="234"/>
      <c r="ED270" s="239"/>
      <c r="EE270" s="239"/>
      <c r="EF270" s="239"/>
      <c r="EG270" s="239"/>
      <c r="EH270" s="250"/>
    </row>
    <row r="271" spans="15:138" ht="20.100000000000001" customHeight="1" x14ac:dyDescent="0.4">
      <c r="U271" s="239"/>
      <c r="V271" s="239"/>
      <c r="W271" s="239"/>
      <c r="X271" s="239"/>
      <c r="Y271" s="239"/>
      <c r="Z271" s="251"/>
      <c r="AA271" s="134"/>
      <c r="AB271" s="134"/>
      <c r="AC271" s="234"/>
      <c r="AD271" s="239"/>
      <c r="AE271" s="239"/>
      <c r="AF271" s="239"/>
      <c r="AG271" s="239"/>
      <c r="AH271" s="239"/>
      <c r="AI271" s="239"/>
      <c r="AJ271" s="251"/>
      <c r="AK271" s="134"/>
      <c r="AL271" s="134"/>
      <c r="AM271" s="234"/>
      <c r="AN271" s="239"/>
      <c r="AO271" s="239"/>
      <c r="AP271" s="239"/>
      <c r="AQ271" s="239"/>
      <c r="AR271" s="239"/>
      <c r="AS271" s="239"/>
      <c r="AT271" s="422" t="s">
        <v>187</v>
      </c>
      <c r="AU271" s="423"/>
      <c r="AV271" s="211"/>
      <c r="AW271" s="213">
        <v>1.2727272727272723</v>
      </c>
      <c r="AX271" s="230">
        <v>1.2727272727272723</v>
      </c>
      <c r="AY271" s="239"/>
      <c r="AZ271" s="239"/>
      <c r="BA271" s="239"/>
      <c r="BB271" s="239"/>
      <c r="BC271" s="239"/>
      <c r="BD271" s="251"/>
      <c r="BE271" s="134"/>
      <c r="BF271" s="251"/>
      <c r="BG271" s="134"/>
      <c r="BH271" s="134"/>
      <c r="BI271" s="234"/>
      <c r="BJ271" s="239"/>
      <c r="BK271" s="239"/>
      <c r="BL271" s="239"/>
      <c r="BM271" s="239"/>
      <c r="BN271" s="251"/>
      <c r="BO271" s="134"/>
      <c r="BP271" s="134"/>
      <c r="BQ271" s="234"/>
      <c r="BR271" s="239"/>
      <c r="BS271" s="239"/>
      <c r="BT271" s="239"/>
      <c r="BU271" s="239"/>
      <c r="BV271" s="239"/>
      <c r="BW271" s="239"/>
      <c r="BX271" s="422" t="s">
        <v>187</v>
      </c>
      <c r="BY271" s="423"/>
      <c r="BZ271" s="211"/>
      <c r="CA271" s="213">
        <v>0</v>
      </c>
      <c r="CB271" s="230">
        <v>0</v>
      </c>
      <c r="CC271" s="239"/>
      <c r="CD271" s="239"/>
      <c r="CE271" s="239"/>
      <c r="CF271" s="239"/>
      <c r="CG271" s="239"/>
      <c r="CH271" s="251"/>
      <c r="CI271" s="239"/>
      <c r="CJ271" s="239"/>
      <c r="CK271" s="239"/>
      <c r="CL271" s="250"/>
      <c r="CM271" s="134"/>
      <c r="CN271" s="250"/>
      <c r="CO271" s="134"/>
      <c r="CP271" s="134"/>
      <c r="CQ271" s="234"/>
      <c r="CR271" s="239"/>
      <c r="CS271" s="239"/>
      <c r="CT271" s="239"/>
      <c r="CU271" s="239"/>
      <c r="CV271" s="239"/>
      <c r="CW271" s="250"/>
      <c r="CX271" s="134"/>
      <c r="CY271" s="234"/>
      <c r="CZ271" s="239"/>
      <c r="DA271" s="239"/>
      <c r="DB271" s="239"/>
      <c r="DC271" s="239"/>
      <c r="DD271" s="134"/>
      <c r="DE271" s="134"/>
      <c r="DF271" s="234"/>
      <c r="DG271" s="239"/>
      <c r="DH271" s="239"/>
      <c r="DI271" s="239"/>
      <c r="DJ271" s="239"/>
      <c r="DK271" s="250"/>
      <c r="DL271" s="134"/>
      <c r="DM271" s="234"/>
      <c r="DN271" s="239"/>
      <c r="DO271" s="239"/>
      <c r="DP271" s="239"/>
      <c r="DQ271" s="239"/>
      <c r="DR271" s="250"/>
      <c r="DS271" s="134"/>
      <c r="DT271" s="134"/>
      <c r="DU271" s="234"/>
      <c r="DV271" s="239"/>
      <c r="DW271" s="239"/>
      <c r="DX271" s="239"/>
      <c r="DY271" s="239"/>
      <c r="DZ271" s="250"/>
      <c r="EA271" s="134"/>
      <c r="EB271" s="134"/>
      <c r="EC271" s="234"/>
      <c r="ED271" s="239"/>
      <c r="EE271" s="239"/>
      <c r="EF271" s="239"/>
      <c r="EG271" s="239"/>
      <c r="EH271" s="250"/>
    </row>
    <row r="272" spans="15:138" ht="20.100000000000001" customHeight="1" x14ac:dyDescent="0.4">
      <c r="U272" s="239"/>
      <c r="V272" s="239"/>
      <c r="W272" s="239"/>
      <c r="X272" s="239"/>
      <c r="Y272" s="239"/>
      <c r="Z272" s="250"/>
      <c r="AA272" s="138"/>
      <c r="AB272" s="138"/>
      <c r="AC272" s="234"/>
      <c r="AD272" s="239"/>
      <c r="AE272" s="239"/>
      <c r="AF272" s="239"/>
      <c r="AG272" s="239"/>
      <c r="AH272" s="239"/>
      <c r="AI272" s="239"/>
      <c r="AJ272" s="250"/>
      <c r="AK272" s="138"/>
      <c r="AL272" s="138"/>
      <c r="AM272" s="234"/>
      <c r="AN272" s="239"/>
      <c r="AO272" s="239"/>
      <c r="AP272" s="239"/>
      <c r="AQ272" s="239"/>
      <c r="AR272" s="239"/>
      <c r="AS272" s="239"/>
      <c r="AT272" s="422" t="s">
        <v>188</v>
      </c>
      <c r="AU272" s="423"/>
      <c r="AV272" s="211"/>
      <c r="AW272" s="212">
        <v>0.1727272727272727</v>
      </c>
      <c r="AX272" s="230">
        <v>0.1727272727272727</v>
      </c>
      <c r="AY272" s="239"/>
      <c r="AZ272" s="239"/>
      <c r="BA272" s="239"/>
      <c r="BB272" s="239"/>
      <c r="BC272" s="239"/>
      <c r="BD272" s="250"/>
      <c r="BE272" s="138"/>
      <c r="BF272" s="250"/>
      <c r="BG272" s="138"/>
      <c r="BH272" s="138"/>
      <c r="BI272" s="234"/>
      <c r="BJ272" s="239"/>
      <c r="BK272" s="239"/>
      <c r="BL272" s="239"/>
      <c r="BM272" s="239"/>
      <c r="BN272" s="250"/>
      <c r="BO272" s="138"/>
      <c r="BP272" s="138"/>
      <c r="BQ272" s="234"/>
      <c r="BR272" s="239"/>
      <c r="BS272" s="239"/>
      <c r="BT272" s="239"/>
      <c r="BU272" s="239"/>
      <c r="BV272" s="239"/>
      <c r="BW272" s="239"/>
      <c r="BX272" s="422" t="s">
        <v>188</v>
      </c>
      <c r="BY272" s="423"/>
      <c r="BZ272" s="211"/>
      <c r="CA272" s="212">
        <v>4.7619047619047616E-2</v>
      </c>
      <c r="CB272" s="230">
        <v>4.7619047619047616E-2</v>
      </c>
      <c r="CC272" s="239"/>
      <c r="CD272" s="239"/>
      <c r="CE272" s="239"/>
      <c r="CF272" s="239"/>
      <c r="CG272" s="239"/>
      <c r="CH272" s="250"/>
      <c r="CI272" s="239"/>
      <c r="CJ272" s="239"/>
      <c r="CK272" s="239"/>
      <c r="CL272" s="250"/>
      <c r="CM272" s="138"/>
      <c r="CN272" s="250"/>
      <c r="CO272" s="138"/>
      <c r="CP272" s="138"/>
      <c r="CQ272" s="234"/>
      <c r="CR272" s="239"/>
      <c r="CS272" s="239"/>
      <c r="CT272" s="239"/>
      <c r="CU272" s="239"/>
      <c r="CV272" s="239"/>
      <c r="CW272" s="250"/>
      <c r="CX272" s="138"/>
      <c r="CY272" s="234"/>
      <c r="CZ272" s="239"/>
      <c r="DA272" s="239"/>
      <c r="DB272" s="239"/>
      <c r="DC272" s="239"/>
      <c r="DD272" s="138"/>
      <c r="DE272" s="138"/>
      <c r="DF272" s="234"/>
      <c r="DG272" s="239"/>
      <c r="DH272" s="239"/>
      <c r="DI272" s="239"/>
      <c r="DJ272" s="239"/>
      <c r="DK272" s="250"/>
      <c r="DL272" s="138"/>
      <c r="DM272" s="234"/>
      <c r="DN272" s="239"/>
      <c r="DO272" s="239"/>
      <c r="DP272" s="239"/>
      <c r="DQ272" s="239"/>
      <c r="DR272" s="250"/>
      <c r="DS272" s="138"/>
      <c r="DT272" s="138"/>
      <c r="DU272" s="234"/>
      <c r="DV272" s="239"/>
      <c r="DW272" s="239"/>
      <c r="DX272" s="239"/>
      <c r="DY272" s="239"/>
      <c r="DZ272" s="250"/>
      <c r="EA272" s="138"/>
      <c r="EB272" s="138"/>
      <c r="EC272" s="234"/>
      <c r="ED272" s="239"/>
      <c r="EE272" s="239"/>
      <c r="EF272" s="239"/>
      <c r="EG272" s="239"/>
      <c r="EH272" s="250"/>
    </row>
    <row r="273" spans="22:138" ht="20.100000000000001" customHeight="1" x14ac:dyDescent="0.4">
      <c r="V273" s="239"/>
      <c r="W273" s="239"/>
      <c r="X273" s="239"/>
      <c r="Y273" s="239"/>
      <c r="Z273" s="250"/>
      <c r="AA273" s="134"/>
      <c r="AB273" s="134"/>
      <c r="AC273" s="234"/>
      <c r="AD273" s="239"/>
      <c r="AE273" s="239"/>
      <c r="AF273" s="239"/>
      <c r="AG273" s="239"/>
      <c r="AH273" s="239"/>
      <c r="AI273" s="239"/>
      <c r="AJ273" s="250"/>
      <c r="AK273" s="134"/>
      <c r="AL273" s="134"/>
      <c r="AM273" s="234"/>
      <c r="AN273" s="239"/>
      <c r="AO273" s="239"/>
      <c r="AP273" s="239"/>
      <c r="AQ273" s="239"/>
      <c r="AR273" s="239"/>
      <c r="AS273" s="239"/>
      <c r="AT273" s="422" t="s">
        <v>189</v>
      </c>
      <c r="AU273" s="423"/>
      <c r="AV273" s="211"/>
      <c r="AW273" s="212">
        <v>3.1575757575757564</v>
      </c>
      <c r="AX273" s="230">
        <v>3.1575757575757564</v>
      </c>
      <c r="AY273" s="239"/>
      <c r="AZ273" s="239"/>
      <c r="BA273" s="239"/>
      <c r="BB273" s="239"/>
      <c r="BC273" s="239"/>
      <c r="BD273" s="250"/>
      <c r="BE273" s="134"/>
      <c r="BF273" s="250"/>
      <c r="BG273" s="134"/>
      <c r="BH273" s="134"/>
      <c r="BI273" s="234"/>
      <c r="BJ273" s="239"/>
      <c r="BK273" s="239"/>
      <c r="BL273" s="239"/>
      <c r="BM273" s="239"/>
      <c r="BN273" s="250"/>
      <c r="BO273" s="134"/>
      <c r="BP273" s="134"/>
      <c r="BQ273" s="234"/>
      <c r="BR273" s="239"/>
      <c r="BS273" s="239"/>
      <c r="BT273" s="239"/>
      <c r="BU273" s="239"/>
      <c r="BV273" s="239"/>
      <c r="BW273" s="239"/>
      <c r="BX273" s="422" t="s">
        <v>189</v>
      </c>
      <c r="BY273" s="423"/>
      <c r="BZ273" s="211"/>
      <c r="CA273" s="212">
        <v>0.9650793650793652</v>
      </c>
      <c r="CB273" s="230">
        <v>0.9650793650793652</v>
      </c>
      <c r="CC273" s="239"/>
      <c r="CD273" s="239"/>
      <c r="CE273" s="239"/>
      <c r="CF273" s="239"/>
      <c r="CG273" s="239"/>
      <c r="CH273" s="250"/>
      <c r="CI273" s="239"/>
      <c r="CJ273" s="239"/>
      <c r="CK273" s="239"/>
      <c r="CL273" s="239"/>
      <c r="CM273" s="239"/>
      <c r="CN273" s="239"/>
      <c r="CO273" s="239"/>
      <c r="CP273" s="239"/>
      <c r="CQ273" s="239"/>
      <c r="CR273" s="239"/>
      <c r="CS273" s="239"/>
      <c r="CT273" s="239"/>
      <c r="CU273" s="239"/>
      <c r="CV273" s="239"/>
      <c r="CW273" s="239"/>
      <c r="CX273" s="239"/>
      <c r="CY273" s="239"/>
      <c r="CZ273" s="239"/>
      <c r="DA273" s="239"/>
      <c r="DB273" s="239"/>
      <c r="DC273" s="239"/>
      <c r="DD273" s="239"/>
      <c r="DE273" s="239"/>
      <c r="DF273" s="239"/>
      <c r="DG273" s="239"/>
      <c r="DH273" s="239"/>
      <c r="DI273" s="239"/>
      <c r="DJ273" s="239"/>
      <c r="DK273" s="239"/>
      <c r="DL273" s="239"/>
      <c r="DM273" s="239"/>
      <c r="DN273" s="239"/>
      <c r="DO273" s="239"/>
      <c r="DP273" s="239"/>
      <c r="DQ273" s="239"/>
      <c r="DR273" s="239"/>
      <c r="DS273" s="239"/>
      <c r="DT273" s="239"/>
      <c r="DU273" s="239"/>
      <c r="DV273" s="239"/>
      <c r="DW273" s="239"/>
      <c r="DX273" s="239"/>
      <c r="DY273" s="239"/>
      <c r="DZ273" s="239"/>
      <c r="EA273" s="239"/>
      <c r="EB273" s="239"/>
      <c r="EC273" s="239"/>
      <c r="ED273" s="239"/>
      <c r="EE273" s="239"/>
      <c r="EF273" s="239"/>
      <c r="EG273" s="239"/>
      <c r="EH273" s="239"/>
    </row>
    <row r="274" spans="22:138" ht="20.100000000000001" customHeight="1" x14ac:dyDescent="0.4">
      <c r="V274" s="239"/>
      <c r="W274" s="239"/>
      <c r="X274" s="239"/>
      <c r="Y274" s="239"/>
      <c r="Z274" s="250"/>
      <c r="AA274" s="134"/>
      <c r="AB274" s="134"/>
      <c r="AC274" s="234"/>
      <c r="AD274" s="239"/>
      <c r="AE274" s="239"/>
      <c r="AF274" s="239"/>
      <c r="AG274" s="239"/>
      <c r="AH274" s="239"/>
      <c r="AI274" s="239"/>
      <c r="AJ274" s="250"/>
      <c r="AK274" s="134"/>
      <c r="AL274" s="134"/>
      <c r="AM274" s="234"/>
      <c r="AN274" s="239"/>
      <c r="AO274" s="239"/>
      <c r="AP274" s="239"/>
      <c r="AQ274" s="239"/>
      <c r="AR274" s="239"/>
      <c r="AS274" s="239"/>
      <c r="AT274" s="422" t="s">
        <v>190</v>
      </c>
      <c r="AU274" s="423"/>
      <c r="AV274" s="211"/>
      <c r="AW274" s="214">
        <v>0.91212121212121211</v>
      </c>
      <c r="AX274" s="230">
        <v>0.91212121212121211</v>
      </c>
      <c r="AY274" s="134"/>
      <c r="AZ274" s="134"/>
      <c r="BA274" s="134"/>
      <c r="BB274" s="134"/>
      <c r="BC274" s="234"/>
      <c r="BD274" s="239"/>
      <c r="BE274" s="239"/>
      <c r="BF274" s="239"/>
      <c r="BG274" s="239"/>
      <c r="BH274" s="239"/>
      <c r="BI274" s="239"/>
      <c r="BJ274" s="239"/>
      <c r="BK274" s="250"/>
      <c r="BL274" s="134"/>
      <c r="BM274" s="134"/>
      <c r="BN274" s="234"/>
      <c r="BO274" s="239"/>
      <c r="BP274" s="239"/>
      <c r="BQ274" s="239"/>
      <c r="BR274" s="239"/>
      <c r="BS274" s="250"/>
      <c r="BT274" s="250"/>
      <c r="BU274" s="250"/>
      <c r="BV274" s="134"/>
      <c r="BW274" s="134"/>
      <c r="BX274" s="422" t="s">
        <v>190</v>
      </c>
      <c r="BY274" s="423"/>
      <c r="BZ274" s="211"/>
      <c r="CA274" s="214">
        <v>0.47301587301587306</v>
      </c>
      <c r="CB274" s="230">
        <v>0.47301587301587306</v>
      </c>
      <c r="CC274" s="250"/>
      <c r="CD274" s="250"/>
      <c r="CE274" s="250"/>
      <c r="CF274" s="134"/>
      <c r="CG274" s="134"/>
      <c r="CH274" s="234"/>
      <c r="CI274" s="239"/>
      <c r="CJ274" s="239"/>
      <c r="CK274" s="239"/>
      <c r="CL274" s="246"/>
      <c r="CM274" s="247"/>
      <c r="CN274" s="246"/>
      <c r="CO274" s="247"/>
      <c r="CP274" s="248"/>
      <c r="CQ274" s="249"/>
      <c r="CR274" s="239"/>
      <c r="CS274" s="239"/>
      <c r="CT274" s="239"/>
      <c r="CU274" s="239"/>
      <c r="CV274" s="239"/>
      <c r="CW274" s="239"/>
      <c r="CX274" s="239"/>
      <c r="CY274" s="239"/>
      <c r="CZ274" s="239"/>
      <c r="DA274" s="239"/>
      <c r="DB274" s="239"/>
      <c r="DC274" s="239"/>
      <c r="DD274" s="239"/>
      <c r="DE274" s="239"/>
      <c r="DF274" s="239"/>
      <c r="DG274" s="239"/>
      <c r="DH274" s="239"/>
      <c r="DI274" s="239"/>
      <c r="DJ274" s="239"/>
      <c r="DK274" s="239"/>
      <c r="DL274" s="239"/>
      <c r="DM274" s="239"/>
      <c r="DN274" s="239"/>
      <c r="DO274" s="239"/>
      <c r="DP274" s="239"/>
      <c r="DQ274" s="239"/>
      <c r="DR274" s="239"/>
      <c r="DS274" s="239"/>
      <c r="DT274" s="239"/>
      <c r="DU274" s="239"/>
      <c r="DV274" s="239"/>
      <c r="DW274" s="239"/>
      <c r="DX274" s="239"/>
      <c r="DY274" s="239"/>
      <c r="DZ274" s="246"/>
      <c r="EA274" s="247"/>
      <c r="EB274" s="248"/>
      <c r="EC274" s="249"/>
      <c r="ED274" s="239"/>
      <c r="EE274" s="239"/>
      <c r="EF274" s="239"/>
      <c r="EG274" s="239"/>
      <c r="EH274" s="239"/>
    </row>
    <row r="275" spans="22:138" ht="20.100000000000001" customHeight="1" x14ac:dyDescent="0.4">
      <c r="V275" s="239"/>
      <c r="W275" s="239"/>
      <c r="X275" s="239"/>
      <c r="Y275" s="239"/>
      <c r="Z275" s="250"/>
      <c r="AA275" s="138"/>
      <c r="AB275" s="138"/>
      <c r="AC275" s="234"/>
      <c r="AD275" s="239"/>
      <c r="AE275" s="239"/>
      <c r="AF275" s="239"/>
      <c r="AG275" s="239"/>
      <c r="AH275" s="239"/>
      <c r="AI275" s="239"/>
      <c r="AJ275" s="250"/>
      <c r="AK275" s="138"/>
      <c r="AL275" s="138"/>
      <c r="AM275" s="234"/>
      <c r="AN275" s="239"/>
      <c r="AO275" s="239"/>
      <c r="AP275" s="239"/>
      <c r="AQ275" s="239"/>
      <c r="AR275" s="239"/>
      <c r="AS275" s="239"/>
      <c r="AT275" s="250"/>
      <c r="AU275" s="239"/>
      <c r="AV275" s="239"/>
      <c r="AW275" s="239"/>
      <c r="AX275" s="251"/>
      <c r="AY275" s="134"/>
      <c r="AZ275" s="134"/>
      <c r="BA275" s="134"/>
      <c r="BB275" s="134"/>
      <c r="BC275" s="234"/>
      <c r="BD275" s="239"/>
      <c r="BE275" s="239"/>
      <c r="BF275" s="239"/>
      <c r="BG275" s="239"/>
      <c r="BH275" s="239"/>
      <c r="BI275" s="239"/>
      <c r="BJ275" s="239"/>
      <c r="BK275" s="251"/>
      <c r="BL275" s="134"/>
      <c r="BM275" s="134"/>
      <c r="BN275" s="234"/>
      <c r="BO275" s="239"/>
      <c r="BP275" s="239"/>
      <c r="BQ275" s="239"/>
      <c r="BR275" s="239"/>
      <c r="BS275" s="251"/>
      <c r="BT275" s="251"/>
      <c r="BU275" s="251"/>
      <c r="BV275" s="134"/>
      <c r="BW275" s="134"/>
      <c r="BX275" s="234"/>
      <c r="BY275" s="239"/>
      <c r="BZ275" s="239"/>
      <c r="CA275" s="239"/>
      <c r="CB275" s="239"/>
      <c r="CC275" s="251"/>
      <c r="CD275" s="251"/>
      <c r="CE275" s="251"/>
      <c r="CF275" s="134"/>
      <c r="CG275" s="134"/>
      <c r="CH275" s="234"/>
      <c r="CI275" s="239"/>
      <c r="CJ275" s="239"/>
      <c r="CK275" s="239"/>
      <c r="CL275" s="250"/>
      <c r="CM275" s="134"/>
      <c r="CN275" s="250"/>
      <c r="CO275" s="134"/>
      <c r="CP275" s="134"/>
      <c r="CQ275" s="234"/>
      <c r="CR275" s="239"/>
      <c r="CS275" s="239"/>
      <c r="CT275" s="239"/>
      <c r="CU275" s="239"/>
      <c r="CV275" s="239"/>
      <c r="CW275" s="239"/>
      <c r="CX275" s="239"/>
      <c r="CY275" s="239"/>
      <c r="CZ275" s="239"/>
      <c r="DA275" s="239"/>
      <c r="DB275" s="239"/>
      <c r="DC275" s="239"/>
      <c r="DD275" s="239"/>
      <c r="DE275" s="239"/>
      <c r="DF275" s="239"/>
      <c r="DG275" s="239"/>
      <c r="DH275" s="239"/>
      <c r="DI275" s="239"/>
      <c r="DJ275" s="239"/>
      <c r="DK275" s="239"/>
      <c r="DL275" s="239"/>
      <c r="DM275" s="239"/>
      <c r="DN275" s="239"/>
      <c r="DO275" s="239"/>
      <c r="DP275" s="239"/>
      <c r="DQ275" s="239"/>
      <c r="DR275" s="239"/>
      <c r="DS275" s="239"/>
      <c r="DT275" s="239"/>
      <c r="DU275" s="239"/>
      <c r="DV275" s="239"/>
      <c r="DW275" s="239"/>
      <c r="DX275" s="239"/>
      <c r="DY275" s="239"/>
      <c r="DZ275" s="250"/>
      <c r="EA275" s="134"/>
      <c r="EB275" s="134"/>
      <c r="EC275" s="234"/>
      <c r="ED275" s="239"/>
      <c r="EE275" s="239"/>
      <c r="EF275" s="239"/>
      <c r="EG275" s="239"/>
      <c r="EH275" s="239"/>
    </row>
    <row r="276" spans="22:138" ht="20.100000000000001" customHeight="1" x14ac:dyDescent="0.4">
      <c r="V276" s="239"/>
      <c r="W276" s="239"/>
      <c r="X276" s="239"/>
      <c r="Y276" s="239"/>
      <c r="Z276" s="239"/>
      <c r="AA276" s="239"/>
      <c r="AB276" s="239"/>
      <c r="AC276" s="239"/>
      <c r="AD276" s="239"/>
      <c r="AE276" s="239"/>
      <c r="AF276" s="239"/>
      <c r="AG276" s="239"/>
      <c r="AH276" s="239"/>
      <c r="AI276" s="239"/>
      <c r="AJ276" s="239"/>
      <c r="AK276" s="239"/>
      <c r="AL276" s="239"/>
      <c r="AM276" s="239"/>
      <c r="AN276" s="239"/>
      <c r="AO276" s="239"/>
      <c r="AP276" s="239"/>
      <c r="AQ276" s="239"/>
      <c r="AR276" s="239"/>
      <c r="AS276" s="239"/>
      <c r="AT276" s="239"/>
      <c r="AU276" s="239"/>
      <c r="AV276" s="239"/>
      <c r="AW276" s="239"/>
      <c r="AX276" s="251"/>
      <c r="AY276" s="134"/>
      <c r="AZ276" s="134"/>
      <c r="BA276" s="134"/>
      <c r="BB276" s="134"/>
      <c r="BC276" s="234"/>
      <c r="BD276" s="239"/>
      <c r="BE276" s="239"/>
      <c r="BF276" s="239"/>
      <c r="BG276" s="239"/>
      <c r="BH276" s="239"/>
      <c r="BI276" s="239"/>
      <c r="BJ276" s="239"/>
      <c r="BK276" s="251"/>
      <c r="BL276" s="134"/>
      <c r="BM276" s="134"/>
      <c r="BN276" s="234"/>
      <c r="BO276" s="239"/>
      <c r="BP276" s="239"/>
      <c r="BQ276" s="239"/>
      <c r="BR276" s="239"/>
      <c r="BS276" s="251"/>
      <c r="BT276" s="251"/>
      <c r="BU276" s="251"/>
      <c r="BV276" s="134"/>
      <c r="BW276" s="134"/>
      <c r="BX276" s="234"/>
      <c r="BY276" s="239"/>
      <c r="BZ276" s="239"/>
      <c r="CA276" s="239"/>
      <c r="CB276" s="239"/>
      <c r="CC276" s="251"/>
      <c r="CD276" s="251"/>
      <c r="CE276" s="251"/>
      <c r="CF276" s="134"/>
      <c r="CG276" s="134"/>
      <c r="CH276" s="234"/>
      <c r="CI276" s="239"/>
      <c r="CJ276" s="239"/>
      <c r="CK276" s="239"/>
      <c r="CL276" s="250"/>
      <c r="CM276" s="134"/>
      <c r="CN276" s="250"/>
      <c r="CO276" s="134"/>
      <c r="CP276" s="134"/>
      <c r="CQ276" s="234"/>
      <c r="CR276" s="239"/>
      <c r="CS276" s="239"/>
      <c r="CT276" s="239"/>
      <c r="CU276" s="239"/>
      <c r="CV276" s="239"/>
      <c r="CW276" s="239"/>
      <c r="CX276" s="239"/>
      <c r="CY276" s="239"/>
      <c r="CZ276" s="239"/>
      <c r="DA276" s="239"/>
      <c r="DB276" s="239"/>
      <c r="DC276" s="239"/>
      <c r="DD276" s="239"/>
      <c r="DE276" s="239"/>
      <c r="DF276" s="239"/>
      <c r="DG276" s="239"/>
      <c r="DH276" s="239"/>
      <c r="DI276" s="239"/>
      <c r="DJ276" s="239"/>
      <c r="DK276" s="239"/>
      <c r="DL276" s="239"/>
      <c r="DM276" s="239"/>
      <c r="DN276" s="239"/>
      <c r="DO276" s="239"/>
      <c r="DP276" s="239"/>
      <c r="DQ276" s="239"/>
      <c r="DR276" s="239"/>
      <c r="DS276" s="239"/>
      <c r="DT276" s="239"/>
      <c r="DU276" s="239"/>
      <c r="DV276" s="239"/>
      <c r="DW276" s="239"/>
      <c r="DX276" s="239"/>
      <c r="DY276" s="239"/>
      <c r="DZ276" s="250"/>
      <c r="EA276" s="134"/>
      <c r="EB276" s="134"/>
      <c r="EC276" s="234"/>
      <c r="ED276" s="239"/>
      <c r="EE276" s="239"/>
      <c r="EF276" s="239"/>
      <c r="EG276" s="239"/>
      <c r="EH276" s="239"/>
    </row>
    <row r="277" spans="22:138" ht="20.100000000000001" customHeight="1" x14ac:dyDescent="0.4">
      <c r="V277" s="239"/>
      <c r="W277" s="239"/>
      <c r="X277" s="239"/>
      <c r="Y277" s="239"/>
      <c r="Z277" s="246"/>
      <c r="AA277" s="247"/>
      <c r="AB277" s="248"/>
      <c r="AC277" s="249"/>
      <c r="AD277" s="239"/>
      <c r="AE277" s="239"/>
      <c r="AF277" s="239"/>
      <c r="AG277" s="239"/>
      <c r="AH277" s="239"/>
      <c r="AI277" s="239"/>
      <c r="AJ277" s="239"/>
      <c r="AK277" s="239"/>
      <c r="AL277" s="239"/>
      <c r="AM277" s="239"/>
      <c r="AN277" s="239"/>
      <c r="AO277" s="239"/>
      <c r="AP277" s="239"/>
      <c r="AQ277" s="239"/>
      <c r="AR277" s="239"/>
      <c r="AS277" s="239"/>
      <c r="AT277" s="239"/>
      <c r="AU277" s="239"/>
      <c r="AV277" s="239"/>
      <c r="AW277" s="239"/>
      <c r="AX277" s="250"/>
      <c r="AY277" s="138"/>
      <c r="AZ277" s="138"/>
      <c r="BA277" s="138"/>
      <c r="BB277" s="138"/>
      <c r="BC277" s="234"/>
      <c r="BD277" s="239"/>
      <c r="BE277" s="239"/>
      <c r="BF277" s="239"/>
      <c r="BG277" s="239"/>
      <c r="BH277" s="239"/>
      <c r="BI277" s="239"/>
      <c r="BJ277" s="239"/>
      <c r="BK277" s="250"/>
      <c r="BL277" s="138"/>
      <c r="BM277" s="138"/>
      <c r="BN277" s="234"/>
      <c r="BO277" s="239"/>
      <c r="BP277" s="239"/>
      <c r="BQ277" s="239"/>
      <c r="BR277" s="239"/>
      <c r="BS277" s="250"/>
      <c r="BT277" s="250"/>
      <c r="BU277" s="250"/>
      <c r="BV277" s="138"/>
      <c r="BW277" s="138"/>
      <c r="BX277" s="234"/>
      <c r="BY277" s="239"/>
      <c r="BZ277" s="239"/>
      <c r="CA277" s="239"/>
      <c r="CB277" s="239"/>
      <c r="CC277" s="250"/>
      <c r="CD277" s="250"/>
      <c r="CE277" s="250"/>
      <c r="CF277" s="138"/>
      <c r="CG277" s="138"/>
      <c r="CH277" s="234"/>
      <c r="CI277" s="239"/>
      <c r="CJ277" s="239"/>
      <c r="CK277" s="239"/>
      <c r="CL277" s="239"/>
      <c r="CM277" s="250"/>
      <c r="CN277" s="239"/>
      <c r="CO277" s="250"/>
      <c r="CP277" s="138"/>
      <c r="CQ277" s="138"/>
      <c r="CR277" s="234"/>
      <c r="CS277" s="239"/>
      <c r="CT277" s="239"/>
      <c r="CU277" s="239"/>
      <c r="CV277" s="239"/>
      <c r="CW277" s="250"/>
      <c r="CX277" s="138"/>
      <c r="CY277" s="234"/>
      <c r="CZ277" s="239"/>
      <c r="DA277" s="239"/>
      <c r="DB277" s="239"/>
      <c r="DC277" s="239"/>
    </row>
    <row r="278" spans="22:138" ht="20.100000000000001" customHeight="1" x14ac:dyDescent="0.4">
      <c r="V278" s="239"/>
      <c r="W278" s="239"/>
      <c r="X278" s="239"/>
      <c r="Y278" s="239"/>
      <c r="Z278" s="250"/>
      <c r="AA278" s="134"/>
      <c r="AB278" s="134"/>
      <c r="AC278" s="234"/>
      <c r="AD278" s="239"/>
      <c r="AE278" s="239"/>
      <c r="AF278" s="239"/>
      <c r="AG278" s="239"/>
      <c r="AH278" s="239"/>
      <c r="AI278" s="239"/>
      <c r="AJ278" s="239"/>
      <c r="AK278" s="239"/>
      <c r="AL278" s="239"/>
      <c r="AM278" s="239"/>
      <c r="AN278" s="239"/>
      <c r="AO278" s="239"/>
      <c r="AP278" s="239"/>
      <c r="AQ278" s="239"/>
      <c r="AR278" s="239"/>
      <c r="AS278" s="239"/>
      <c r="AT278" s="239"/>
      <c r="AU278" s="239"/>
      <c r="AV278" s="239"/>
      <c r="AW278" s="239"/>
      <c r="AX278" s="250"/>
      <c r="AY278" s="134"/>
      <c r="AZ278" s="134"/>
      <c r="BA278" s="134"/>
      <c r="BB278" s="134"/>
      <c r="BC278" s="234"/>
      <c r="BD278" s="239"/>
      <c r="BE278" s="239"/>
      <c r="BF278" s="239"/>
      <c r="BG278" s="239"/>
      <c r="BH278" s="239"/>
      <c r="BI278" s="239"/>
      <c r="BJ278" s="239"/>
      <c r="BK278" s="250"/>
      <c r="BL278" s="134"/>
      <c r="BM278" s="134"/>
      <c r="BN278" s="234"/>
      <c r="BO278" s="239"/>
      <c r="BP278" s="239"/>
      <c r="BQ278" s="239"/>
      <c r="BR278" s="239"/>
      <c r="BS278" s="250"/>
      <c r="BT278" s="250"/>
      <c r="BU278" s="250"/>
      <c r="BV278" s="134"/>
      <c r="BW278" s="134"/>
      <c r="BX278" s="234"/>
      <c r="BY278" s="239"/>
      <c r="BZ278" s="239"/>
      <c r="CA278" s="239"/>
      <c r="CB278" s="239"/>
      <c r="CC278" s="250"/>
      <c r="CD278" s="250"/>
      <c r="CE278" s="250"/>
      <c r="CF278" s="134"/>
      <c r="CG278" s="134"/>
      <c r="CH278" s="234"/>
      <c r="CI278" s="239"/>
      <c r="CJ278" s="239"/>
      <c r="CK278" s="239"/>
      <c r="CL278" s="239"/>
      <c r="CM278" s="250"/>
      <c r="CN278" s="239"/>
      <c r="CO278" s="250"/>
      <c r="CP278" s="134"/>
      <c r="CQ278" s="134"/>
      <c r="CR278" s="234"/>
      <c r="CS278" s="239"/>
      <c r="CT278" s="239"/>
      <c r="CU278" s="239"/>
      <c r="CV278" s="239"/>
      <c r="CW278" s="250"/>
      <c r="CX278" s="134"/>
      <c r="CY278" s="234"/>
      <c r="CZ278" s="239"/>
      <c r="DA278" s="239"/>
      <c r="DB278" s="239"/>
      <c r="DC278" s="239"/>
    </row>
    <row r="279" spans="22:138" ht="20.100000000000001" customHeight="1" x14ac:dyDescent="0.4">
      <c r="V279" s="239"/>
      <c r="W279" s="239"/>
      <c r="X279" s="239"/>
      <c r="Y279" s="239"/>
      <c r="Z279" s="250"/>
      <c r="AA279" s="134"/>
      <c r="AB279" s="134"/>
      <c r="AC279" s="234"/>
      <c r="AD279" s="239"/>
      <c r="AE279" s="239"/>
      <c r="AF279" s="239"/>
      <c r="AG279" s="239"/>
      <c r="AH279" s="239"/>
      <c r="AI279" s="239"/>
      <c r="AJ279" s="239"/>
      <c r="AK279" s="239"/>
      <c r="AL279" s="239"/>
      <c r="AM279" s="239"/>
      <c r="AN279" s="239"/>
      <c r="AO279" s="239"/>
      <c r="AP279" s="239"/>
      <c r="AQ279" s="239"/>
      <c r="AR279" s="239"/>
      <c r="AS279" s="239"/>
      <c r="AT279" s="239"/>
      <c r="AU279" s="239"/>
      <c r="AV279" s="239"/>
      <c r="AW279" s="239"/>
      <c r="AX279" s="250"/>
      <c r="AY279" s="134"/>
      <c r="AZ279" s="134"/>
      <c r="BA279" s="134"/>
      <c r="BB279" s="134"/>
      <c r="BC279" s="234"/>
      <c r="BD279" s="239"/>
      <c r="BE279" s="239"/>
      <c r="BF279" s="239"/>
      <c r="BG279" s="239"/>
      <c r="BH279" s="239"/>
      <c r="BI279" s="239"/>
      <c r="BJ279" s="239"/>
      <c r="BK279" s="250"/>
      <c r="BL279" s="134"/>
      <c r="BM279" s="134"/>
      <c r="BN279" s="234"/>
      <c r="BO279" s="239"/>
      <c r="BP279" s="239"/>
      <c r="BQ279" s="239"/>
      <c r="BR279" s="239"/>
      <c r="BS279" s="250"/>
      <c r="BT279" s="250"/>
      <c r="BU279" s="250"/>
      <c r="BV279" s="134"/>
      <c r="BW279" s="134"/>
      <c r="BX279" s="234"/>
      <c r="BY279" s="239"/>
      <c r="BZ279" s="239"/>
      <c r="CA279" s="239"/>
      <c r="CB279" s="239"/>
      <c r="CC279" s="250"/>
      <c r="CD279" s="250"/>
      <c r="CE279" s="250"/>
      <c r="CF279" s="134"/>
      <c r="CG279" s="134"/>
      <c r="CH279" s="234"/>
      <c r="CI279" s="239"/>
      <c r="CJ279" s="239"/>
      <c r="CK279" s="239"/>
      <c r="CL279" s="239"/>
      <c r="CM279" s="250"/>
      <c r="CN279" s="239"/>
      <c r="CO279" s="250"/>
      <c r="CP279" s="134"/>
      <c r="CQ279" s="134"/>
      <c r="CR279" s="234"/>
      <c r="CS279" s="239"/>
      <c r="CT279" s="239"/>
      <c r="CU279" s="239"/>
      <c r="CV279" s="239"/>
      <c r="CW279" s="250"/>
      <c r="CX279" s="134"/>
      <c r="CY279" s="234"/>
      <c r="CZ279" s="239"/>
      <c r="DA279" s="239"/>
      <c r="DB279" s="239"/>
      <c r="DC279" s="239"/>
    </row>
    <row r="280" spans="22:138" ht="20.100000000000001" customHeight="1" x14ac:dyDescent="0.4">
      <c r="AU280" s="239"/>
      <c r="AV280" s="239"/>
      <c r="AW280" s="239"/>
      <c r="AX280" s="250"/>
      <c r="AY280" s="138"/>
      <c r="AZ280" s="138"/>
      <c r="BA280" s="138"/>
      <c r="BB280" s="138"/>
      <c r="BC280" s="234"/>
      <c r="BD280" s="239"/>
      <c r="BE280" s="239"/>
      <c r="BF280" s="239"/>
      <c r="BG280" s="239"/>
      <c r="BH280" s="239"/>
      <c r="BI280" s="239"/>
      <c r="BJ280" s="239"/>
      <c r="BK280" s="250"/>
      <c r="BL280" s="138"/>
      <c r="BM280" s="138"/>
      <c r="BN280" s="234"/>
      <c r="BO280" s="239"/>
      <c r="BP280" s="239"/>
      <c r="BQ280" s="239"/>
      <c r="BR280" s="239"/>
      <c r="BS280" s="250"/>
      <c r="BT280" s="250"/>
      <c r="BU280" s="250"/>
      <c r="BV280" s="138"/>
      <c r="BW280" s="138"/>
      <c r="BX280" s="234"/>
      <c r="BY280" s="239"/>
      <c r="BZ280" s="239"/>
      <c r="CA280" s="239"/>
      <c r="CB280" s="239"/>
      <c r="CC280" s="250"/>
      <c r="CD280" s="250"/>
      <c r="CE280" s="250"/>
      <c r="CF280" s="138"/>
      <c r="CG280" s="138"/>
      <c r="CH280" s="234"/>
      <c r="CI280" s="239"/>
      <c r="CJ280" s="239"/>
      <c r="CK280" s="239"/>
      <c r="CL280" s="239"/>
      <c r="CM280" s="250"/>
      <c r="CN280" s="239"/>
      <c r="CO280" s="250"/>
      <c r="CP280" s="138"/>
      <c r="CQ280" s="138"/>
      <c r="CR280" s="234"/>
      <c r="CS280" s="239"/>
      <c r="CT280" s="239"/>
      <c r="CU280" s="239"/>
      <c r="CV280" s="239"/>
      <c r="CW280" s="250"/>
      <c r="CX280" s="138"/>
      <c r="CY280" s="234"/>
      <c r="CZ280" s="239"/>
      <c r="DA280" s="239"/>
      <c r="DB280" s="239"/>
      <c r="DC280" s="239"/>
    </row>
    <row r="281" spans="22:138" ht="20.100000000000001" customHeight="1" x14ac:dyDescent="0.4">
      <c r="AU281" s="239"/>
      <c r="AV281" s="239"/>
      <c r="AW281" s="239"/>
      <c r="AX281" s="239"/>
      <c r="AY281" s="239"/>
      <c r="AZ281" s="239"/>
      <c r="BA281" s="239"/>
      <c r="BB281" s="239"/>
      <c r="BC281" s="239"/>
      <c r="BD281" s="239"/>
      <c r="BE281" s="239"/>
      <c r="BF281" s="239"/>
      <c r="BG281" s="239"/>
      <c r="BH281" s="239"/>
      <c r="BI281" s="239"/>
      <c r="BJ281" s="239"/>
      <c r="BK281" s="239"/>
      <c r="BL281" s="239"/>
      <c r="BM281" s="239"/>
      <c r="BN281" s="239"/>
      <c r="BO281" s="239"/>
      <c r="BP281" s="239"/>
      <c r="BQ281" s="239"/>
      <c r="BR281" s="239"/>
      <c r="BS281" s="239"/>
      <c r="BT281" s="239"/>
      <c r="BU281" s="239"/>
      <c r="BV281" s="239"/>
      <c r="BW281" s="239"/>
      <c r="BX281" s="239"/>
      <c r="BY281" s="239"/>
      <c r="BZ281" s="239"/>
      <c r="CA281" s="239"/>
      <c r="CB281" s="239"/>
      <c r="CC281" s="239"/>
      <c r="CD281" s="239"/>
      <c r="CE281" s="239"/>
      <c r="CF281" s="239"/>
      <c r="CG281" s="239"/>
      <c r="CH281" s="239"/>
      <c r="CI281" s="239"/>
      <c r="CJ281" s="239"/>
      <c r="CK281" s="239"/>
      <c r="CL281" s="239"/>
      <c r="CM281" s="239"/>
      <c r="CN281" s="239"/>
      <c r="CO281" s="239"/>
      <c r="CP281" s="239"/>
      <c r="CQ281" s="239"/>
      <c r="CR281" s="239"/>
      <c r="CS281" s="239"/>
      <c r="CT281" s="239"/>
      <c r="CU281" s="239"/>
      <c r="CV281" s="239"/>
      <c r="CW281" s="239"/>
      <c r="CX281" s="239"/>
      <c r="CY281" s="239"/>
      <c r="CZ281" s="239"/>
      <c r="DA281" s="239"/>
      <c r="DB281" s="239"/>
      <c r="DC281" s="239"/>
    </row>
    <row r="282" spans="22:138" ht="20.100000000000001" customHeight="1" x14ac:dyDescent="0.4">
      <c r="AU282" s="239"/>
      <c r="AV282" s="239"/>
      <c r="AW282" s="239"/>
      <c r="AX282" s="246"/>
      <c r="AY282" s="247"/>
      <c r="AZ282" s="247"/>
      <c r="BA282" s="247"/>
      <c r="BB282" s="248"/>
      <c r="BC282" s="249"/>
      <c r="BD282" s="239"/>
      <c r="BE282" s="239"/>
      <c r="BF282" s="239"/>
      <c r="BG282" s="239"/>
      <c r="BH282" s="239"/>
      <c r="BI282" s="239"/>
      <c r="BJ282" s="239"/>
      <c r="BK282" s="239"/>
      <c r="BL282" s="239"/>
      <c r="BM282" s="239"/>
      <c r="BN282" s="239"/>
      <c r="BO282" s="239"/>
      <c r="BP282" s="239"/>
      <c r="BQ282" s="239"/>
      <c r="BR282" s="239"/>
      <c r="BS282" s="239"/>
      <c r="BT282" s="239"/>
      <c r="BU282" s="239"/>
      <c r="BV282" s="239"/>
      <c r="BW282" s="239"/>
      <c r="BX282" s="239"/>
      <c r="BY282" s="239"/>
      <c r="BZ282" s="239"/>
      <c r="CA282" s="239"/>
      <c r="CB282" s="239"/>
      <c r="CC282" s="239"/>
      <c r="CD282" s="239"/>
      <c r="CE282" s="239"/>
      <c r="CF282" s="239"/>
      <c r="CG282" s="239"/>
      <c r="CH282" s="239"/>
      <c r="CI282" s="239"/>
      <c r="CJ282" s="239"/>
      <c r="CK282" s="239"/>
      <c r="CL282" s="239"/>
      <c r="CM282" s="239"/>
      <c r="CN282" s="239"/>
      <c r="CO282" s="239"/>
      <c r="CP282" s="239"/>
      <c r="CQ282" s="239"/>
      <c r="CR282" s="239"/>
      <c r="CS282" s="239"/>
      <c r="CT282" s="239"/>
      <c r="CU282" s="239"/>
      <c r="CV282" s="239"/>
      <c r="CW282" s="246"/>
      <c r="CX282" s="248"/>
      <c r="CY282" s="249"/>
      <c r="CZ282" s="239"/>
      <c r="DA282" s="239"/>
      <c r="DB282" s="239"/>
      <c r="DC282" s="239"/>
    </row>
    <row r="283" spans="22:138" ht="20.100000000000001" customHeight="1" x14ac:dyDescent="0.4">
      <c r="AU283" s="239"/>
      <c r="AV283" s="239"/>
      <c r="AW283" s="239"/>
      <c r="AX283" s="250"/>
      <c r="AY283" s="134"/>
      <c r="AZ283" s="134"/>
      <c r="BA283" s="134"/>
      <c r="BB283" s="134"/>
      <c r="BC283" s="234"/>
      <c r="BD283" s="239"/>
      <c r="BE283" s="239"/>
      <c r="BF283" s="239"/>
      <c r="BG283" s="239"/>
      <c r="BH283" s="239"/>
      <c r="BI283" s="239"/>
      <c r="BJ283" s="239"/>
      <c r="BK283" s="239"/>
      <c r="BL283" s="239"/>
      <c r="BM283" s="239"/>
      <c r="BN283" s="239"/>
      <c r="BO283" s="239"/>
      <c r="BP283" s="239"/>
      <c r="BQ283" s="239"/>
      <c r="BR283" s="239"/>
      <c r="BS283" s="239"/>
      <c r="BT283" s="239"/>
      <c r="BU283" s="239"/>
      <c r="BV283" s="239"/>
      <c r="BW283" s="239"/>
      <c r="BX283" s="239"/>
      <c r="BY283" s="239"/>
      <c r="BZ283" s="239"/>
      <c r="CA283" s="239"/>
      <c r="CB283" s="239"/>
      <c r="CC283" s="239"/>
      <c r="CD283" s="239"/>
      <c r="CE283" s="239"/>
      <c r="CF283" s="239"/>
      <c r="CG283" s="239"/>
      <c r="CH283" s="239"/>
      <c r="CI283" s="239"/>
      <c r="CJ283" s="239"/>
      <c r="CK283" s="239"/>
      <c r="CL283" s="239"/>
      <c r="CM283" s="239"/>
      <c r="CN283" s="239"/>
      <c r="CO283" s="239"/>
      <c r="CP283" s="239"/>
      <c r="CQ283" s="239"/>
      <c r="CR283" s="239"/>
      <c r="CS283" s="239"/>
      <c r="CT283" s="239"/>
      <c r="CU283" s="239"/>
      <c r="CV283" s="239"/>
      <c r="CW283" s="250"/>
      <c r="CX283" s="134"/>
      <c r="CY283" s="234"/>
      <c r="CZ283" s="239"/>
      <c r="DA283" s="239"/>
      <c r="DB283" s="239"/>
      <c r="DC283" s="239"/>
    </row>
    <row r="284" spans="22:138" ht="20.100000000000001" customHeight="1" x14ac:dyDescent="0.4">
      <c r="AU284" s="239"/>
      <c r="AV284" s="239"/>
      <c r="AW284" s="239"/>
      <c r="AX284" s="250"/>
      <c r="AY284" s="134"/>
      <c r="AZ284" s="134"/>
      <c r="BA284" s="134"/>
      <c r="BB284" s="134"/>
      <c r="BC284" s="234"/>
      <c r="BD284" s="239"/>
      <c r="BE284" s="239"/>
      <c r="BF284" s="239"/>
      <c r="BG284" s="239"/>
      <c r="BH284" s="239"/>
      <c r="BI284" s="239"/>
      <c r="BJ284" s="239"/>
      <c r="BK284" s="239"/>
      <c r="BL284" s="239"/>
      <c r="BM284" s="239"/>
      <c r="BN284" s="239"/>
      <c r="BO284" s="239"/>
      <c r="BP284" s="239"/>
      <c r="BQ284" s="239"/>
      <c r="BR284" s="239"/>
      <c r="BS284" s="239"/>
      <c r="BT284" s="239"/>
      <c r="BU284" s="239"/>
      <c r="BV284" s="239"/>
      <c r="BW284" s="239"/>
      <c r="BX284" s="239"/>
      <c r="BY284" s="239"/>
      <c r="BZ284" s="239"/>
      <c r="CA284" s="239"/>
      <c r="CB284" s="239"/>
      <c r="CC284" s="239"/>
      <c r="CD284" s="239"/>
      <c r="CE284" s="239"/>
      <c r="CF284" s="239"/>
      <c r="CG284" s="239"/>
      <c r="CH284" s="239"/>
      <c r="CI284" s="239"/>
      <c r="CJ284" s="239"/>
      <c r="CK284" s="239"/>
      <c r="CL284" s="239"/>
      <c r="CM284" s="239"/>
      <c r="CN284" s="239"/>
      <c r="CO284" s="239"/>
      <c r="CP284" s="239"/>
      <c r="CQ284" s="239"/>
      <c r="CR284" s="239"/>
      <c r="CS284" s="239"/>
      <c r="CT284" s="239"/>
      <c r="CU284" s="239"/>
      <c r="CV284" s="239"/>
      <c r="CW284" s="250"/>
      <c r="CX284" s="134"/>
      <c r="CY284" s="234"/>
      <c r="CZ284" s="239"/>
      <c r="DA284" s="239"/>
      <c r="DB284" s="239"/>
      <c r="DC284" s="239"/>
    </row>
  </sheetData>
  <dataConsolidate/>
  <mergeCells count="1798">
    <mergeCell ref="DF226:DG226"/>
    <mergeCell ref="DF227:DG227"/>
    <mergeCell ref="DF228:DG228"/>
    <mergeCell ref="DF229:DG229"/>
    <mergeCell ref="DF230:DG230"/>
    <mergeCell ref="DF231:DG231"/>
    <mergeCell ref="DF232:DG232"/>
    <mergeCell ref="DF233:DG233"/>
    <mergeCell ref="DF234:DG234"/>
    <mergeCell ref="CY256:CZ256"/>
    <mergeCell ref="CY257:CZ257"/>
    <mergeCell ref="CY258:CZ258"/>
    <mergeCell ref="CY259:CZ259"/>
    <mergeCell ref="CY260:CZ260"/>
    <mergeCell ref="CY261:CZ261"/>
    <mergeCell ref="CY262:CZ262"/>
    <mergeCell ref="DF236:DG236"/>
    <mergeCell ref="DF237:DG237"/>
    <mergeCell ref="DF238:DG238"/>
    <mergeCell ref="DF239:DG239"/>
    <mergeCell ref="DF240:DG240"/>
    <mergeCell ref="DF241:DG241"/>
    <mergeCell ref="DF242:DG242"/>
    <mergeCell ref="DF243:DG243"/>
    <mergeCell ref="DF244:DG244"/>
    <mergeCell ref="DF246:DG246"/>
    <mergeCell ref="DF247:DG247"/>
    <mergeCell ref="DF248:DG248"/>
    <mergeCell ref="DF249:DG249"/>
    <mergeCell ref="DF250:DG250"/>
    <mergeCell ref="BN252:BO252"/>
    <mergeCell ref="BN253:BO253"/>
    <mergeCell ref="CY264:CZ264"/>
    <mergeCell ref="CY234:CZ234"/>
    <mergeCell ref="CR226:CS226"/>
    <mergeCell ref="CR227:CS227"/>
    <mergeCell ref="CR228:CS228"/>
    <mergeCell ref="CR229:CS229"/>
    <mergeCell ref="CR230:CS230"/>
    <mergeCell ref="CR231:CS231"/>
    <mergeCell ref="CR232:CS232"/>
    <mergeCell ref="CR233:CS233"/>
    <mergeCell ref="CR234:CS234"/>
    <mergeCell ref="CY246:CZ246"/>
    <mergeCell ref="CY247:CZ247"/>
    <mergeCell ref="CY248:CZ248"/>
    <mergeCell ref="CY249:CZ249"/>
    <mergeCell ref="CY250:CZ250"/>
    <mergeCell ref="CY251:CZ251"/>
    <mergeCell ref="CY252:CZ252"/>
    <mergeCell ref="CY253:CZ253"/>
    <mergeCell ref="CY263:CZ263"/>
    <mergeCell ref="CY254:CZ254"/>
    <mergeCell ref="CH226:CI226"/>
    <mergeCell ref="CH227:CI227"/>
    <mergeCell ref="CH229:CI229"/>
    <mergeCell ref="CH230:CI230"/>
    <mergeCell ref="CH231:CI231"/>
    <mergeCell ref="CH232:CI232"/>
    <mergeCell ref="CH233:CI233"/>
    <mergeCell ref="CH234:CI234"/>
    <mergeCell ref="CR249:CS249"/>
    <mergeCell ref="CR250:CS250"/>
    <mergeCell ref="CR251:CS251"/>
    <mergeCell ref="CY229:CZ229"/>
    <mergeCell ref="CY230:CZ230"/>
    <mergeCell ref="CY231:CZ231"/>
    <mergeCell ref="CY232:CZ232"/>
    <mergeCell ref="CY233:CZ233"/>
    <mergeCell ref="CR236:CS236"/>
    <mergeCell ref="CR243:CS243"/>
    <mergeCell ref="CR244:CS244"/>
    <mergeCell ref="CY243:CZ243"/>
    <mergeCell ref="CY244:CZ244"/>
    <mergeCell ref="CR237:CS237"/>
    <mergeCell ref="CR238:CS238"/>
    <mergeCell ref="CR239:CS239"/>
    <mergeCell ref="CR240:CS240"/>
    <mergeCell ref="CR241:CS241"/>
    <mergeCell ref="CR242:CS242"/>
    <mergeCell ref="CH236:CI236"/>
    <mergeCell ref="CH237:CI237"/>
    <mergeCell ref="CH238:CI238"/>
    <mergeCell ref="CH239:CI239"/>
    <mergeCell ref="CR246:CS246"/>
    <mergeCell ref="BX233:BY233"/>
    <mergeCell ref="BX234:BY234"/>
    <mergeCell ref="BX246:BY246"/>
    <mergeCell ref="BX247:BY247"/>
    <mergeCell ref="BX248:BY248"/>
    <mergeCell ref="BF242:BG242"/>
    <mergeCell ref="BF229:BG229"/>
    <mergeCell ref="BF230:BG230"/>
    <mergeCell ref="BF231:BG231"/>
    <mergeCell ref="BF232:BG232"/>
    <mergeCell ref="BX229:BY229"/>
    <mergeCell ref="BX230:BY230"/>
    <mergeCell ref="BX231:BY231"/>
    <mergeCell ref="BX232:BY232"/>
    <mergeCell ref="CH240:CI240"/>
    <mergeCell ref="CH241:CI241"/>
    <mergeCell ref="CH242:CI242"/>
    <mergeCell ref="CH243:CI243"/>
    <mergeCell ref="BF233:BG233"/>
    <mergeCell ref="BF234:BG234"/>
    <mergeCell ref="AT274:AU274"/>
    <mergeCell ref="BF216:BG216"/>
    <mergeCell ref="BF217:BG217"/>
    <mergeCell ref="BF218:BG218"/>
    <mergeCell ref="BF219:BG219"/>
    <mergeCell ref="BF220:BG220"/>
    <mergeCell ref="BF221:BG221"/>
    <mergeCell ref="BF222:BG222"/>
    <mergeCell ref="BF223:BG223"/>
    <mergeCell ref="BF224:BG224"/>
    <mergeCell ref="AT266:AU266"/>
    <mergeCell ref="AT267:AU267"/>
    <mergeCell ref="AT268:AU268"/>
    <mergeCell ref="AT269:AU269"/>
    <mergeCell ref="AT270:AU270"/>
    <mergeCell ref="AT271:AU271"/>
    <mergeCell ref="AT272:AU272"/>
    <mergeCell ref="AT273:AU273"/>
    <mergeCell ref="AT226:AU226"/>
    <mergeCell ref="AT260:AU260"/>
    <mergeCell ref="AT241:AU241"/>
    <mergeCell ref="AT242:AU242"/>
    <mergeCell ref="AT243:AU243"/>
    <mergeCell ref="AT261:AU261"/>
    <mergeCell ref="BF256:BG256"/>
    <mergeCell ref="BF264:BG264"/>
    <mergeCell ref="BF246:BG246"/>
    <mergeCell ref="AT230:AU230"/>
    <mergeCell ref="AT231:AU231"/>
    <mergeCell ref="AT232:AU232"/>
    <mergeCell ref="AT233:AU233"/>
    <mergeCell ref="AT236:AU236"/>
    <mergeCell ref="AT229:AU229"/>
    <mergeCell ref="AT237:AU237"/>
    <mergeCell ref="AT238:AU238"/>
    <mergeCell ref="AT239:AU239"/>
    <mergeCell ref="AT240:AU240"/>
    <mergeCell ref="BF261:BG261"/>
    <mergeCell ref="BF262:BG262"/>
    <mergeCell ref="BF263:BG263"/>
    <mergeCell ref="BF243:BG243"/>
    <mergeCell ref="BF244:BG244"/>
    <mergeCell ref="BF236:BG236"/>
    <mergeCell ref="AT244:AU244"/>
    <mergeCell ref="BF239:BG239"/>
    <mergeCell ref="BF240:BG240"/>
    <mergeCell ref="BF241:BG241"/>
    <mergeCell ref="BF257:BG257"/>
    <mergeCell ref="BF258:BG258"/>
    <mergeCell ref="BF259:BG259"/>
    <mergeCell ref="BF260:BG260"/>
    <mergeCell ref="AT234:AU234"/>
    <mergeCell ref="AT246:AU246"/>
    <mergeCell ref="AT247:AU247"/>
    <mergeCell ref="AT248:AU248"/>
    <mergeCell ref="BF247:BG247"/>
    <mergeCell ref="BF248:BG248"/>
    <mergeCell ref="BF249:BG249"/>
    <mergeCell ref="BF250:BG250"/>
    <mergeCell ref="BF251:BG251"/>
    <mergeCell ref="BF252:BG252"/>
    <mergeCell ref="BF253:BG253"/>
    <mergeCell ref="BF237:BG237"/>
    <mergeCell ref="BF238:BG238"/>
    <mergeCell ref="AJ258:AK258"/>
    <mergeCell ref="AJ259:AK259"/>
    <mergeCell ref="AJ260:AK260"/>
    <mergeCell ref="AJ261:AK261"/>
    <mergeCell ref="P230:Q230"/>
    <mergeCell ref="P231:Q231"/>
    <mergeCell ref="Z260:AA260"/>
    <mergeCell ref="P232:Q232"/>
    <mergeCell ref="P233:Q233"/>
    <mergeCell ref="P234:Q234"/>
    <mergeCell ref="AT259:AU259"/>
    <mergeCell ref="AT249:AU249"/>
    <mergeCell ref="AT250:AU250"/>
    <mergeCell ref="AT251:AU251"/>
    <mergeCell ref="AT252:AU252"/>
    <mergeCell ref="AT253:AU253"/>
    <mergeCell ref="BF254:BG254"/>
    <mergeCell ref="AT254:AU254"/>
    <mergeCell ref="AT256:AU256"/>
    <mergeCell ref="AT257:AU257"/>
    <mergeCell ref="AJ254:AK254"/>
    <mergeCell ref="P253:Q253"/>
    <mergeCell ref="AJ244:AK244"/>
    <mergeCell ref="AJ248:AK248"/>
    <mergeCell ref="AJ249:AK249"/>
    <mergeCell ref="AJ250:AK250"/>
    <mergeCell ref="AJ251:AK251"/>
    <mergeCell ref="AJ252:AK252"/>
    <mergeCell ref="AJ253:AK253"/>
    <mergeCell ref="Z233:AA233"/>
    <mergeCell ref="Z234:AA234"/>
    <mergeCell ref="P241:Q241"/>
    <mergeCell ref="AT264:AU264"/>
    <mergeCell ref="AJ246:AK246"/>
    <mergeCell ref="AJ247:AK247"/>
    <mergeCell ref="AT262:AU262"/>
    <mergeCell ref="AT263:AU263"/>
    <mergeCell ref="AT258:AU258"/>
    <mergeCell ref="P236:Q236"/>
    <mergeCell ref="Z264:AA264"/>
    <mergeCell ref="AJ264:AK264"/>
    <mergeCell ref="P242:Q242"/>
    <mergeCell ref="P243:Q243"/>
    <mergeCell ref="P261:Q261"/>
    <mergeCell ref="P262:Q262"/>
    <mergeCell ref="P258:Q258"/>
    <mergeCell ref="P259:Q259"/>
    <mergeCell ref="P260:Q260"/>
    <mergeCell ref="P264:Q264"/>
    <mergeCell ref="AJ262:AK262"/>
    <mergeCell ref="AJ263:AK263"/>
    <mergeCell ref="P263:Q263"/>
    <mergeCell ref="Z246:AA246"/>
    <mergeCell ref="Z247:AA247"/>
    <mergeCell ref="Z248:AA248"/>
    <mergeCell ref="Z249:AA249"/>
    <mergeCell ref="Z250:AA250"/>
    <mergeCell ref="Z252:AA252"/>
    <mergeCell ref="Z253:AA253"/>
    <mergeCell ref="Z254:AA254"/>
    <mergeCell ref="Z256:AA256"/>
    <mergeCell ref="Z257:AA257"/>
    <mergeCell ref="Z258:AA258"/>
    <mergeCell ref="Z259:AA259"/>
    <mergeCell ref="Z262:AA262"/>
    <mergeCell ref="Z263:AA263"/>
    <mergeCell ref="P254:Q254"/>
    <mergeCell ref="P256:Q256"/>
    <mergeCell ref="P257:Q257"/>
    <mergeCell ref="P246:Q246"/>
    <mergeCell ref="AJ236:AK236"/>
    <mergeCell ref="AJ237:AK237"/>
    <mergeCell ref="AJ238:AK238"/>
    <mergeCell ref="AJ239:AK239"/>
    <mergeCell ref="AJ240:AK240"/>
    <mergeCell ref="AJ241:AK241"/>
    <mergeCell ref="AJ242:AK242"/>
    <mergeCell ref="AJ243:AK243"/>
    <mergeCell ref="Z239:AA239"/>
    <mergeCell ref="Z240:AA240"/>
    <mergeCell ref="Z241:AA241"/>
    <mergeCell ref="Z242:AA242"/>
    <mergeCell ref="Z243:AA243"/>
    <mergeCell ref="P237:Q237"/>
    <mergeCell ref="P238:Q238"/>
    <mergeCell ref="P247:Q247"/>
    <mergeCell ref="P248:Q248"/>
    <mergeCell ref="P249:Q249"/>
    <mergeCell ref="P250:Q250"/>
    <mergeCell ref="P251:Q251"/>
    <mergeCell ref="P252:Q252"/>
    <mergeCell ref="Z261:AA261"/>
    <mergeCell ref="AJ256:AK256"/>
    <mergeCell ref="AJ257:AK257"/>
    <mergeCell ref="P239:Q239"/>
    <mergeCell ref="P240:Q240"/>
    <mergeCell ref="AJ226:AK226"/>
    <mergeCell ref="Z238:AA238"/>
    <mergeCell ref="AJ227:AK227"/>
    <mergeCell ref="AJ228:AK228"/>
    <mergeCell ref="AJ229:AK229"/>
    <mergeCell ref="AJ230:AK230"/>
    <mergeCell ref="AJ231:AK231"/>
    <mergeCell ref="Z236:AA236"/>
    <mergeCell ref="Z237:AA237"/>
    <mergeCell ref="AJ232:AK232"/>
    <mergeCell ref="AJ233:AK233"/>
    <mergeCell ref="AJ234:AK234"/>
    <mergeCell ref="Z226:AA226"/>
    <mergeCell ref="Z227:AA227"/>
    <mergeCell ref="Z228:AA228"/>
    <mergeCell ref="Z229:AA229"/>
    <mergeCell ref="Z230:AA230"/>
    <mergeCell ref="Z231:AA231"/>
    <mergeCell ref="Z232:AA232"/>
    <mergeCell ref="P229:Q229"/>
    <mergeCell ref="H204:H205"/>
    <mergeCell ref="G204:G205"/>
    <mergeCell ref="I206:I207"/>
    <mergeCell ref="I208:I209"/>
    <mergeCell ref="M206:M207"/>
    <mergeCell ref="K213:M213"/>
    <mergeCell ref="J208:M208"/>
    <mergeCell ref="A186:G187"/>
    <mergeCell ref="G200:G201"/>
    <mergeCell ref="G206:G207"/>
    <mergeCell ref="P223:Q223"/>
    <mergeCell ref="P224:Q224"/>
    <mergeCell ref="P227:Q227"/>
    <mergeCell ref="P228:Q228"/>
    <mergeCell ref="D171:D173"/>
    <mergeCell ref="H165:H166"/>
    <mergeCell ref="I165:I166"/>
    <mergeCell ref="J165:J166"/>
    <mergeCell ref="K165:K166"/>
    <mergeCell ref="L165:L166"/>
    <mergeCell ref="M165:M166"/>
    <mergeCell ref="H176:H177"/>
    <mergeCell ref="H174:H175"/>
    <mergeCell ref="G165:G166"/>
    <mergeCell ref="M178:M179"/>
    <mergeCell ref="J195:J197"/>
    <mergeCell ref="I167:I168"/>
    <mergeCell ref="I174:I175"/>
    <mergeCell ref="C163:C164"/>
    <mergeCell ref="D163:D164"/>
    <mergeCell ref="E163:E164"/>
    <mergeCell ref="F163:F164"/>
    <mergeCell ref="H163:H164"/>
    <mergeCell ref="E180:E181"/>
    <mergeCell ref="D200:D201"/>
    <mergeCell ref="E200:E201"/>
    <mergeCell ref="E204:E205"/>
    <mergeCell ref="B184:B185"/>
    <mergeCell ref="D184:D185"/>
    <mergeCell ref="E195:E197"/>
    <mergeCell ref="C198:C199"/>
    <mergeCell ref="C178:C179"/>
    <mergeCell ref="A178:A179"/>
    <mergeCell ref="C180:C181"/>
    <mergeCell ref="D182:D183"/>
    <mergeCell ref="F180:F181"/>
    <mergeCell ref="B174:B175"/>
    <mergeCell ref="B182:B183"/>
    <mergeCell ref="D178:D179"/>
    <mergeCell ref="F176:F177"/>
    <mergeCell ref="D174:D175"/>
    <mergeCell ref="A171:A173"/>
    <mergeCell ref="F171:F173"/>
    <mergeCell ref="A174:A175"/>
    <mergeCell ref="H180:H181"/>
    <mergeCell ref="H178:H179"/>
    <mergeCell ref="G176:G177"/>
    <mergeCell ref="B165:B166"/>
    <mergeCell ref="C165:C166"/>
    <mergeCell ref="A161:A162"/>
    <mergeCell ref="I200:I201"/>
    <mergeCell ref="I198:I199"/>
    <mergeCell ref="F198:F199"/>
    <mergeCell ref="F202:F203"/>
    <mergeCell ref="H202:H203"/>
    <mergeCell ref="B202:B203"/>
    <mergeCell ref="C202:C203"/>
    <mergeCell ref="A202:A203"/>
    <mergeCell ref="D195:D197"/>
    <mergeCell ref="A198:A199"/>
    <mergeCell ref="A180:A181"/>
    <mergeCell ref="E178:E179"/>
    <mergeCell ref="F178:F179"/>
    <mergeCell ref="C174:C175"/>
    <mergeCell ref="A165:A166"/>
    <mergeCell ref="H195:H197"/>
    <mergeCell ref="E184:E185"/>
    <mergeCell ref="F182:F183"/>
    <mergeCell ref="H182:H183"/>
    <mergeCell ref="A184:A185"/>
    <mergeCell ref="C184:C185"/>
    <mergeCell ref="C176:C177"/>
    <mergeCell ref="D198:D199"/>
    <mergeCell ref="E202:E203"/>
    <mergeCell ref="A176:A177"/>
    <mergeCell ref="B176:B177"/>
    <mergeCell ref="B178:B179"/>
    <mergeCell ref="B180:B181"/>
    <mergeCell ref="D180:D181"/>
    <mergeCell ref="A163:A164"/>
    <mergeCell ref="B163:B164"/>
    <mergeCell ref="A155:A156"/>
    <mergeCell ref="B155:B156"/>
    <mergeCell ref="C155:C156"/>
    <mergeCell ref="D155:D156"/>
    <mergeCell ref="E155:E156"/>
    <mergeCell ref="F155:F156"/>
    <mergeCell ref="G155:G156"/>
    <mergeCell ref="H155:H156"/>
    <mergeCell ref="I155:I156"/>
    <mergeCell ref="J155:J156"/>
    <mergeCell ref="K155:K156"/>
    <mergeCell ref="L155:L156"/>
    <mergeCell ref="M155:M156"/>
    <mergeCell ref="A204:A205"/>
    <mergeCell ref="H184:H185"/>
    <mergeCell ref="G178:G179"/>
    <mergeCell ref="A182:A183"/>
    <mergeCell ref="F184:F185"/>
    <mergeCell ref="H186:H187"/>
    <mergeCell ref="A157:A158"/>
    <mergeCell ref="G157:G158"/>
    <mergeCell ref="I161:I162"/>
    <mergeCell ref="J161:J162"/>
    <mergeCell ref="K161:K162"/>
    <mergeCell ref="L161:L162"/>
    <mergeCell ref="M161:M162"/>
    <mergeCell ref="A159:A160"/>
    <mergeCell ref="B159:B160"/>
    <mergeCell ref="C159:C160"/>
    <mergeCell ref="D159:D160"/>
    <mergeCell ref="E159:E160"/>
    <mergeCell ref="F159:F160"/>
    <mergeCell ref="A153:A154"/>
    <mergeCell ref="B153:B154"/>
    <mergeCell ref="C153:C154"/>
    <mergeCell ref="D153:D154"/>
    <mergeCell ref="E153:E154"/>
    <mergeCell ref="F153:F154"/>
    <mergeCell ref="G153:G154"/>
    <mergeCell ref="H153:H154"/>
    <mergeCell ref="I153:I154"/>
    <mergeCell ref="J153:J154"/>
    <mergeCell ref="K153:K154"/>
    <mergeCell ref="L153:L154"/>
    <mergeCell ref="M153:M154"/>
    <mergeCell ref="A151:A152"/>
    <mergeCell ref="B151:B152"/>
    <mergeCell ref="C151:C152"/>
    <mergeCell ref="D151:D152"/>
    <mergeCell ref="E151:E152"/>
    <mergeCell ref="F151:F152"/>
    <mergeCell ref="G151:G152"/>
    <mergeCell ref="H151:H152"/>
    <mergeCell ref="I151:I152"/>
    <mergeCell ref="J151:J152"/>
    <mergeCell ref="K151:K152"/>
    <mergeCell ref="L151:L152"/>
    <mergeCell ref="M151:M152"/>
    <mergeCell ref="A149:A150"/>
    <mergeCell ref="B149:B150"/>
    <mergeCell ref="C149:C150"/>
    <mergeCell ref="D149:D150"/>
    <mergeCell ref="E149:E150"/>
    <mergeCell ref="F149:F150"/>
    <mergeCell ref="G149:G150"/>
    <mergeCell ref="H149:H150"/>
    <mergeCell ref="I149:I150"/>
    <mergeCell ref="J149:J150"/>
    <mergeCell ref="K149:K150"/>
    <mergeCell ref="L149:L150"/>
    <mergeCell ref="M149:M150"/>
    <mergeCell ref="A147:A148"/>
    <mergeCell ref="B147:B148"/>
    <mergeCell ref="C147:C148"/>
    <mergeCell ref="D147:D148"/>
    <mergeCell ref="E147:E148"/>
    <mergeCell ref="F147:F148"/>
    <mergeCell ref="G147:G148"/>
    <mergeCell ref="H147:H148"/>
    <mergeCell ref="I147:I148"/>
    <mergeCell ref="J147:J148"/>
    <mergeCell ref="K147:K148"/>
    <mergeCell ref="L147:L148"/>
    <mergeCell ref="M147:M148"/>
    <mergeCell ref="A133:A134"/>
    <mergeCell ref="B133:B134"/>
    <mergeCell ref="C133:C134"/>
    <mergeCell ref="D133:D134"/>
    <mergeCell ref="C127:C128"/>
    <mergeCell ref="B131:B132"/>
    <mergeCell ref="C131:C132"/>
    <mergeCell ref="D131:D132"/>
    <mergeCell ref="E131:E132"/>
    <mergeCell ref="F131:F132"/>
    <mergeCell ref="H131:H132"/>
    <mergeCell ref="B143:B144"/>
    <mergeCell ref="C143:C144"/>
    <mergeCell ref="D143:D144"/>
    <mergeCell ref="E143:E144"/>
    <mergeCell ref="F143:F144"/>
    <mergeCell ref="G143:G144"/>
    <mergeCell ref="H143:H144"/>
    <mergeCell ref="A143:A144"/>
    <mergeCell ref="A141:A142"/>
    <mergeCell ref="B141:B142"/>
    <mergeCell ref="C141:C142"/>
    <mergeCell ref="D141:D142"/>
    <mergeCell ref="E141:E142"/>
    <mergeCell ref="F141:F142"/>
    <mergeCell ref="DM216:DN216"/>
    <mergeCell ref="C206:C207"/>
    <mergeCell ref="C204:C205"/>
    <mergeCell ref="C195:C197"/>
    <mergeCell ref="K214:M214"/>
    <mergeCell ref="I182:I183"/>
    <mergeCell ref="I186:I187"/>
    <mergeCell ref="C182:C183"/>
    <mergeCell ref="M198:M199"/>
    <mergeCell ref="M195:M197"/>
    <mergeCell ref="A208:G209"/>
    <mergeCell ref="Y191:AH191"/>
    <mergeCell ref="AI191:AR191"/>
    <mergeCell ref="A206:A207"/>
    <mergeCell ref="D204:D205"/>
    <mergeCell ref="A200:A201"/>
    <mergeCell ref="B200:B201"/>
    <mergeCell ref="C200:C201"/>
    <mergeCell ref="A195:A197"/>
    <mergeCell ref="F200:F201"/>
    <mergeCell ref="G195:G197"/>
    <mergeCell ref="H200:H201"/>
    <mergeCell ref="H198:H199"/>
    <mergeCell ref="H206:H207"/>
    <mergeCell ref="B198:B199"/>
    <mergeCell ref="D202:D203"/>
    <mergeCell ref="K195:K197"/>
    <mergeCell ref="CX214:DD214"/>
    <mergeCell ref="Y214:AH214"/>
    <mergeCell ref="AS214:BB214"/>
    <mergeCell ref="BC191:BL191"/>
    <mergeCell ref="BM191:BV191"/>
    <mergeCell ref="BN224:BO224"/>
    <mergeCell ref="AJ224:AK224"/>
    <mergeCell ref="AT216:AU216"/>
    <mergeCell ref="AT217:AU217"/>
    <mergeCell ref="AT218:AU218"/>
    <mergeCell ref="CR216:CS216"/>
    <mergeCell ref="CH216:CI216"/>
    <mergeCell ref="BN216:BO216"/>
    <mergeCell ref="BN217:BO217"/>
    <mergeCell ref="Y213:AH213"/>
    <mergeCell ref="A137:A138"/>
    <mergeCell ref="B137:B138"/>
    <mergeCell ref="A145:A146"/>
    <mergeCell ref="B145:B146"/>
    <mergeCell ref="C145:C146"/>
    <mergeCell ref="D145:D146"/>
    <mergeCell ref="G198:G199"/>
    <mergeCell ref="E137:E138"/>
    <mergeCell ref="E145:E146"/>
    <mergeCell ref="G202:G203"/>
    <mergeCell ref="J209:M209"/>
    <mergeCell ref="F206:F207"/>
    <mergeCell ref="B206:B207"/>
    <mergeCell ref="F145:F146"/>
    <mergeCell ref="G145:G146"/>
    <mergeCell ref="H145:H146"/>
    <mergeCell ref="I145:I146"/>
    <mergeCell ref="I141:I142"/>
    <mergeCell ref="A139:A140"/>
    <mergeCell ref="B139:B140"/>
    <mergeCell ref="I143:I144"/>
    <mergeCell ref="J143:J144"/>
    <mergeCell ref="DM222:DN222"/>
    <mergeCell ref="DM223:DN223"/>
    <mergeCell ref="DM224:DN224"/>
    <mergeCell ref="CR221:CS221"/>
    <mergeCell ref="CR217:CS217"/>
    <mergeCell ref="CR223:CS223"/>
    <mergeCell ref="CR224:CS224"/>
    <mergeCell ref="CY226:CZ226"/>
    <mergeCell ref="CY227:CZ227"/>
    <mergeCell ref="BM196:BV196"/>
    <mergeCell ref="F204:F205"/>
    <mergeCell ref="DF216:DG216"/>
    <mergeCell ref="DF217:DG217"/>
    <mergeCell ref="DF218:DG218"/>
    <mergeCell ref="DF219:DG219"/>
    <mergeCell ref="DF220:DG220"/>
    <mergeCell ref="DF221:DG221"/>
    <mergeCell ref="DF222:DG222"/>
    <mergeCell ref="DF223:DG223"/>
    <mergeCell ref="DF224:DG224"/>
    <mergeCell ref="CY216:CZ216"/>
    <mergeCell ref="CY217:CZ217"/>
    <mergeCell ref="CY218:CZ218"/>
    <mergeCell ref="CY219:CZ219"/>
    <mergeCell ref="CY220:CZ220"/>
    <mergeCell ref="CY221:CZ221"/>
    <mergeCell ref="AJ221:AK221"/>
    <mergeCell ref="H208:H209"/>
    <mergeCell ref="CY222:CZ222"/>
    <mergeCell ref="CY223:CZ223"/>
    <mergeCell ref="CY224:CZ224"/>
    <mergeCell ref="BN223:BO223"/>
    <mergeCell ref="AJ223:AK223"/>
    <mergeCell ref="Z223:AA223"/>
    <mergeCell ref="BX224:BY224"/>
    <mergeCell ref="CR220:CS220"/>
    <mergeCell ref="DY228:DZ228"/>
    <mergeCell ref="DW223:DX223"/>
    <mergeCell ref="DY223:DZ223"/>
    <mergeCell ref="DW222:DX222"/>
    <mergeCell ref="DY222:DZ222"/>
    <mergeCell ref="DW228:DX228"/>
    <mergeCell ref="DE196:DK196"/>
    <mergeCell ref="DL196:DS196"/>
    <mergeCell ref="BF226:BG226"/>
    <mergeCell ref="BF227:BG227"/>
    <mergeCell ref="BN226:BO226"/>
    <mergeCell ref="BN227:BO227"/>
    <mergeCell ref="DM217:DN217"/>
    <mergeCell ref="DM218:DN218"/>
    <mergeCell ref="DM219:DN219"/>
    <mergeCell ref="DM220:DN220"/>
    <mergeCell ref="DM221:DN221"/>
    <mergeCell ref="CR218:CS218"/>
    <mergeCell ref="CR219:CS219"/>
    <mergeCell ref="CH217:CI217"/>
    <mergeCell ref="CH218:CI218"/>
    <mergeCell ref="CH219:CI219"/>
    <mergeCell ref="CH220:CI220"/>
    <mergeCell ref="CH221:CI221"/>
    <mergeCell ref="CH222:CI222"/>
    <mergeCell ref="CH223:CI223"/>
    <mergeCell ref="CH224:CI224"/>
    <mergeCell ref="BX223:BY223"/>
    <mergeCell ref="CR222:CS222"/>
    <mergeCell ref="DE214:DK214"/>
    <mergeCell ref="U228:X228"/>
    <mergeCell ref="AI214:AR214"/>
    <mergeCell ref="DY227:DZ227"/>
    <mergeCell ref="BX226:BY226"/>
    <mergeCell ref="BX227:BY227"/>
    <mergeCell ref="BX228:BY228"/>
    <mergeCell ref="BN218:BO218"/>
    <mergeCell ref="BN219:BO219"/>
    <mergeCell ref="BN220:BO220"/>
    <mergeCell ref="BN221:BO221"/>
    <mergeCell ref="O214:X214"/>
    <mergeCell ref="Z217:AA217"/>
    <mergeCell ref="AJ220:AK220"/>
    <mergeCell ref="Z220:AA220"/>
    <mergeCell ref="DW227:DX227"/>
    <mergeCell ref="AT227:AU227"/>
    <mergeCell ref="AT228:AU228"/>
    <mergeCell ref="CH228:CI228"/>
    <mergeCell ref="CY228:CZ228"/>
    <mergeCell ref="AT219:AU219"/>
    <mergeCell ref="AT220:AU220"/>
    <mergeCell ref="AT221:AU221"/>
    <mergeCell ref="AT222:AU222"/>
    <mergeCell ref="AT223:AU223"/>
    <mergeCell ref="AT224:AU224"/>
    <mergeCell ref="AJ216:AK216"/>
    <mergeCell ref="AJ217:AK217"/>
    <mergeCell ref="AJ218:AK218"/>
    <mergeCell ref="AJ219:AK219"/>
    <mergeCell ref="AJ222:AK222"/>
    <mergeCell ref="BM172:BV172"/>
    <mergeCell ref="BN222:BO222"/>
    <mergeCell ref="BX216:BY216"/>
    <mergeCell ref="BX217:BY217"/>
    <mergeCell ref="BX218:BY218"/>
    <mergeCell ref="BX219:BY219"/>
    <mergeCell ref="BX220:BY220"/>
    <mergeCell ref="BX221:BY221"/>
    <mergeCell ref="BX222:BY222"/>
    <mergeCell ref="BF228:BG228"/>
    <mergeCell ref="AS213:BB213"/>
    <mergeCell ref="AS192:BB192"/>
    <mergeCell ref="AI196:AR196"/>
    <mergeCell ref="AS196:BB196"/>
    <mergeCell ref="N195:DS195"/>
    <mergeCell ref="DE191:DK191"/>
    <mergeCell ref="BM192:BV192"/>
    <mergeCell ref="BC196:BL196"/>
    <mergeCell ref="O191:X191"/>
    <mergeCell ref="CG213:CP213"/>
    <mergeCell ref="CG191:CP191"/>
    <mergeCell ref="CX191:DD191"/>
    <mergeCell ref="DL213:DS213"/>
    <mergeCell ref="DL214:DS214"/>
    <mergeCell ref="BW196:CF196"/>
    <mergeCell ref="AI172:AR172"/>
    <mergeCell ref="BW214:CF214"/>
    <mergeCell ref="BW191:CF191"/>
    <mergeCell ref="Y196:AH196"/>
    <mergeCell ref="N196:X196"/>
    <mergeCell ref="AE221:AH221"/>
    <mergeCell ref="Z216:AA216"/>
    <mergeCell ref="AS172:BB172"/>
    <mergeCell ref="AI192:AR192"/>
    <mergeCell ref="BC214:BL214"/>
    <mergeCell ref="O213:X213"/>
    <mergeCell ref="AI213:AR213"/>
    <mergeCell ref="Y192:AH192"/>
    <mergeCell ref="BW192:CF192"/>
    <mergeCell ref="BW213:CF213"/>
    <mergeCell ref="BM214:BV214"/>
    <mergeCell ref="O192:X192"/>
    <mergeCell ref="B204:B205"/>
    <mergeCell ref="D206:D207"/>
    <mergeCell ref="E206:E207"/>
    <mergeCell ref="M200:M201"/>
    <mergeCell ref="BM213:BV213"/>
    <mergeCell ref="E198:E199"/>
    <mergeCell ref="E182:E183"/>
    <mergeCell ref="F195:F197"/>
    <mergeCell ref="I184:I185"/>
    <mergeCell ref="G180:G181"/>
    <mergeCell ref="K171:K173"/>
    <mergeCell ref="J171:J173"/>
    <mergeCell ref="BC192:BL192"/>
    <mergeCell ref="M180:M181"/>
    <mergeCell ref="M182:M183"/>
    <mergeCell ref="H171:H173"/>
    <mergeCell ref="C171:C173"/>
    <mergeCell ref="B171:B173"/>
    <mergeCell ref="AS191:BB191"/>
    <mergeCell ref="Y172:AH172"/>
    <mergeCell ref="BW172:CF172"/>
    <mergeCell ref="BC172:BL172"/>
    <mergeCell ref="CG172:CP172"/>
    <mergeCell ref="CQ172:CW172"/>
    <mergeCell ref="DE192:DK192"/>
    <mergeCell ref="DE213:DK213"/>
    <mergeCell ref="BC213:BL213"/>
    <mergeCell ref="CX192:DD192"/>
    <mergeCell ref="DE172:DK172"/>
    <mergeCell ref="I204:I205"/>
    <mergeCell ref="CX172:DD172"/>
    <mergeCell ref="A167:G168"/>
    <mergeCell ref="M176:M177"/>
    <mergeCell ref="K212:M212"/>
    <mergeCell ref="K211:M211"/>
    <mergeCell ref="L195:L197"/>
    <mergeCell ref="I202:I203"/>
    <mergeCell ref="CQ192:CW192"/>
    <mergeCell ref="CX196:DD196"/>
    <mergeCell ref="CX213:DD213"/>
    <mergeCell ref="CQ213:CW213"/>
    <mergeCell ref="CG196:CP196"/>
    <mergeCell ref="CQ196:CW196"/>
    <mergeCell ref="B195:B197"/>
    <mergeCell ref="E171:E173"/>
    <mergeCell ref="D176:D177"/>
    <mergeCell ref="E176:E177"/>
    <mergeCell ref="M174:M175"/>
    <mergeCell ref="I176:I177"/>
    <mergeCell ref="I180:I181"/>
    <mergeCell ref="I195:I197"/>
    <mergeCell ref="G184:G185"/>
    <mergeCell ref="I178:I179"/>
    <mergeCell ref="G182:G183"/>
    <mergeCell ref="B161:B162"/>
    <mergeCell ref="C161:C162"/>
    <mergeCell ref="D161:D162"/>
    <mergeCell ref="K137:K138"/>
    <mergeCell ref="F139:F140"/>
    <mergeCell ref="G139:G140"/>
    <mergeCell ref="E133:E134"/>
    <mergeCell ref="F133:F134"/>
    <mergeCell ref="G133:G134"/>
    <mergeCell ref="E161:E162"/>
    <mergeCell ref="F161:F162"/>
    <mergeCell ref="M71:M72"/>
    <mergeCell ref="I49:I50"/>
    <mergeCell ref="J49:J50"/>
    <mergeCell ref="K49:K50"/>
    <mergeCell ref="L49:L50"/>
    <mergeCell ref="M49:M50"/>
    <mergeCell ref="H53:H54"/>
    <mergeCell ref="H51:H52"/>
    <mergeCell ref="I65:I66"/>
    <mergeCell ref="K79:K80"/>
    <mergeCell ref="H67:H68"/>
    <mergeCell ref="H59:H60"/>
    <mergeCell ref="L135:L136"/>
    <mergeCell ref="M135:M136"/>
    <mergeCell ref="I139:I140"/>
    <mergeCell ref="J139:J140"/>
    <mergeCell ref="K139:K140"/>
    <mergeCell ref="L139:L140"/>
    <mergeCell ref="M139:M140"/>
    <mergeCell ref="H137:H138"/>
    <mergeCell ref="I137:I138"/>
    <mergeCell ref="D119:D120"/>
    <mergeCell ref="E119:E120"/>
    <mergeCell ref="F119:F120"/>
    <mergeCell ref="H119:H120"/>
    <mergeCell ref="I119:I120"/>
    <mergeCell ref="J119:J120"/>
    <mergeCell ref="K119:K120"/>
    <mergeCell ref="L119:L120"/>
    <mergeCell ref="H109:H110"/>
    <mergeCell ref="I109:I110"/>
    <mergeCell ref="J167:M167"/>
    <mergeCell ref="M111:M112"/>
    <mergeCell ref="N172:X172"/>
    <mergeCell ref="L123:L124"/>
    <mergeCell ref="F137:F138"/>
    <mergeCell ref="G137:G138"/>
    <mergeCell ref="F157:F158"/>
    <mergeCell ref="L163:L164"/>
    <mergeCell ref="I171:I173"/>
    <mergeCell ref="J137:J138"/>
    <mergeCell ref="H139:H140"/>
    <mergeCell ref="H135:H136"/>
    <mergeCell ref="I135:I136"/>
    <mergeCell ref="H133:H134"/>
    <mergeCell ref="I133:I134"/>
    <mergeCell ref="K143:K144"/>
    <mergeCell ref="L143:L144"/>
    <mergeCell ref="M143:M144"/>
    <mergeCell ref="J141:J142"/>
    <mergeCell ref="K141:K142"/>
    <mergeCell ref="L141:L142"/>
    <mergeCell ref="L137:L138"/>
    <mergeCell ref="A25:A26"/>
    <mergeCell ref="B25:B26"/>
    <mergeCell ref="C25:C26"/>
    <mergeCell ref="A59:A60"/>
    <mergeCell ref="B59:B60"/>
    <mergeCell ref="A55:A56"/>
    <mergeCell ref="A131:A132"/>
    <mergeCell ref="A119:A120"/>
    <mergeCell ref="A123:A124"/>
    <mergeCell ref="B123:B124"/>
    <mergeCell ref="C123:C124"/>
    <mergeCell ref="D123:D124"/>
    <mergeCell ref="E123:E124"/>
    <mergeCell ref="F123:F124"/>
    <mergeCell ref="G123:G124"/>
    <mergeCell ref="G39:G40"/>
    <mergeCell ref="I39:I40"/>
    <mergeCell ref="G41:G42"/>
    <mergeCell ref="H41:H42"/>
    <mergeCell ref="D25:D26"/>
    <mergeCell ref="B129:B130"/>
    <mergeCell ref="A127:A128"/>
    <mergeCell ref="B127:B128"/>
    <mergeCell ref="C129:C130"/>
    <mergeCell ref="A129:A130"/>
    <mergeCell ref="D49:D50"/>
    <mergeCell ref="D47:D48"/>
    <mergeCell ref="A49:A50"/>
    <mergeCell ref="B49:B50"/>
    <mergeCell ref="A47:A48"/>
    <mergeCell ref="D33:D34"/>
    <mergeCell ref="E33:E34"/>
    <mergeCell ref="F49:F50"/>
    <mergeCell ref="G45:G46"/>
    <mergeCell ref="F65:F66"/>
    <mergeCell ref="A135:A136"/>
    <mergeCell ref="B135:B136"/>
    <mergeCell ref="C135:C136"/>
    <mergeCell ref="D135:D136"/>
    <mergeCell ref="E135:E136"/>
    <mergeCell ref="F135:F136"/>
    <mergeCell ref="G135:G136"/>
    <mergeCell ref="D157:D158"/>
    <mergeCell ref="E157:E158"/>
    <mergeCell ref="A37:A38"/>
    <mergeCell ref="F31:F32"/>
    <mergeCell ref="D31:D32"/>
    <mergeCell ref="E31:E32"/>
    <mergeCell ref="A43:A44"/>
    <mergeCell ref="B43:B44"/>
    <mergeCell ref="B47:B48"/>
    <mergeCell ref="C49:C50"/>
    <mergeCell ref="G55:G56"/>
    <mergeCell ref="C43:C44"/>
    <mergeCell ref="D43:D44"/>
    <mergeCell ref="G43:G44"/>
    <mergeCell ref="B37:B38"/>
    <mergeCell ref="C137:C138"/>
    <mergeCell ref="D137:D138"/>
    <mergeCell ref="C139:C140"/>
    <mergeCell ref="D139:D140"/>
    <mergeCell ref="E139:E140"/>
    <mergeCell ref="B119:B120"/>
    <mergeCell ref="C119:C120"/>
    <mergeCell ref="M137:M138"/>
    <mergeCell ref="G141:G142"/>
    <mergeCell ref="H141:H142"/>
    <mergeCell ref="M141:M142"/>
    <mergeCell ref="G161:G162"/>
    <mergeCell ref="H161:H162"/>
    <mergeCell ref="H167:H168"/>
    <mergeCell ref="M107:M108"/>
    <mergeCell ref="M125:M126"/>
    <mergeCell ref="H123:H124"/>
    <mergeCell ref="I123:I124"/>
    <mergeCell ref="J123:J124"/>
    <mergeCell ref="D129:D130"/>
    <mergeCell ref="J145:J146"/>
    <mergeCell ref="K145:K146"/>
    <mergeCell ref="L145:L146"/>
    <mergeCell ref="G159:G160"/>
    <mergeCell ref="H159:H160"/>
    <mergeCell ref="I159:I160"/>
    <mergeCell ref="J159:J160"/>
    <mergeCell ref="K159:K160"/>
    <mergeCell ref="J168:M168"/>
    <mergeCell ref="L113:L114"/>
    <mergeCell ref="M113:M114"/>
    <mergeCell ref="L157:L158"/>
    <mergeCell ref="G163:G164"/>
    <mergeCell ref="K109:K110"/>
    <mergeCell ref="L109:L110"/>
    <mergeCell ref="K111:K112"/>
    <mergeCell ref="D165:D166"/>
    <mergeCell ref="I163:I164"/>
    <mergeCell ref="K135:K136"/>
    <mergeCell ref="B23:B24"/>
    <mergeCell ref="B17:B18"/>
    <mergeCell ref="E165:E166"/>
    <mergeCell ref="F165:F166"/>
    <mergeCell ref="E47:E48"/>
    <mergeCell ref="C55:C56"/>
    <mergeCell ref="E49:E50"/>
    <mergeCell ref="D41:D42"/>
    <mergeCell ref="E45:E46"/>
    <mergeCell ref="F41:F42"/>
    <mergeCell ref="E41:E42"/>
    <mergeCell ref="E43:E44"/>
    <mergeCell ref="F43:F44"/>
    <mergeCell ref="F33:F34"/>
    <mergeCell ref="B41:B42"/>
    <mergeCell ref="C41:C42"/>
    <mergeCell ref="B45:B46"/>
    <mergeCell ref="C45:C46"/>
    <mergeCell ref="D37:D38"/>
    <mergeCell ref="D35:D36"/>
    <mergeCell ref="E35:E36"/>
    <mergeCell ref="B51:B52"/>
    <mergeCell ref="E51:E52"/>
    <mergeCell ref="B33:B34"/>
    <mergeCell ref="F35:F36"/>
    <mergeCell ref="C33:C34"/>
    <mergeCell ref="C47:C48"/>
    <mergeCell ref="C53:C54"/>
    <mergeCell ref="D53:D54"/>
    <mergeCell ref="C39:C40"/>
    <mergeCell ref="D39:D40"/>
    <mergeCell ref="B55:B56"/>
    <mergeCell ref="B15:B16"/>
    <mergeCell ref="C15:C16"/>
    <mergeCell ref="F9:F10"/>
    <mergeCell ref="C21:C22"/>
    <mergeCell ref="F13:F14"/>
    <mergeCell ref="F11:F12"/>
    <mergeCell ref="A7:A8"/>
    <mergeCell ref="B13:B14"/>
    <mergeCell ref="B21:B22"/>
    <mergeCell ref="D13:D14"/>
    <mergeCell ref="F19:F20"/>
    <mergeCell ref="E21:E22"/>
    <mergeCell ref="F21:F22"/>
    <mergeCell ref="E13:E14"/>
    <mergeCell ref="D11:D12"/>
    <mergeCell ref="E11:E12"/>
    <mergeCell ref="C13:C14"/>
    <mergeCell ref="B11:B12"/>
    <mergeCell ref="C11:C12"/>
    <mergeCell ref="A19:A20"/>
    <mergeCell ref="E15:E16"/>
    <mergeCell ref="C7:C8"/>
    <mergeCell ref="D15:D16"/>
    <mergeCell ref="C23:C24"/>
    <mergeCell ref="D23:D24"/>
    <mergeCell ref="E23:E24"/>
    <mergeCell ref="F25:F26"/>
    <mergeCell ref="F23:F24"/>
    <mergeCell ref="A31:A32"/>
    <mergeCell ref="B31:B32"/>
    <mergeCell ref="C4:C6"/>
    <mergeCell ref="E9:E10"/>
    <mergeCell ref="E7:E8"/>
    <mergeCell ref="D4:D6"/>
    <mergeCell ref="D7:D8"/>
    <mergeCell ref="A4:A6"/>
    <mergeCell ref="B4:B6"/>
    <mergeCell ref="B7:B8"/>
    <mergeCell ref="B9:B10"/>
    <mergeCell ref="A13:A14"/>
    <mergeCell ref="D9:D10"/>
    <mergeCell ref="C17:C18"/>
    <mergeCell ref="D17:D18"/>
    <mergeCell ref="E17:E18"/>
    <mergeCell ref="D21:D22"/>
    <mergeCell ref="F15:F16"/>
    <mergeCell ref="F17:F18"/>
    <mergeCell ref="F7:F8"/>
    <mergeCell ref="F4:F6"/>
    <mergeCell ref="E19:E20"/>
    <mergeCell ref="B19:B20"/>
    <mergeCell ref="C19:C20"/>
    <mergeCell ref="D19:D20"/>
    <mergeCell ref="A21:A22"/>
    <mergeCell ref="A15:A16"/>
    <mergeCell ref="A35:A36"/>
    <mergeCell ref="B35:B36"/>
    <mergeCell ref="C35:C36"/>
    <mergeCell ref="A45:A46"/>
    <mergeCell ref="A39:A40"/>
    <mergeCell ref="B39:B40"/>
    <mergeCell ref="F39:F40"/>
    <mergeCell ref="A41:A42"/>
    <mergeCell ref="F45:F46"/>
    <mergeCell ref="E39:E40"/>
    <mergeCell ref="B53:B54"/>
    <mergeCell ref="A9:A10"/>
    <mergeCell ref="C9:C10"/>
    <mergeCell ref="A11:A12"/>
    <mergeCell ref="A53:A54"/>
    <mergeCell ref="A17:A18"/>
    <mergeCell ref="C27:C28"/>
    <mergeCell ref="D27:D28"/>
    <mergeCell ref="C29:C30"/>
    <mergeCell ref="E25:E26"/>
    <mergeCell ref="E27:E28"/>
    <mergeCell ref="F27:F28"/>
    <mergeCell ref="B27:B28"/>
    <mergeCell ref="A27:A28"/>
    <mergeCell ref="A33:A34"/>
    <mergeCell ref="A23:A24"/>
    <mergeCell ref="E29:E30"/>
    <mergeCell ref="F29:F30"/>
    <mergeCell ref="D29:D30"/>
    <mergeCell ref="A29:A30"/>
    <mergeCell ref="B29:B30"/>
    <mergeCell ref="C31:C32"/>
    <mergeCell ref="E37:E38"/>
    <mergeCell ref="F47:F48"/>
    <mergeCell ref="C37:C38"/>
    <mergeCell ref="F51:F52"/>
    <mergeCell ref="F37:F38"/>
    <mergeCell ref="D45:D46"/>
    <mergeCell ref="H4:H6"/>
    <mergeCell ref="M11:M12"/>
    <mergeCell ref="H19:H20"/>
    <mergeCell ref="H17:H18"/>
    <mergeCell ref="H11:H12"/>
    <mergeCell ref="H15:H16"/>
    <mergeCell ref="M17:M18"/>
    <mergeCell ref="G9:G10"/>
    <mergeCell ref="H39:H40"/>
    <mergeCell ref="L51:L52"/>
    <mergeCell ref="G13:G14"/>
    <mergeCell ref="G15:G16"/>
    <mergeCell ref="G29:G30"/>
    <mergeCell ref="G47:G48"/>
    <mergeCell ref="G51:G52"/>
    <mergeCell ref="G49:G50"/>
    <mergeCell ref="G37:G38"/>
    <mergeCell ref="E4:E6"/>
    <mergeCell ref="M37:M38"/>
    <mergeCell ref="I35:I36"/>
    <mergeCell ref="G19:G20"/>
    <mergeCell ref="I19:I20"/>
    <mergeCell ref="G31:G32"/>
    <mergeCell ref="H31:H32"/>
    <mergeCell ref="G23:G24"/>
    <mergeCell ref="G4:G6"/>
    <mergeCell ref="G11:G12"/>
    <mergeCell ref="J25:J26"/>
    <mergeCell ref="K25:K26"/>
    <mergeCell ref="H13:H14"/>
    <mergeCell ref="I23:I24"/>
    <mergeCell ref="I13:I14"/>
    <mergeCell ref="I17:I18"/>
    <mergeCell ref="G25:G26"/>
    <mergeCell ref="G7:G8"/>
    <mergeCell ref="H25:H26"/>
    <mergeCell ref="I25:I26"/>
    <mergeCell ref="I29:I30"/>
    <mergeCell ref="J27:J28"/>
    <mergeCell ref="H23:H24"/>
    <mergeCell ref="I9:I10"/>
    <mergeCell ref="K4:K6"/>
    <mergeCell ref="I11:I12"/>
    <mergeCell ref="G17:G18"/>
    <mergeCell ref="G21:G22"/>
    <mergeCell ref="H21:H22"/>
    <mergeCell ref="I21:I22"/>
    <mergeCell ref="J21:J22"/>
    <mergeCell ref="K21:K22"/>
    <mergeCell ref="I4:I6"/>
    <mergeCell ref="M59:M60"/>
    <mergeCell ref="G35:G36"/>
    <mergeCell ref="M73:M74"/>
    <mergeCell ref="L69:L70"/>
    <mergeCell ref="L61:L62"/>
    <mergeCell ref="K67:K68"/>
    <mergeCell ref="I27:I28"/>
    <mergeCell ref="I33:I34"/>
    <mergeCell ref="L65:L66"/>
    <mergeCell ref="K45:K46"/>
    <mergeCell ref="J29:J30"/>
    <mergeCell ref="K29:K30"/>
    <mergeCell ref="I53:I54"/>
    <mergeCell ref="L37:L38"/>
    <mergeCell ref="I41:I42"/>
    <mergeCell ref="J41:J42"/>
    <mergeCell ref="K41:K42"/>
    <mergeCell ref="J43:J44"/>
    <mergeCell ref="K31:K32"/>
    <mergeCell ref="L31:L32"/>
    <mergeCell ref="M31:M32"/>
    <mergeCell ref="K65:K66"/>
    <mergeCell ref="K61:K62"/>
    <mergeCell ref="J51:J52"/>
    <mergeCell ref="K51:K52"/>
    <mergeCell ref="M41:M42"/>
    <mergeCell ref="J57:J58"/>
    <mergeCell ref="I59:I60"/>
    <mergeCell ref="I37:I38"/>
    <mergeCell ref="K27:K28"/>
    <mergeCell ref="M27:M28"/>
    <mergeCell ref="G27:G28"/>
    <mergeCell ref="L23:L24"/>
    <mergeCell ref="J75:J76"/>
    <mergeCell ref="I71:I72"/>
    <mergeCell ref="M15:M16"/>
    <mergeCell ref="M23:M24"/>
    <mergeCell ref="M7:M8"/>
    <mergeCell ref="H45:H46"/>
    <mergeCell ref="I31:I32"/>
    <mergeCell ref="H61:H62"/>
    <mergeCell ref="I61:I62"/>
    <mergeCell ref="J45:J46"/>
    <mergeCell ref="L47:L48"/>
    <mergeCell ref="J35:J36"/>
    <mergeCell ref="I43:I44"/>
    <mergeCell ref="M43:M44"/>
    <mergeCell ref="K39:K40"/>
    <mergeCell ref="L39:L40"/>
    <mergeCell ref="M39:M40"/>
    <mergeCell ref="M35:M36"/>
    <mergeCell ref="J37:J38"/>
    <mergeCell ref="K37:K38"/>
    <mergeCell ref="I47:I48"/>
    <mergeCell ref="H27:H28"/>
    <mergeCell ref="H33:H34"/>
    <mergeCell ref="H35:H36"/>
    <mergeCell ref="M45:M46"/>
    <mergeCell ref="M53:M54"/>
    <mergeCell ref="L59:L60"/>
    <mergeCell ref="K47:K48"/>
    <mergeCell ref="H43:H44"/>
    <mergeCell ref="H49:H50"/>
    <mergeCell ref="M57:M58"/>
    <mergeCell ref="AS5:BB5"/>
    <mergeCell ref="BW5:CF5"/>
    <mergeCell ref="M51:M52"/>
    <mergeCell ref="M13:M14"/>
    <mergeCell ref="M19:M20"/>
    <mergeCell ref="BC5:BL5"/>
    <mergeCell ref="BM5:BV5"/>
    <mergeCell ref="I55:I56"/>
    <mergeCell ref="M75:M76"/>
    <mergeCell ref="M67:M68"/>
    <mergeCell ref="K57:K58"/>
    <mergeCell ref="M61:M62"/>
    <mergeCell ref="M65:M66"/>
    <mergeCell ref="M69:M70"/>
    <mergeCell ref="J73:J74"/>
    <mergeCell ref="M9:M10"/>
    <mergeCell ref="M33:M34"/>
    <mergeCell ref="L55:L56"/>
    <mergeCell ref="J33:J34"/>
    <mergeCell ref="M25:M26"/>
    <mergeCell ref="K33:K34"/>
    <mergeCell ref="Y5:AH5"/>
    <mergeCell ref="AI5:AR5"/>
    <mergeCell ref="K43:K44"/>
    <mergeCell ref="L43:L44"/>
    <mergeCell ref="L45:L46"/>
    <mergeCell ref="J39:J40"/>
    <mergeCell ref="I45:I46"/>
    <mergeCell ref="L67:L68"/>
    <mergeCell ref="L21:L22"/>
    <mergeCell ref="L27:L28"/>
    <mergeCell ref="K23:K24"/>
    <mergeCell ref="H89:H90"/>
    <mergeCell ref="M81:M82"/>
    <mergeCell ref="L79:L80"/>
    <mergeCell ref="K75:K76"/>
    <mergeCell ref="M79:M80"/>
    <mergeCell ref="J77:J78"/>
    <mergeCell ref="DE5:DK5"/>
    <mergeCell ref="DL5:DS5"/>
    <mergeCell ref="L25:L26"/>
    <mergeCell ref="L57:L58"/>
    <mergeCell ref="I63:I64"/>
    <mergeCell ref="H55:H56"/>
    <mergeCell ref="M4:M6"/>
    <mergeCell ref="H47:H48"/>
    <mergeCell ref="CG5:CP5"/>
    <mergeCell ref="CQ5:CW5"/>
    <mergeCell ref="O5:X5"/>
    <mergeCell ref="I15:I16"/>
    <mergeCell ref="J61:J62"/>
    <mergeCell ref="K55:K56"/>
    <mergeCell ref="J53:J54"/>
    <mergeCell ref="L4:L6"/>
    <mergeCell ref="J23:J24"/>
    <mergeCell ref="I7:I8"/>
    <mergeCell ref="H7:H8"/>
    <mergeCell ref="H9:H10"/>
    <mergeCell ref="J4:J6"/>
    <mergeCell ref="M21:M22"/>
    <mergeCell ref="H29:H30"/>
    <mergeCell ref="N4:DS4"/>
    <mergeCell ref="CX5:DD5"/>
    <mergeCell ref="K35:K36"/>
    <mergeCell ref="I103:I104"/>
    <mergeCell ref="M91:M92"/>
    <mergeCell ref="K85:K86"/>
    <mergeCell ref="F59:F60"/>
    <mergeCell ref="L101:L102"/>
    <mergeCell ref="I97:I98"/>
    <mergeCell ref="M85:M86"/>
    <mergeCell ref="M89:M90"/>
    <mergeCell ref="L33:L34"/>
    <mergeCell ref="L41:L42"/>
    <mergeCell ref="H37:H38"/>
    <mergeCell ref="L63:L64"/>
    <mergeCell ref="M63:M64"/>
    <mergeCell ref="L35:L36"/>
    <mergeCell ref="M55:M56"/>
    <mergeCell ref="M47:M48"/>
    <mergeCell ref="K53:K54"/>
    <mergeCell ref="L53:L54"/>
    <mergeCell ref="J79:J80"/>
    <mergeCell ref="K73:K74"/>
    <mergeCell ref="L73:L74"/>
    <mergeCell ref="I75:I76"/>
    <mergeCell ref="I83:I84"/>
    <mergeCell ref="H83:H84"/>
    <mergeCell ref="H71:H72"/>
    <mergeCell ref="I79:I80"/>
    <mergeCell ref="H77:H78"/>
    <mergeCell ref="I77:I78"/>
    <mergeCell ref="M77:M78"/>
    <mergeCell ref="M83:M84"/>
    <mergeCell ref="L85:L86"/>
    <mergeCell ref="K59:K60"/>
    <mergeCell ref="G33:G34"/>
    <mergeCell ref="J69:J70"/>
    <mergeCell ref="L75:L76"/>
    <mergeCell ref="J81:J82"/>
    <mergeCell ref="L81:L82"/>
    <mergeCell ref="I89:I90"/>
    <mergeCell ref="M87:M88"/>
    <mergeCell ref="J55:J56"/>
    <mergeCell ref="I51:I52"/>
    <mergeCell ref="J47:J48"/>
    <mergeCell ref="B79:B80"/>
    <mergeCell ref="D127:D128"/>
    <mergeCell ref="E127:E128"/>
    <mergeCell ref="F127:F128"/>
    <mergeCell ref="H127:H128"/>
    <mergeCell ref="I127:I128"/>
    <mergeCell ref="J127:J128"/>
    <mergeCell ref="K127:K128"/>
    <mergeCell ref="L127:L128"/>
    <mergeCell ref="G127:G128"/>
    <mergeCell ref="F125:F126"/>
    <mergeCell ref="B111:B112"/>
    <mergeCell ref="C111:C112"/>
    <mergeCell ref="D111:D112"/>
    <mergeCell ref="B113:B114"/>
    <mergeCell ref="G115:G116"/>
    <mergeCell ref="B91:B92"/>
    <mergeCell ref="G117:G118"/>
    <mergeCell ref="H117:H118"/>
    <mergeCell ref="K95:K96"/>
    <mergeCell ref="G103:G104"/>
    <mergeCell ref="H103:H104"/>
    <mergeCell ref="H95:H96"/>
    <mergeCell ref="G101:G102"/>
    <mergeCell ref="B117:B118"/>
    <mergeCell ref="D93:D94"/>
    <mergeCell ref="D103:D104"/>
    <mergeCell ref="C103:C104"/>
    <mergeCell ref="I105:I106"/>
    <mergeCell ref="I95:I96"/>
    <mergeCell ref="L105:L106"/>
    <mergeCell ref="J109:J110"/>
    <mergeCell ref="L29:L30"/>
    <mergeCell ref="J31:J32"/>
    <mergeCell ref="J59:J60"/>
    <mergeCell ref="I85:I86"/>
    <mergeCell ref="K77:K78"/>
    <mergeCell ref="L77:L78"/>
    <mergeCell ref="L71:L72"/>
    <mergeCell ref="L87:L88"/>
    <mergeCell ref="G91:G92"/>
    <mergeCell ref="J99:J100"/>
    <mergeCell ref="K99:K100"/>
    <mergeCell ref="G107:G108"/>
    <mergeCell ref="J87:J88"/>
    <mergeCell ref="H91:H92"/>
    <mergeCell ref="K93:K94"/>
    <mergeCell ref="J91:J92"/>
    <mergeCell ref="L91:L92"/>
    <mergeCell ref="J85:J86"/>
    <mergeCell ref="J71:J72"/>
    <mergeCell ref="J89:J90"/>
    <mergeCell ref="K89:K90"/>
    <mergeCell ref="L89:L90"/>
    <mergeCell ref="A109:A110"/>
    <mergeCell ref="B109:B110"/>
    <mergeCell ref="C81:C82"/>
    <mergeCell ref="C83:C84"/>
    <mergeCell ref="E83:E84"/>
    <mergeCell ref="C77:C78"/>
    <mergeCell ref="B107:B108"/>
    <mergeCell ref="E117:E118"/>
    <mergeCell ref="F91:F92"/>
    <mergeCell ref="D113:D114"/>
    <mergeCell ref="B103:B104"/>
    <mergeCell ref="B115:B116"/>
    <mergeCell ref="C115:C116"/>
    <mergeCell ref="D115:D116"/>
    <mergeCell ref="I115:I116"/>
    <mergeCell ref="A107:A108"/>
    <mergeCell ref="E109:E110"/>
    <mergeCell ref="F109:F110"/>
    <mergeCell ref="F95:F96"/>
    <mergeCell ref="D105:D106"/>
    <mergeCell ref="G105:G106"/>
    <mergeCell ref="C105:C106"/>
    <mergeCell ref="F105:F106"/>
    <mergeCell ref="D99:D100"/>
    <mergeCell ref="D95:D96"/>
    <mergeCell ref="H97:H98"/>
    <mergeCell ref="A111:A112"/>
    <mergeCell ref="A117:A118"/>
    <mergeCell ref="A103:A104"/>
    <mergeCell ref="A113:A114"/>
    <mergeCell ref="I91:I92"/>
    <mergeCell ref="I101:I102"/>
    <mergeCell ref="C117:C118"/>
    <mergeCell ref="D117:D118"/>
    <mergeCell ref="C97:C98"/>
    <mergeCell ref="F107:F108"/>
    <mergeCell ref="C107:C108"/>
    <mergeCell ref="C87:C88"/>
    <mergeCell ref="D87:D88"/>
    <mergeCell ref="F81:F82"/>
    <mergeCell ref="D85:D86"/>
    <mergeCell ref="F73:F74"/>
    <mergeCell ref="B89:B90"/>
    <mergeCell ref="D89:D90"/>
    <mergeCell ref="E85:E86"/>
    <mergeCell ref="E87:E88"/>
    <mergeCell ref="F87:F88"/>
    <mergeCell ref="E113:E114"/>
    <mergeCell ref="F113:F114"/>
    <mergeCell ref="C59:C60"/>
    <mergeCell ref="D73:D74"/>
    <mergeCell ref="D67:D68"/>
    <mergeCell ref="A87:A88"/>
    <mergeCell ref="A95:A96"/>
    <mergeCell ref="C99:C100"/>
    <mergeCell ref="K71:K72"/>
    <mergeCell ref="B67:B68"/>
    <mergeCell ref="E67:E68"/>
    <mergeCell ref="K91:K92"/>
    <mergeCell ref="G87:G88"/>
    <mergeCell ref="H87:H88"/>
    <mergeCell ref="K87:K88"/>
    <mergeCell ref="E61:E62"/>
    <mergeCell ref="G77:G78"/>
    <mergeCell ref="B63:B64"/>
    <mergeCell ref="B87:B88"/>
    <mergeCell ref="G97:G98"/>
    <mergeCell ref="E95:E96"/>
    <mergeCell ref="E79:E80"/>
    <mergeCell ref="H81:H82"/>
    <mergeCell ref="H75:H76"/>
    <mergeCell ref="H79:H80"/>
    <mergeCell ref="F89:F90"/>
    <mergeCell ref="K81:K82"/>
    <mergeCell ref="G75:G76"/>
    <mergeCell ref="A63:A64"/>
    <mergeCell ref="G83:G84"/>
    <mergeCell ref="H73:H74"/>
    <mergeCell ref="I81:I82"/>
    <mergeCell ref="I87:I88"/>
    <mergeCell ref="H85:H86"/>
    <mergeCell ref="F61:F62"/>
    <mergeCell ref="J63:J64"/>
    <mergeCell ref="K63:K64"/>
    <mergeCell ref="I73:I74"/>
    <mergeCell ref="C69:C70"/>
    <mergeCell ref="F85:F86"/>
    <mergeCell ref="C75:C76"/>
    <mergeCell ref="F83:F84"/>
    <mergeCell ref="F75:F76"/>
    <mergeCell ref="G73:G74"/>
    <mergeCell ref="J67:J68"/>
    <mergeCell ref="H69:H70"/>
    <mergeCell ref="G71:G72"/>
    <mergeCell ref="C65:C66"/>
    <mergeCell ref="D65:D66"/>
    <mergeCell ref="E65:E66"/>
    <mergeCell ref="F63:F64"/>
    <mergeCell ref="C61:C62"/>
    <mergeCell ref="G63:G64"/>
    <mergeCell ref="K69:K70"/>
    <mergeCell ref="C63:C64"/>
    <mergeCell ref="C67:C68"/>
    <mergeCell ref="J83:J84"/>
    <mergeCell ref="K83:K84"/>
    <mergeCell ref="E75:E76"/>
    <mergeCell ref="F77:F78"/>
    <mergeCell ref="I67:I68"/>
    <mergeCell ref="L83:L84"/>
    <mergeCell ref="G81:G82"/>
    <mergeCell ref="F71:F72"/>
    <mergeCell ref="C89:C90"/>
    <mergeCell ref="G57:G58"/>
    <mergeCell ref="H57:H58"/>
    <mergeCell ref="I57:I58"/>
    <mergeCell ref="J65:J66"/>
    <mergeCell ref="E69:E70"/>
    <mergeCell ref="F69:F70"/>
    <mergeCell ref="E53:E54"/>
    <mergeCell ref="F53:F54"/>
    <mergeCell ref="I69:I70"/>
    <mergeCell ref="D69:D70"/>
    <mergeCell ref="H63:H64"/>
    <mergeCell ref="H65:H66"/>
    <mergeCell ref="G67:G68"/>
    <mergeCell ref="D63:D64"/>
    <mergeCell ref="E63:E64"/>
    <mergeCell ref="G65:G66"/>
    <mergeCell ref="G69:G70"/>
    <mergeCell ref="F67:F68"/>
    <mergeCell ref="G59:G60"/>
    <mergeCell ref="F57:F58"/>
    <mergeCell ref="D57:D58"/>
    <mergeCell ref="E57:E58"/>
    <mergeCell ref="F55:F56"/>
    <mergeCell ref="D59:D60"/>
    <mergeCell ref="E59:E60"/>
    <mergeCell ref="D55:D56"/>
    <mergeCell ref="E55:E56"/>
    <mergeCell ref="G61:G62"/>
    <mergeCell ref="G53:G54"/>
    <mergeCell ref="D51:D52"/>
    <mergeCell ref="D61:D62"/>
    <mergeCell ref="A67:A68"/>
    <mergeCell ref="D79:D80"/>
    <mergeCell ref="C71:C72"/>
    <mergeCell ref="B81:B82"/>
    <mergeCell ref="D77:D78"/>
    <mergeCell ref="C51:C52"/>
    <mergeCell ref="B57:B58"/>
    <mergeCell ref="C57:C58"/>
    <mergeCell ref="A51:A52"/>
    <mergeCell ref="A57:A58"/>
    <mergeCell ref="B77:B78"/>
    <mergeCell ref="E81:E82"/>
    <mergeCell ref="A79:A80"/>
    <mergeCell ref="E71:E72"/>
    <mergeCell ref="A81:A82"/>
    <mergeCell ref="A71:A72"/>
    <mergeCell ref="A77:A78"/>
    <mergeCell ref="B69:B70"/>
    <mergeCell ref="D71:D72"/>
    <mergeCell ref="E73:E74"/>
    <mergeCell ref="B71:B72"/>
    <mergeCell ref="B75:B76"/>
    <mergeCell ref="A65:A66"/>
    <mergeCell ref="B65:B66"/>
    <mergeCell ref="A61:A62"/>
    <mergeCell ref="A69:A70"/>
    <mergeCell ref="C79:C80"/>
    <mergeCell ref="F79:F80"/>
    <mergeCell ref="C73:C74"/>
    <mergeCell ref="A83:A84"/>
    <mergeCell ref="A89:A90"/>
    <mergeCell ref="E101:E102"/>
    <mergeCell ref="A75:A76"/>
    <mergeCell ref="B83:B84"/>
    <mergeCell ref="F101:F102"/>
    <mergeCell ref="B85:B86"/>
    <mergeCell ref="A85:A86"/>
    <mergeCell ref="A73:A74"/>
    <mergeCell ref="B95:B96"/>
    <mergeCell ref="C95:C96"/>
    <mergeCell ref="E89:E90"/>
    <mergeCell ref="B97:B98"/>
    <mergeCell ref="B101:B102"/>
    <mergeCell ref="C101:C102"/>
    <mergeCell ref="C93:C94"/>
    <mergeCell ref="D83:D84"/>
    <mergeCell ref="D91:D92"/>
    <mergeCell ref="C91:C92"/>
    <mergeCell ref="D75:D76"/>
    <mergeCell ref="A97:A98"/>
    <mergeCell ref="A93:A94"/>
    <mergeCell ref="E99:E100"/>
    <mergeCell ref="E91:E92"/>
    <mergeCell ref="A101:A102"/>
    <mergeCell ref="A91:A92"/>
    <mergeCell ref="B73:B74"/>
    <mergeCell ref="A99:A100"/>
    <mergeCell ref="B61:B62"/>
    <mergeCell ref="G89:G90"/>
    <mergeCell ref="G79:G80"/>
    <mergeCell ref="G85:G86"/>
    <mergeCell ref="E77:E78"/>
    <mergeCell ref="C85:C86"/>
    <mergeCell ref="D81:D82"/>
    <mergeCell ref="B157:B158"/>
    <mergeCell ref="C157:C158"/>
    <mergeCell ref="G171:G173"/>
    <mergeCell ref="E174:E175"/>
    <mergeCell ref="F174:F175"/>
    <mergeCell ref="G174:G175"/>
    <mergeCell ref="E129:E130"/>
    <mergeCell ref="F129:F130"/>
    <mergeCell ref="F117:F118"/>
    <mergeCell ref="E107:E108"/>
    <mergeCell ref="B93:B94"/>
    <mergeCell ref="B99:B100"/>
    <mergeCell ref="E105:E106"/>
    <mergeCell ref="D97:D98"/>
    <mergeCell ref="E97:E98"/>
    <mergeCell ref="D101:D102"/>
    <mergeCell ref="F97:F98"/>
    <mergeCell ref="F99:F100"/>
    <mergeCell ref="E93:E94"/>
    <mergeCell ref="F93:F94"/>
    <mergeCell ref="B105:B106"/>
    <mergeCell ref="G95:G96"/>
    <mergeCell ref="G93:G94"/>
    <mergeCell ref="C113:C114"/>
    <mergeCell ref="C125:C126"/>
    <mergeCell ref="J101:J102"/>
    <mergeCell ref="J105:J106"/>
    <mergeCell ref="K105:K106"/>
    <mergeCell ref="G109:G110"/>
    <mergeCell ref="G113:G114"/>
    <mergeCell ref="E121:E122"/>
    <mergeCell ref="F121:F122"/>
    <mergeCell ref="F111:F112"/>
    <mergeCell ref="E115:E116"/>
    <mergeCell ref="F115:F116"/>
    <mergeCell ref="E103:E104"/>
    <mergeCell ref="F103:F104"/>
    <mergeCell ref="J163:J164"/>
    <mergeCell ref="K163:K164"/>
    <mergeCell ref="K157:K158"/>
    <mergeCell ref="G111:G112"/>
    <mergeCell ref="H157:H158"/>
    <mergeCell ref="H125:H126"/>
    <mergeCell ref="I125:I126"/>
    <mergeCell ref="J125:J126"/>
    <mergeCell ref="K125:K126"/>
    <mergeCell ref="K113:K114"/>
    <mergeCell ref="K123:K124"/>
    <mergeCell ref="J133:J134"/>
    <mergeCell ref="J115:J116"/>
    <mergeCell ref="K115:K116"/>
    <mergeCell ref="I117:I118"/>
    <mergeCell ref="I121:I122"/>
    <mergeCell ref="J121:J122"/>
    <mergeCell ref="K121:K122"/>
    <mergeCell ref="J103:J104"/>
    <mergeCell ref="I131:I132"/>
    <mergeCell ref="J131:J132"/>
    <mergeCell ref="K131:K132"/>
    <mergeCell ref="H113:H114"/>
    <mergeCell ref="K133:K134"/>
    <mergeCell ref="L133:L134"/>
    <mergeCell ref="J111:J112"/>
    <mergeCell ref="H121:H122"/>
    <mergeCell ref="H101:H102"/>
    <mergeCell ref="H105:H106"/>
    <mergeCell ref="J93:J94"/>
    <mergeCell ref="K97:K98"/>
    <mergeCell ref="D125:D126"/>
    <mergeCell ref="E125:E126"/>
    <mergeCell ref="G121:G122"/>
    <mergeCell ref="G125:G126"/>
    <mergeCell ref="C121:C122"/>
    <mergeCell ref="D121:D122"/>
    <mergeCell ref="G129:G130"/>
    <mergeCell ref="H129:H130"/>
    <mergeCell ref="I129:I130"/>
    <mergeCell ref="J129:J130"/>
    <mergeCell ref="K129:K130"/>
    <mergeCell ref="L129:L130"/>
    <mergeCell ref="G131:G132"/>
    <mergeCell ref="L131:L132"/>
    <mergeCell ref="L125:L126"/>
    <mergeCell ref="L115:L116"/>
    <mergeCell ref="L121:L122"/>
    <mergeCell ref="C109:C110"/>
    <mergeCell ref="D109:D110"/>
    <mergeCell ref="K103:K104"/>
    <mergeCell ref="H111:H112"/>
    <mergeCell ref="I111:I112"/>
    <mergeCell ref="J117:J118"/>
    <mergeCell ref="I113:I114"/>
    <mergeCell ref="J113:J114"/>
    <mergeCell ref="H115:H116"/>
    <mergeCell ref="M103:M104"/>
    <mergeCell ref="G99:G100"/>
    <mergeCell ref="M115:M116"/>
    <mergeCell ref="M119:M120"/>
    <mergeCell ref="G119:G120"/>
    <mergeCell ref="M93:M94"/>
    <mergeCell ref="M105:M106"/>
    <mergeCell ref="M117:M118"/>
    <mergeCell ref="H107:H108"/>
    <mergeCell ref="I107:I108"/>
    <mergeCell ref="J107:J108"/>
    <mergeCell ref="K107:K108"/>
    <mergeCell ref="L107:L108"/>
    <mergeCell ref="M99:M100"/>
    <mergeCell ref="H99:H100"/>
    <mergeCell ref="I99:I100"/>
    <mergeCell ref="L93:L94"/>
    <mergeCell ref="J97:J98"/>
    <mergeCell ref="L103:L104"/>
    <mergeCell ref="J95:J96"/>
    <mergeCell ref="H93:H94"/>
    <mergeCell ref="I93:I94"/>
    <mergeCell ref="L111:L112"/>
    <mergeCell ref="L95:L96"/>
    <mergeCell ref="L99:L100"/>
    <mergeCell ref="K101:K102"/>
    <mergeCell ref="M95:M96"/>
    <mergeCell ref="A125:A126"/>
    <mergeCell ref="B125:B126"/>
    <mergeCell ref="A105:A106"/>
    <mergeCell ref="A115:A116"/>
    <mergeCell ref="E111:E112"/>
    <mergeCell ref="A121:A122"/>
    <mergeCell ref="B121:B122"/>
    <mergeCell ref="D107:D108"/>
    <mergeCell ref="J135:J136"/>
    <mergeCell ref="Z251:AA251"/>
    <mergeCell ref="P222:Q222"/>
    <mergeCell ref="L159:L160"/>
    <mergeCell ref="K117:K118"/>
    <mergeCell ref="L117:L118"/>
    <mergeCell ref="L171:L173"/>
    <mergeCell ref="I157:I158"/>
    <mergeCell ref="J157:J158"/>
    <mergeCell ref="N171:DS171"/>
    <mergeCell ref="DL172:DS172"/>
    <mergeCell ref="DL191:DS191"/>
    <mergeCell ref="CG214:CP214"/>
    <mergeCell ref="CQ214:CW214"/>
    <mergeCell ref="DL192:DS192"/>
    <mergeCell ref="CQ191:CW191"/>
    <mergeCell ref="CG192:CP192"/>
    <mergeCell ref="CY236:CZ236"/>
    <mergeCell ref="CY237:CZ237"/>
    <mergeCell ref="CY238:CZ238"/>
    <mergeCell ref="CY239:CZ239"/>
    <mergeCell ref="CY240:CZ240"/>
    <mergeCell ref="CY241:CZ241"/>
    <mergeCell ref="CY242:CZ242"/>
    <mergeCell ref="M123:M124"/>
    <mergeCell ref="M121:M122"/>
    <mergeCell ref="M129:M130"/>
    <mergeCell ref="M184:M185"/>
    <mergeCell ref="J186:M186"/>
    <mergeCell ref="J187:M187"/>
    <mergeCell ref="U227:X227"/>
    <mergeCell ref="M202:M203"/>
    <mergeCell ref="M204:M205"/>
    <mergeCell ref="Z244:AA244"/>
    <mergeCell ref="P244:Q244"/>
    <mergeCell ref="M97:M98"/>
    <mergeCell ref="M101:M102"/>
    <mergeCell ref="M157:M158"/>
    <mergeCell ref="M159:M160"/>
    <mergeCell ref="M171:M173"/>
    <mergeCell ref="Z221:AA221"/>
    <mergeCell ref="Z222:AA222"/>
    <mergeCell ref="Z218:AA218"/>
    <mergeCell ref="Z219:AA219"/>
    <mergeCell ref="P219:Q219"/>
    <mergeCell ref="P220:Q220"/>
    <mergeCell ref="P221:Q221"/>
    <mergeCell ref="P216:Q216"/>
    <mergeCell ref="P217:Q217"/>
    <mergeCell ref="P218:Q218"/>
    <mergeCell ref="P226:Q226"/>
    <mergeCell ref="M163:M164"/>
    <mergeCell ref="M145:M146"/>
    <mergeCell ref="Z224:AA224"/>
    <mergeCell ref="M109:M110"/>
    <mergeCell ref="L97:L98"/>
    <mergeCell ref="BN264:BO264"/>
    <mergeCell ref="BN228:BO228"/>
    <mergeCell ref="BN229:BO229"/>
    <mergeCell ref="BN230:BO230"/>
    <mergeCell ref="BN231:BO231"/>
    <mergeCell ref="BN232:BO232"/>
    <mergeCell ref="BN233:BO233"/>
    <mergeCell ref="BN234:BO234"/>
    <mergeCell ref="BN236:BO236"/>
    <mergeCell ref="BN237:BO237"/>
    <mergeCell ref="BN238:BO238"/>
    <mergeCell ref="BN239:BO239"/>
    <mergeCell ref="BN240:BO240"/>
    <mergeCell ref="BN241:BO241"/>
    <mergeCell ref="BN242:BO242"/>
    <mergeCell ref="BN243:BO243"/>
    <mergeCell ref="BN244:BO244"/>
    <mergeCell ref="BN246:BO246"/>
    <mergeCell ref="BN247:BO247"/>
    <mergeCell ref="BN248:BO248"/>
    <mergeCell ref="BN249:BO249"/>
    <mergeCell ref="BN260:BO260"/>
    <mergeCell ref="BN262:BO262"/>
    <mergeCell ref="BN254:BO254"/>
    <mergeCell ref="BN256:BO256"/>
    <mergeCell ref="BN257:BO257"/>
    <mergeCell ref="BN263:BO263"/>
    <mergeCell ref="BN258:BO258"/>
    <mergeCell ref="BN259:BO259"/>
    <mergeCell ref="BN261:BO261"/>
    <mergeCell ref="BN250:BO250"/>
    <mergeCell ref="BN251:BO251"/>
    <mergeCell ref="M131:M132"/>
    <mergeCell ref="M133:M134"/>
    <mergeCell ref="M127:M128"/>
    <mergeCell ref="M29:M30"/>
    <mergeCell ref="BX272:BY272"/>
    <mergeCell ref="BX273:BY273"/>
    <mergeCell ref="BX274:BY274"/>
    <mergeCell ref="BX254:BY254"/>
    <mergeCell ref="BX236:BY236"/>
    <mergeCell ref="BX237:BY237"/>
    <mergeCell ref="BX238:BY238"/>
    <mergeCell ref="BX239:BY239"/>
    <mergeCell ref="BX240:BY240"/>
    <mergeCell ref="BX241:BY241"/>
    <mergeCell ref="BX242:BY242"/>
    <mergeCell ref="BX243:BY243"/>
    <mergeCell ref="BX244:BY244"/>
    <mergeCell ref="BX256:BY256"/>
    <mergeCell ref="BX257:BY257"/>
    <mergeCell ref="BX258:BY258"/>
    <mergeCell ref="BX259:BY259"/>
    <mergeCell ref="BX260:BY260"/>
    <mergeCell ref="BX261:BY261"/>
    <mergeCell ref="BX262:BY262"/>
    <mergeCell ref="BX263:BY263"/>
    <mergeCell ref="BX264:BY264"/>
    <mergeCell ref="BX249:BY249"/>
    <mergeCell ref="BX250:BY250"/>
    <mergeCell ref="BX251:BY251"/>
    <mergeCell ref="BX252:BY252"/>
    <mergeCell ref="BX266:BY266"/>
    <mergeCell ref="BX267:BY267"/>
    <mergeCell ref="CH244:CI244"/>
    <mergeCell ref="CH256:CI256"/>
    <mergeCell ref="CH257:CI257"/>
    <mergeCell ref="CH258:CI258"/>
    <mergeCell ref="CH259:CI259"/>
    <mergeCell ref="CH260:CI260"/>
    <mergeCell ref="CH247:CI247"/>
    <mergeCell ref="CH248:CI248"/>
    <mergeCell ref="CH249:CI249"/>
    <mergeCell ref="CH250:CI250"/>
    <mergeCell ref="CH246:CI246"/>
    <mergeCell ref="CR248:CS248"/>
    <mergeCell ref="CR252:CS252"/>
    <mergeCell ref="CR253:CS253"/>
    <mergeCell ref="CR254:CS254"/>
    <mergeCell ref="CR247:CS247"/>
    <mergeCell ref="CH251:CI251"/>
    <mergeCell ref="CH252:CI252"/>
    <mergeCell ref="CH253:CI253"/>
    <mergeCell ref="CH254:CI254"/>
    <mergeCell ref="DF251:DG251"/>
    <mergeCell ref="DF252:DG252"/>
    <mergeCell ref="DF253:DG253"/>
    <mergeCell ref="DF254:DG254"/>
    <mergeCell ref="BX268:BY268"/>
    <mergeCell ref="BX269:BY269"/>
    <mergeCell ref="BX270:BY270"/>
    <mergeCell ref="BX271:BY271"/>
    <mergeCell ref="CH264:CI264"/>
    <mergeCell ref="CR256:CS256"/>
    <mergeCell ref="CR257:CS257"/>
    <mergeCell ref="CR258:CS258"/>
    <mergeCell ref="CR259:CS259"/>
    <mergeCell ref="CR260:CS260"/>
    <mergeCell ref="CR261:CS261"/>
    <mergeCell ref="CR262:CS262"/>
    <mergeCell ref="CR263:CS263"/>
    <mergeCell ref="CR264:CS264"/>
    <mergeCell ref="BX253:BY253"/>
    <mergeCell ref="CH261:CI261"/>
    <mergeCell ref="CH262:CI262"/>
    <mergeCell ref="CH263:CI263"/>
  </mergeCells>
  <phoneticPr fontId="2"/>
  <dataValidations count="2">
    <dataValidation type="list" allowBlank="1" showInputMessage="1" showErrorMessage="1" sqref="C174:C185 C198:C207 C7:C166" xr:uid="{00000000-0002-0000-0200-000000000000}">
      <formula1>Division</formula1>
    </dataValidation>
    <dataValidation type="list" allowBlank="1" showInputMessage="1" showErrorMessage="1" sqref="B198:B207 B174:B185 B59:B65 B75:B77 B13:B57 B67 B69:B71 B79 B7:B11 B73 B81 B83:B166" xr:uid="{00000000-0002-0000-0200-000001000000}">
      <formula1>Status</formula1>
    </dataValidation>
  </dataValidations>
  <hyperlinks>
    <hyperlink ref="G206:G207" location="休暇!A1" display="休暇" xr:uid="{00000000-0004-0000-0200-000000000000}"/>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42"/>
  <sheetViews>
    <sheetView tabSelected="1" zoomScale="85" zoomScaleNormal="85" workbookViewId="0">
      <pane xSplit="5" ySplit="4" topLeftCell="F12" activePane="bottomRight" state="frozen"/>
      <selection pane="topRight" activeCell="F1" sqref="F1"/>
      <selection pane="bottomLeft" activeCell="A5" sqref="A5"/>
      <selection pane="bottomRight"/>
    </sheetView>
  </sheetViews>
  <sheetFormatPr defaultColWidth="9" defaultRowHeight="20.100000000000001" customHeight="1" outlineLevelRow="1" x14ac:dyDescent="0.4"/>
  <cols>
    <col min="1" max="2" width="6.25" style="1" customWidth="1"/>
    <col min="3" max="4" width="9" style="1"/>
    <col min="5" max="5" width="33.875" style="1" customWidth="1"/>
    <col min="6" max="6" width="59" style="1" bestFit="1" customWidth="1"/>
    <col min="7" max="7" width="56.75" style="1" bestFit="1" customWidth="1"/>
    <col min="8" max="8" width="12.75" style="1" bestFit="1" customWidth="1"/>
    <col min="9" max="9" width="55.5" style="201" customWidth="1"/>
    <col min="10" max="10" width="9" style="1" customWidth="1"/>
    <col min="11" max="16384" width="9" style="1"/>
  </cols>
  <sheetData>
    <row r="1" spans="1:9" ht="30" customHeight="1" x14ac:dyDescent="0.4">
      <c r="A1" s="25" t="s">
        <v>33</v>
      </c>
      <c r="B1" s="25"/>
    </row>
    <row r="2" spans="1:9" ht="5.0999999999999996" customHeight="1" x14ac:dyDescent="0.4"/>
    <row r="3" spans="1:9" ht="31.5" customHeight="1" x14ac:dyDescent="0.4">
      <c r="A3" s="473" t="s">
        <v>0</v>
      </c>
      <c r="B3" s="487" t="s">
        <v>157</v>
      </c>
      <c r="C3" s="487" t="s">
        <v>2</v>
      </c>
      <c r="D3" s="487" t="s">
        <v>3</v>
      </c>
      <c r="E3" s="488" t="s">
        <v>1</v>
      </c>
      <c r="F3" s="478" t="s">
        <v>914</v>
      </c>
      <c r="G3" s="478" t="s">
        <v>924</v>
      </c>
      <c r="H3" s="594" t="s">
        <v>147</v>
      </c>
      <c r="I3" s="473" t="s">
        <v>4</v>
      </c>
    </row>
    <row r="4" spans="1:9" ht="31.5" customHeight="1" x14ac:dyDescent="0.4">
      <c r="A4" s="475"/>
      <c r="B4" s="487"/>
      <c r="C4" s="487"/>
      <c r="D4" s="487"/>
      <c r="E4" s="490"/>
      <c r="F4" s="480"/>
      <c r="G4" s="480"/>
      <c r="H4" s="594"/>
      <c r="I4" s="475"/>
    </row>
    <row r="5" spans="1:9" ht="20.100000000000001" hidden="1" customHeight="1" outlineLevel="1" x14ac:dyDescent="0.4">
      <c r="A5" s="601"/>
      <c r="B5" s="595"/>
      <c r="C5" s="595" t="s">
        <v>156</v>
      </c>
      <c r="D5" s="598" t="s">
        <v>154</v>
      </c>
      <c r="E5" s="590" t="s">
        <v>155</v>
      </c>
      <c r="F5" s="67" t="s">
        <v>150</v>
      </c>
      <c r="G5" s="68"/>
      <c r="H5" s="593"/>
      <c r="I5" s="593"/>
    </row>
    <row r="6" spans="1:9" ht="20.100000000000001" hidden="1" customHeight="1" outlineLevel="1" x14ac:dyDescent="0.4">
      <c r="A6" s="602"/>
      <c r="B6" s="596"/>
      <c r="C6" s="596"/>
      <c r="D6" s="599"/>
      <c r="E6" s="591"/>
      <c r="F6" s="69" t="s">
        <v>151</v>
      </c>
      <c r="G6" s="70"/>
      <c r="H6" s="593"/>
      <c r="I6" s="593"/>
    </row>
    <row r="7" spans="1:9" ht="21" hidden="1" customHeight="1" outlineLevel="1" x14ac:dyDescent="0.4">
      <c r="A7" s="602"/>
      <c r="B7" s="596"/>
      <c r="C7" s="596"/>
      <c r="D7" s="599"/>
      <c r="E7" s="591"/>
      <c r="F7" s="69" t="s">
        <v>152</v>
      </c>
      <c r="G7" s="70"/>
      <c r="H7" s="593"/>
      <c r="I7" s="593"/>
    </row>
    <row r="8" spans="1:9" ht="20.100000000000001" hidden="1" customHeight="1" outlineLevel="1" x14ac:dyDescent="0.4">
      <c r="A8" s="603"/>
      <c r="B8" s="597"/>
      <c r="C8" s="597"/>
      <c r="D8" s="600"/>
      <c r="E8" s="592"/>
      <c r="F8" s="71" t="s">
        <v>153</v>
      </c>
      <c r="G8" s="72"/>
      <c r="H8" s="593"/>
      <c r="I8" s="593"/>
    </row>
    <row r="9" spans="1:9" s="201" customFormat="1" ht="43.15" hidden="1" customHeight="1" outlineLevel="1" collapsed="1" x14ac:dyDescent="0.4">
      <c r="A9" s="253"/>
      <c r="B9" s="193" t="s">
        <v>374</v>
      </c>
      <c r="C9" s="193" t="s">
        <v>375</v>
      </c>
      <c r="D9" s="193" t="s">
        <v>376</v>
      </c>
      <c r="E9" s="193" t="s">
        <v>377</v>
      </c>
      <c r="F9" s="192" t="s">
        <v>759</v>
      </c>
      <c r="G9" s="192"/>
      <c r="H9" s="254">
        <v>45988</v>
      </c>
      <c r="I9" s="254"/>
    </row>
    <row r="10" spans="1:9" s="201" customFormat="1" ht="43.15" hidden="1" customHeight="1" outlineLevel="1" collapsed="1" x14ac:dyDescent="0.4">
      <c r="A10" s="253"/>
      <c r="B10" s="193" t="s">
        <v>374</v>
      </c>
      <c r="C10" s="193" t="s">
        <v>375</v>
      </c>
      <c r="D10" s="193" t="s">
        <v>376</v>
      </c>
      <c r="E10" s="193" t="s">
        <v>378</v>
      </c>
      <c r="F10" s="192" t="s">
        <v>831</v>
      </c>
      <c r="G10" s="192"/>
      <c r="H10" s="301">
        <v>46028</v>
      </c>
      <c r="I10" s="254"/>
    </row>
    <row r="11" spans="1:9" s="201" customFormat="1" ht="43.15" hidden="1" customHeight="1" outlineLevel="1" collapsed="1" x14ac:dyDescent="0.4">
      <c r="A11" s="307"/>
      <c r="B11" s="193" t="s">
        <v>374</v>
      </c>
      <c r="C11" s="193" t="s">
        <v>375</v>
      </c>
      <c r="D11" s="193" t="s">
        <v>376</v>
      </c>
      <c r="E11" s="193" t="s">
        <v>377</v>
      </c>
      <c r="F11" s="192" t="s">
        <v>863</v>
      </c>
      <c r="G11" s="192"/>
      <c r="H11" s="308">
        <v>46050</v>
      </c>
      <c r="I11" s="308"/>
    </row>
    <row r="12" spans="1:9" s="201" customFormat="1" ht="43.15" customHeight="1" collapsed="1" x14ac:dyDescent="0.4">
      <c r="A12" s="253"/>
      <c r="B12" s="193" t="s">
        <v>374</v>
      </c>
      <c r="C12" s="193" t="s">
        <v>375</v>
      </c>
      <c r="D12" s="193" t="s">
        <v>376</v>
      </c>
      <c r="E12" s="193" t="s">
        <v>377</v>
      </c>
      <c r="F12" s="192" t="s">
        <v>864</v>
      </c>
      <c r="G12" s="192" t="s">
        <v>865</v>
      </c>
      <c r="H12" s="254">
        <v>46083</v>
      </c>
      <c r="I12" s="254"/>
    </row>
    <row r="13" spans="1:9" s="201" customFormat="1" ht="15" customHeight="1" x14ac:dyDescent="0.4">
      <c r="A13" s="551">
        <v>1</v>
      </c>
      <c r="B13" s="349" t="s">
        <v>684</v>
      </c>
      <c r="C13" s="349" t="s">
        <v>379</v>
      </c>
      <c r="D13" s="604" t="s">
        <v>380</v>
      </c>
      <c r="E13" s="563" t="s">
        <v>381</v>
      </c>
      <c r="F13" s="196"/>
      <c r="G13" s="196"/>
      <c r="H13" s="548" t="s">
        <v>382</v>
      </c>
      <c r="I13" s="561"/>
    </row>
    <row r="14" spans="1:9" s="201" customFormat="1" ht="15" hidden="1" customHeight="1" outlineLevel="1" x14ac:dyDescent="0.4">
      <c r="A14" s="556"/>
      <c r="B14" s="370"/>
      <c r="C14" s="370"/>
      <c r="D14" s="605"/>
      <c r="E14" s="560"/>
      <c r="F14" s="204" t="s">
        <v>383</v>
      </c>
      <c r="G14" s="204"/>
      <c r="H14" s="549"/>
      <c r="I14" s="562"/>
    </row>
    <row r="15" spans="1:9" s="201" customFormat="1" ht="15" hidden="1" customHeight="1" outlineLevel="1" x14ac:dyDescent="0.4">
      <c r="A15" s="556"/>
      <c r="B15" s="370"/>
      <c r="C15" s="370"/>
      <c r="D15" s="605"/>
      <c r="E15" s="560"/>
      <c r="F15" s="204" t="s">
        <v>452</v>
      </c>
      <c r="G15" s="204"/>
      <c r="H15" s="549"/>
      <c r="I15" s="562"/>
    </row>
    <row r="16" spans="1:9" s="201" customFormat="1" ht="15" hidden="1" customHeight="1" outlineLevel="1" x14ac:dyDescent="0.4">
      <c r="A16" s="556"/>
      <c r="B16" s="370"/>
      <c r="C16" s="370"/>
      <c r="D16" s="605"/>
      <c r="E16" s="560"/>
      <c r="F16" s="204" t="s">
        <v>474</v>
      </c>
      <c r="G16" s="204"/>
      <c r="H16" s="549"/>
      <c r="I16" s="562"/>
    </row>
    <row r="17" spans="1:9" s="201" customFormat="1" ht="15" hidden="1" customHeight="1" outlineLevel="1" x14ac:dyDescent="0.4">
      <c r="A17" s="556"/>
      <c r="B17" s="370"/>
      <c r="C17" s="370"/>
      <c r="D17" s="605"/>
      <c r="E17" s="560"/>
      <c r="F17" s="204" t="s">
        <v>484</v>
      </c>
      <c r="G17" s="204"/>
      <c r="H17" s="549"/>
      <c r="I17" s="562"/>
    </row>
    <row r="18" spans="1:9" s="201" customFormat="1" ht="15" hidden="1" customHeight="1" outlineLevel="1" x14ac:dyDescent="0.4">
      <c r="A18" s="556"/>
      <c r="B18" s="370"/>
      <c r="C18" s="370"/>
      <c r="D18" s="605"/>
      <c r="E18" s="560"/>
      <c r="F18" s="204" t="s">
        <v>491</v>
      </c>
      <c r="G18" s="204"/>
      <c r="H18" s="549"/>
      <c r="I18" s="562"/>
    </row>
    <row r="19" spans="1:9" s="201" customFormat="1" ht="15" hidden="1" customHeight="1" outlineLevel="1" x14ac:dyDescent="0.4">
      <c r="A19" s="556"/>
      <c r="B19" s="370"/>
      <c r="C19" s="370"/>
      <c r="D19" s="605"/>
      <c r="E19" s="560"/>
      <c r="F19" s="204" t="s">
        <v>495</v>
      </c>
      <c r="G19" s="204"/>
      <c r="H19" s="549"/>
      <c r="I19" s="562"/>
    </row>
    <row r="20" spans="1:9" s="201" customFormat="1" ht="15" hidden="1" customHeight="1" outlineLevel="1" x14ac:dyDescent="0.4">
      <c r="A20" s="556"/>
      <c r="B20" s="370"/>
      <c r="C20" s="370"/>
      <c r="D20" s="605"/>
      <c r="E20" s="560"/>
      <c r="F20" s="204" t="s">
        <v>506</v>
      </c>
      <c r="G20" s="204"/>
      <c r="H20" s="549"/>
      <c r="I20" s="562"/>
    </row>
    <row r="21" spans="1:9" s="201" customFormat="1" ht="15" hidden="1" customHeight="1" outlineLevel="1" x14ac:dyDescent="0.4">
      <c r="A21" s="556"/>
      <c r="B21" s="370"/>
      <c r="C21" s="370"/>
      <c r="D21" s="605"/>
      <c r="E21" s="560"/>
      <c r="F21" s="204" t="s">
        <v>523</v>
      </c>
      <c r="G21" s="204"/>
      <c r="H21" s="549"/>
      <c r="I21" s="562"/>
    </row>
    <row r="22" spans="1:9" s="201" customFormat="1" ht="15" hidden="1" customHeight="1" outlineLevel="1" x14ac:dyDescent="0.4">
      <c r="A22" s="556"/>
      <c r="B22" s="370"/>
      <c r="C22" s="370"/>
      <c r="D22" s="605"/>
      <c r="E22" s="560"/>
      <c r="F22" s="204" t="s">
        <v>528</v>
      </c>
      <c r="G22" s="204"/>
      <c r="H22" s="549"/>
      <c r="I22" s="562"/>
    </row>
    <row r="23" spans="1:9" s="201" customFormat="1" ht="15" hidden="1" customHeight="1" outlineLevel="1" x14ac:dyDescent="0.4">
      <c r="A23" s="556"/>
      <c r="B23" s="370"/>
      <c r="C23" s="370"/>
      <c r="D23" s="605"/>
      <c r="E23" s="560"/>
      <c r="F23" s="204" t="s">
        <v>532</v>
      </c>
      <c r="G23" s="204"/>
      <c r="H23" s="549"/>
      <c r="I23" s="562"/>
    </row>
    <row r="24" spans="1:9" s="201" customFormat="1" ht="15" hidden="1" customHeight="1" outlineLevel="1" x14ac:dyDescent="0.4">
      <c r="A24" s="556"/>
      <c r="B24" s="370"/>
      <c r="C24" s="370"/>
      <c r="D24" s="605"/>
      <c r="E24" s="560"/>
      <c r="F24" s="204" t="s">
        <v>550</v>
      </c>
      <c r="G24" s="204"/>
      <c r="H24" s="549"/>
      <c r="I24" s="562"/>
    </row>
    <row r="25" spans="1:9" s="201" customFormat="1" ht="15" hidden="1" customHeight="1" outlineLevel="1" x14ac:dyDescent="0.4">
      <c r="A25" s="556"/>
      <c r="B25" s="370"/>
      <c r="C25" s="370"/>
      <c r="D25" s="605"/>
      <c r="E25" s="560"/>
      <c r="F25" s="204" t="s">
        <v>556</v>
      </c>
      <c r="G25" s="204"/>
      <c r="H25" s="549"/>
      <c r="I25" s="562"/>
    </row>
    <row r="26" spans="1:9" s="201" customFormat="1" ht="15" hidden="1" customHeight="1" outlineLevel="1" x14ac:dyDescent="0.4">
      <c r="A26" s="556"/>
      <c r="B26" s="370"/>
      <c r="C26" s="370"/>
      <c r="D26" s="605"/>
      <c r="E26" s="560"/>
      <c r="F26" s="204" t="s">
        <v>581</v>
      </c>
      <c r="G26" s="204"/>
      <c r="H26" s="549"/>
      <c r="I26" s="562"/>
    </row>
    <row r="27" spans="1:9" s="201" customFormat="1" ht="15" hidden="1" customHeight="1" outlineLevel="1" x14ac:dyDescent="0.4">
      <c r="A27" s="556"/>
      <c r="B27" s="370"/>
      <c r="C27" s="370"/>
      <c r="D27" s="605"/>
      <c r="E27" s="560"/>
      <c r="F27" s="204" t="s">
        <v>590</v>
      </c>
      <c r="G27" s="204"/>
      <c r="H27" s="549"/>
      <c r="I27" s="562"/>
    </row>
    <row r="28" spans="1:9" s="201" customFormat="1" ht="15" hidden="1" customHeight="1" outlineLevel="1" x14ac:dyDescent="0.4">
      <c r="A28" s="556"/>
      <c r="B28" s="370"/>
      <c r="C28" s="370"/>
      <c r="D28" s="605"/>
      <c r="E28" s="560"/>
      <c r="F28" s="204" t="s">
        <v>618</v>
      </c>
      <c r="G28" s="204"/>
      <c r="H28" s="549"/>
      <c r="I28" s="562"/>
    </row>
    <row r="29" spans="1:9" s="201" customFormat="1" ht="15" hidden="1" customHeight="1" outlineLevel="1" x14ac:dyDescent="0.4">
      <c r="A29" s="556"/>
      <c r="B29" s="370"/>
      <c r="C29" s="370"/>
      <c r="D29" s="605"/>
      <c r="E29" s="560"/>
      <c r="F29" s="204" t="s">
        <v>623</v>
      </c>
      <c r="G29" s="204"/>
      <c r="H29" s="549"/>
      <c r="I29" s="562"/>
    </row>
    <row r="30" spans="1:9" s="201" customFormat="1" ht="15" hidden="1" customHeight="1" outlineLevel="1" x14ac:dyDescent="0.4">
      <c r="A30" s="556"/>
      <c r="B30" s="370"/>
      <c r="C30" s="370"/>
      <c r="D30" s="605"/>
      <c r="E30" s="560"/>
      <c r="F30" s="204" t="s">
        <v>630</v>
      </c>
      <c r="G30" s="204"/>
      <c r="H30" s="549"/>
      <c r="I30" s="562"/>
    </row>
    <row r="31" spans="1:9" s="201" customFormat="1" ht="15" hidden="1" customHeight="1" outlineLevel="1" x14ac:dyDescent="0.4">
      <c r="A31" s="556"/>
      <c r="B31" s="370"/>
      <c r="C31" s="370"/>
      <c r="D31" s="605"/>
      <c r="E31" s="560"/>
      <c r="F31" s="204" t="s">
        <v>636</v>
      </c>
      <c r="G31" s="204"/>
      <c r="H31" s="549"/>
      <c r="I31" s="562"/>
    </row>
    <row r="32" spans="1:9" s="201" customFormat="1" ht="15" hidden="1" customHeight="1" outlineLevel="1" x14ac:dyDescent="0.4">
      <c r="A32" s="556"/>
      <c r="B32" s="370"/>
      <c r="C32" s="370"/>
      <c r="D32" s="605"/>
      <c r="E32" s="560"/>
      <c r="F32" s="204" t="s">
        <v>638</v>
      </c>
      <c r="G32" s="204"/>
      <c r="H32" s="549"/>
      <c r="I32" s="562"/>
    </row>
    <row r="33" spans="1:9" s="201" customFormat="1" ht="15" hidden="1" customHeight="1" outlineLevel="1" x14ac:dyDescent="0.4">
      <c r="A33" s="556"/>
      <c r="B33" s="370"/>
      <c r="C33" s="370"/>
      <c r="D33" s="605"/>
      <c r="E33" s="560"/>
      <c r="F33" s="204" t="s">
        <v>646</v>
      </c>
      <c r="G33" s="204"/>
      <c r="H33" s="549"/>
      <c r="I33" s="562"/>
    </row>
    <row r="34" spans="1:9" s="201" customFormat="1" ht="15" hidden="1" customHeight="1" outlineLevel="1" x14ac:dyDescent="0.4">
      <c r="A34" s="556"/>
      <c r="B34" s="370"/>
      <c r="C34" s="370"/>
      <c r="D34" s="605"/>
      <c r="E34" s="560"/>
      <c r="F34" s="204" t="s">
        <v>674</v>
      </c>
      <c r="G34" s="204"/>
      <c r="H34" s="549"/>
      <c r="I34" s="562"/>
    </row>
    <row r="35" spans="1:9" s="201" customFormat="1" ht="15" hidden="1" customHeight="1" outlineLevel="1" x14ac:dyDescent="0.4">
      <c r="A35" s="556"/>
      <c r="B35" s="370"/>
      <c r="C35" s="370"/>
      <c r="D35" s="605"/>
      <c r="E35" s="560"/>
      <c r="F35" s="204" t="s">
        <v>685</v>
      </c>
      <c r="G35" s="204"/>
      <c r="H35" s="549"/>
      <c r="I35" s="562"/>
    </row>
    <row r="36" spans="1:9" s="201" customFormat="1" ht="15" hidden="1" customHeight="1" outlineLevel="1" x14ac:dyDescent="0.4">
      <c r="A36" s="556"/>
      <c r="B36" s="370"/>
      <c r="C36" s="370"/>
      <c r="D36" s="605"/>
      <c r="E36" s="560"/>
      <c r="F36" s="204" t="s">
        <v>719</v>
      </c>
      <c r="G36" s="204"/>
      <c r="H36" s="549"/>
      <c r="I36" s="562"/>
    </row>
    <row r="37" spans="1:9" s="201" customFormat="1" ht="15" hidden="1" customHeight="1" outlineLevel="1" x14ac:dyDescent="0.4">
      <c r="A37" s="556"/>
      <c r="B37" s="370"/>
      <c r="C37" s="370"/>
      <c r="D37" s="605"/>
      <c r="E37" s="560"/>
      <c r="F37" s="204" t="s">
        <v>743</v>
      </c>
      <c r="G37" s="204"/>
      <c r="H37" s="549"/>
      <c r="I37" s="562"/>
    </row>
    <row r="38" spans="1:9" s="201" customFormat="1" ht="15" hidden="1" customHeight="1" outlineLevel="1" x14ac:dyDescent="0.4">
      <c r="A38" s="556"/>
      <c r="B38" s="370"/>
      <c r="C38" s="370"/>
      <c r="D38" s="605"/>
      <c r="E38" s="560"/>
      <c r="F38" s="204" t="s">
        <v>698</v>
      </c>
      <c r="G38" s="204"/>
      <c r="H38" s="549"/>
      <c r="I38" s="562"/>
    </row>
    <row r="39" spans="1:9" s="201" customFormat="1" ht="15" hidden="1" customHeight="1" outlineLevel="1" x14ac:dyDescent="0.4">
      <c r="A39" s="556"/>
      <c r="B39" s="370"/>
      <c r="C39" s="370"/>
      <c r="D39" s="605"/>
      <c r="E39" s="560"/>
      <c r="F39" s="204" t="s">
        <v>762</v>
      </c>
      <c r="G39" s="204"/>
      <c r="H39" s="549"/>
      <c r="I39" s="562"/>
    </row>
    <row r="40" spans="1:9" s="201" customFormat="1" ht="15" hidden="1" customHeight="1" outlineLevel="1" x14ac:dyDescent="0.4">
      <c r="A40" s="556"/>
      <c r="B40" s="370"/>
      <c r="C40" s="370"/>
      <c r="D40" s="605"/>
      <c r="E40" s="560"/>
      <c r="F40" s="204" t="s">
        <v>760</v>
      </c>
      <c r="G40" s="204"/>
      <c r="H40" s="549"/>
      <c r="I40" s="562"/>
    </row>
    <row r="41" spans="1:9" s="201" customFormat="1" ht="15" hidden="1" customHeight="1" outlineLevel="1" x14ac:dyDescent="0.4">
      <c r="A41" s="556"/>
      <c r="B41" s="370"/>
      <c r="C41" s="370"/>
      <c r="D41" s="605"/>
      <c r="E41" s="560"/>
      <c r="F41" s="204" t="s">
        <v>788</v>
      </c>
      <c r="G41" s="204"/>
      <c r="H41" s="549"/>
      <c r="I41" s="562"/>
    </row>
    <row r="42" spans="1:9" s="201" customFormat="1" ht="15" hidden="1" customHeight="1" outlineLevel="1" x14ac:dyDescent="0.4">
      <c r="A42" s="556"/>
      <c r="B42" s="370"/>
      <c r="C42" s="370"/>
      <c r="D42" s="605"/>
      <c r="E42" s="560"/>
      <c r="F42" s="204" t="s">
        <v>816</v>
      </c>
      <c r="G42" s="204"/>
      <c r="H42" s="549"/>
      <c r="I42" s="562"/>
    </row>
    <row r="43" spans="1:9" s="201" customFormat="1" ht="15" hidden="1" customHeight="1" outlineLevel="1" x14ac:dyDescent="0.4">
      <c r="A43" s="556"/>
      <c r="B43" s="370"/>
      <c r="C43" s="370"/>
      <c r="D43" s="605"/>
      <c r="E43" s="560"/>
      <c r="F43" s="204" t="s">
        <v>837</v>
      </c>
      <c r="G43" s="204"/>
      <c r="H43" s="549"/>
      <c r="I43" s="562"/>
    </row>
    <row r="44" spans="1:9" s="201" customFormat="1" ht="15" hidden="1" customHeight="1" outlineLevel="1" x14ac:dyDescent="0.4">
      <c r="A44" s="556"/>
      <c r="B44" s="370"/>
      <c r="C44" s="370"/>
      <c r="D44" s="605"/>
      <c r="E44" s="560"/>
      <c r="F44" s="204" t="s">
        <v>866</v>
      </c>
      <c r="G44" s="204"/>
      <c r="H44" s="549"/>
      <c r="I44" s="562"/>
    </row>
    <row r="45" spans="1:9" s="201" customFormat="1" ht="15" hidden="1" customHeight="1" outlineLevel="1" x14ac:dyDescent="0.4">
      <c r="A45" s="556"/>
      <c r="B45" s="370"/>
      <c r="C45" s="370"/>
      <c r="D45" s="605"/>
      <c r="E45" s="560"/>
      <c r="F45" s="204" t="s">
        <v>907</v>
      </c>
      <c r="G45" s="204"/>
      <c r="H45" s="549"/>
      <c r="I45" s="562"/>
    </row>
    <row r="46" spans="1:9" s="201" customFormat="1" ht="15" hidden="1" customHeight="1" outlineLevel="1" x14ac:dyDescent="0.4">
      <c r="A46" s="556"/>
      <c r="B46" s="370"/>
      <c r="C46" s="370"/>
      <c r="D46" s="605"/>
      <c r="E46" s="560"/>
      <c r="F46" s="204" t="s">
        <v>925</v>
      </c>
      <c r="G46" s="204"/>
      <c r="H46" s="549"/>
      <c r="I46" s="562"/>
    </row>
    <row r="47" spans="1:9" s="201" customFormat="1" ht="15" customHeight="1" collapsed="1" x14ac:dyDescent="0.4">
      <c r="A47" s="556"/>
      <c r="B47" s="370"/>
      <c r="C47" s="370"/>
      <c r="D47" s="605"/>
      <c r="E47" s="560"/>
      <c r="F47" s="204" t="s">
        <v>925</v>
      </c>
      <c r="G47" s="204" t="s">
        <v>936</v>
      </c>
      <c r="H47" s="549"/>
      <c r="I47" s="562"/>
    </row>
    <row r="48" spans="1:9" s="201" customFormat="1" ht="15" customHeight="1" x14ac:dyDescent="0.4">
      <c r="A48" s="552"/>
      <c r="B48" s="350"/>
      <c r="C48" s="350"/>
      <c r="D48" s="606"/>
      <c r="E48" s="352"/>
      <c r="F48" s="90"/>
      <c r="G48" s="90"/>
      <c r="H48" s="550"/>
      <c r="I48" s="562"/>
    </row>
    <row r="49" spans="1:10" s="201" customFormat="1" ht="20.100000000000001" hidden="1" customHeight="1" outlineLevel="1" collapsed="1" x14ac:dyDescent="0.4">
      <c r="A49" s="347">
        <v>2</v>
      </c>
      <c r="B49" s="349" t="s">
        <v>384</v>
      </c>
      <c r="C49" s="349" t="s">
        <v>385</v>
      </c>
      <c r="D49" s="349" t="s">
        <v>386</v>
      </c>
      <c r="E49" s="351" t="s">
        <v>387</v>
      </c>
      <c r="F49" s="196" t="s">
        <v>388</v>
      </c>
      <c r="G49" s="196"/>
      <c r="H49" s="548" t="s">
        <v>382</v>
      </c>
      <c r="I49" s="575" t="s">
        <v>455</v>
      </c>
    </row>
    <row r="50" spans="1:10" s="201" customFormat="1" ht="20.100000000000001" hidden="1" customHeight="1" outlineLevel="1" x14ac:dyDescent="0.4">
      <c r="A50" s="559"/>
      <c r="B50" s="370"/>
      <c r="C50" s="370"/>
      <c r="D50" s="370"/>
      <c r="E50" s="560"/>
      <c r="F50" s="204" t="s">
        <v>389</v>
      </c>
      <c r="G50" s="204"/>
      <c r="H50" s="549"/>
      <c r="I50" s="571"/>
    </row>
    <row r="51" spans="1:10" s="201" customFormat="1" ht="20.100000000000001" hidden="1" customHeight="1" outlineLevel="1" x14ac:dyDescent="0.4">
      <c r="A51" s="559"/>
      <c r="B51" s="370"/>
      <c r="C51" s="370"/>
      <c r="D51" s="370"/>
      <c r="E51" s="560"/>
      <c r="F51" s="204" t="s">
        <v>390</v>
      </c>
      <c r="G51" s="204"/>
      <c r="H51" s="549"/>
      <c r="I51" s="571"/>
    </row>
    <row r="52" spans="1:10" s="201" customFormat="1" ht="20.100000000000001" hidden="1" customHeight="1" outlineLevel="1" x14ac:dyDescent="0.4">
      <c r="A52" s="559"/>
      <c r="B52" s="370"/>
      <c r="C52" s="370"/>
      <c r="D52" s="370"/>
      <c r="E52" s="560"/>
      <c r="F52" s="204" t="s">
        <v>450</v>
      </c>
      <c r="G52" s="204"/>
      <c r="H52" s="549"/>
      <c r="I52" s="571"/>
    </row>
    <row r="53" spans="1:10" s="201" customFormat="1" ht="20.100000000000001" hidden="1" customHeight="1" outlineLevel="1" x14ac:dyDescent="0.4">
      <c r="A53" s="348"/>
      <c r="B53" s="350"/>
      <c r="C53" s="350"/>
      <c r="D53" s="350"/>
      <c r="E53" s="352"/>
      <c r="F53" s="90" t="s">
        <v>451</v>
      </c>
      <c r="G53" s="90"/>
      <c r="H53" s="550"/>
      <c r="I53" s="577"/>
      <c r="J53" s="201" t="s">
        <v>391</v>
      </c>
    </row>
    <row r="54" spans="1:10" s="201" customFormat="1" ht="20.100000000000001" hidden="1" customHeight="1" outlineLevel="1" collapsed="1" x14ac:dyDescent="0.4">
      <c r="A54" s="347">
        <v>3</v>
      </c>
      <c r="B54" s="349" t="s">
        <v>392</v>
      </c>
      <c r="C54" s="349" t="s">
        <v>393</v>
      </c>
      <c r="D54" s="349"/>
      <c r="E54" s="351" t="s">
        <v>394</v>
      </c>
      <c r="F54" s="196" t="s">
        <v>395</v>
      </c>
      <c r="G54" s="196"/>
      <c r="H54" s="548" t="s">
        <v>382</v>
      </c>
      <c r="I54" s="575" t="s">
        <v>509</v>
      </c>
    </row>
    <row r="55" spans="1:10" s="201" customFormat="1" ht="20.100000000000001" hidden="1" customHeight="1" outlineLevel="1" x14ac:dyDescent="0.4">
      <c r="A55" s="559"/>
      <c r="B55" s="370"/>
      <c r="C55" s="370"/>
      <c r="D55" s="370"/>
      <c r="E55" s="560"/>
      <c r="F55" s="204" t="s">
        <v>396</v>
      </c>
      <c r="G55" s="204"/>
      <c r="H55" s="549"/>
      <c r="I55" s="571"/>
    </row>
    <row r="56" spans="1:10" s="201" customFormat="1" ht="20.100000000000001" hidden="1" customHeight="1" outlineLevel="1" x14ac:dyDescent="0.4">
      <c r="A56" s="559"/>
      <c r="B56" s="370"/>
      <c r="C56" s="370"/>
      <c r="D56" s="370"/>
      <c r="E56" s="560"/>
      <c r="F56" s="204" t="s">
        <v>475</v>
      </c>
      <c r="G56" s="204"/>
      <c r="H56" s="549"/>
      <c r="I56" s="571"/>
    </row>
    <row r="57" spans="1:10" s="201" customFormat="1" ht="20.100000000000001" hidden="1" customHeight="1" outlineLevel="1" x14ac:dyDescent="0.4">
      <c r="A57" s="559"/>
      <c r="B57" s="370"/>
      <c r="C57" s="370"/>
      <c r="D57" s="370"/>
      <c r="E57" s="560"/>
      <c r="F57" s="204" t="s">
        <v>496</v>
      </c>
      <c r="G57" s="204"/>
      <c r="H57" s="549"/>
      <c r="I57" s="571"/>
    </row>
    <row r="58" spans="1:10" s="201" customFormat="1" ht="20.100000000000001" hidden="1" customHeight="1" outlineLevel="1" x14ac:dyDescent="0.4">
      <c r="A58" s="559"/>
      <c r="B58" s="370"/>
      <c r="C58" s="370"/>
      <c r="D58" s="370"/>
      <c r="E58" s="560"/>
      <c r="F58" s="204" t="s">
        <v>507</v>
      </c>
      <c r="G58" s="204"/>
      <c r="H58" s="549"/>
      <c r="I58" s="571"/>
    </row>
    <row r="59" spans="1:10" s="201" customFormat="1" ht="20.100000000000001" hidden="1" customHeight="1" outlineLevel="1" x14ac:dyDescent="0.4">
      <c r="A59" s="559"/>
      <c r="B59" s="370"/>
      <c r="C59" s="370"/>
      <c r="D59" s="370"/>
      <c r="E59" s="560"/>
      <c r="F59" s="204" t="s">
        <v>481</v>
      </c>
      <c r="G59" s="204"/>
      <c r="H59" s="550"/>
      <c r="I59" s="577"/>
      <c r="J59" s="200" t="s">
        <v>502</v>
      </c>
    </row>
    <row r="60" spans="1:10" s="201" customFormat="1" ht="20.100000000000001" hidden="1" customHeight="1" outlineLevel="1" collapsed="1" x14ac:dyDescent="0.4">
      <c r="A60" s="559"/>
      <c r="B60" s="370"/>
      <c r="C60" s="370"/>
      <c r="D60" s="370"/>
      <c r="E60" s="560"/>
      <c r="F60" s="204"/>
      <c r="G60" s="204"/>
      <c r="H60" s="549">
        <v>45842</v>
      </c>
      <c r="I60" s="277"/>
    </row>
    <row r="61" spans="1:10" s="201" customFormat="1" ht="20.100000000000001" hidden="1" customHeight="1" outlineLevel="1" x14ac:dyDescent="0.4">
      <c r="A61" s="559"/>
      <c r="B61" s="370"/>
      <c r="C61" s="370"/>
      <c r="D61" s="370"/>
      <c r="E61" s="560"/>
      <c r="F61" s="204" t="s">
        <v>582</v>
      </c>
      <c r="G61" s="204"/>
      <c r="H61" s="549"/>
      <c r="I61" s="277" t="s">
        <v>560</v>
      </c>
    </row>
    <row r="62" spans="1:10" s="201" customFormat="1" ht="20.100000000000001" hidden="1" customHeight="1" outlineLevel="1" x14ac:dyDescent="0.4">
      <c r="A62" s="559"/>
      <c r="B62" s="370"/>
      <c r="C62" s="370"/>
      <c r="D62" s="370"/>
      <c r="E62" s="560"/>
      <c r="F62" s="204" t="s">
        <v>583</v>
      </c>
      <c r="G62" s="204"/>
      <c r="H62" s="549"/>
      <c r="I62" s="277" t="s">
        <v>584</v>
      </c>
    </row>
    <row r="63" spans="1:10" s="201" customFormat="1" ht="20.100000000000001" hidden="1" customHeight="1" outlineLevel="1" x14ac:dyDescent="0.4">
      <c r="A63" s="559"/>
      <c r="B63" s="370"/>
      <c r="C63" s="370"/>
      <c r="D63" s="370"/>
      <c r="E63" s="560"/>
      <c r="F63" s="204" t="s">
        <v>481</v>
      </c>
      <c r="G63" s="204"/>
      <c r="H63" s="549"/>
      <c r="I63" s="277" t="s">
        <v>454</v>
      </c>
    </row>
    <row r="64" spans="1:10" s="201" customFormat="1" ht="20.100000000000001" hidden="1" customHeight="1" outlineLevel="1" x14ac:dyDescent="0.4">
      <c r="A64" s="559"/>
      <c r="B64" s="370"/>
      <c r="C64" s="370"/>
      <c r="D64" s="370"/>
      <c r="E64" s="560"/>
      <c r="F64" s="90"/>
      <c r="G64" s="90"/>
      <c r="H64" s="550"/>
      <c r="I64" s="278"/>
      <c r="J64" s="201" t="s">
        <v>585</v>
      </c>
    </row>
    <row r="65" spans="1:10" s="201" customFormat="1" ht="20.100000000000001" hidden="1" customHeight="1" outlineLevel="1" collapsed="1" x14ac:dyDescent="0.4">
      <c r="A65" s="559"/>
      <c r="B65" s="370"/>
      <c r="C65" s="370"/>
      <c r="D65" s="370"/>
      <c r="E65" s="560"/>
      <c r="F65" s="204" t="s">
        <v>582</v>
      </c>
      <c r="G65" s="204"/>
      <c r="H65" s="548">
        <v>45848</v>
      </c>
      <c r="I65" s="277" t="s">
        <v>592</v>
      </c>
    </row>
    <row r="66" spans="1:10" s="201" customFormat="1" ht="20.100000000000001" hidden="1" customHeight="1" outlineLevel="1" x14ac:dyDescent="0.4">
      <c r="A66" s="559"/>
      <c r="B66" s="370"/>
      <c r="C66" s="370"/>
      <c r="D66" s="370"/>
      <c r="E66" s="560"/>
      <c r="F66" s="204" t="s">
        <v>583</v>
      </c>
      <c r="G66" s="204"/>
      <c r="H66" s="549"/>
      <c r="I66" s="277" t="s">
        <v>454</v>
      </c>
    </row>
    <row r="67" spans="1:10" s="201" customFormat="1" ht="20.100000000000001" hidden="1" customHeight="1" outlineLevel="1" x14ac:dyDescent="0.4">
      <c r="A67" s="559"/>
      <c r="B67" s="370"/>
      <c r="C67" s="370"/>
      <c r="D67" s="370"/>
      <c r="E67" s="560"/>
      <c r="F67" s="204" t="s">
        <v>481</v>
      </c>
      <c r="G67" s="204"/>
      <c r="H67" s="549"/>
      <c r="I67" s="277"/>
    </row>
    <row r="68" spans="1:10" s="201" customFormat="1" ht="20.100000000000001" hidden="1" customHeight="1" outlineLevel="1" x14ac:dyDescent="0.4">
      <c r="A68" s="559"/>
      <c r="B68" s="370"/>
      <c r="C68" s="370"/>
      <c r="D68" s="370"/>
      <c r="E68" s="560"/>
      <c r="F68" s="90"/>
      <c r="G68" s="90"/>
      <c r="H68" s="550"/>
      <c r="I68" s="278"/>
      <c r="J68" s="201" t="s">
        <v>585</v>
      </c>
    </row>
    <row r="69" spans="1:10" s="201" customFormat="1" ht="20.100000000000001" hidden="1" customHeight="1" outlineLevel="1" collapsed="1" x14ac:dyDescent="0.4">
      <c r="A69" s="559"/>
      <c r="B69" s="370"/>
      <c r="C69" s="370"/>
      <c r="D69" s="370"/>
      <c r="E69" s="560"/>
      <c r="F69" s="204" t="s">
        <v>607</v>
      </c>
      <c r="G69" s="204"/>
      <c r="H69" s="548">
        <v>45854</v>
      </c>
      <c r="I69" s="277" t="s">
        <v>591</v>
      </c>
    </row>
    <row r="70" spans="1:10" s="201" customFormat="1" ht="20.100000000000001" hidden="1" customHeight="1" outlineLevel="1" x14ac:dyDescent="0.4">
      <c r="A70" s="559"/>
      <c r="B70" s="370"/>
      <c r="C70" s="370"/>
      <c r="D70" s="370"/>
      <c r="E70" s="560"/>
      <c r="F70" s="204" t="s">
        <v>608</v>
      </c>
      <c r="G70" s="204"/>
      <c r="H70" s="549"/>
      <c r="I70" s="277" t="s">
        <v>454</v>
      </c>
    </row>
    <row r="71" spans="1:10" s="201" customFormat="1" ht="20.100000000000001" hidden="1" customHeight="1" outlineLevel="1" x14ac:dyDescent="0.4">
      <c r="A71" s="559"/>
      <c r="B71" s="370"/>
      <c r="C71" s="370"/>
      <c r="D71" s="370"/>
      <c r="E71" s="560"/>
      <c r="F71" s="90"/>
      <c r="G71" s="90"/>
      <c r="H71" s="550"/>
      <c r="I71" s="278"/>
    </row>
    <row r="72" spans="1:10" s="201" customFormat="1" ht="20.100000000000001" hidden="1" customHeight="1" outlineLevel="1" collapsed="1" x14ac:dyDescent="0.4">
      <c r="A72" s="559"/>
      <c r="B72" s="370"/>
      <c r="C72" s="370"/>
      <c r="D72" s="370"/>
      <c r="E72" s="560"/>
      <c r="F72" s="196" t="s">
        <v>619</v>
      </c>
      <c r="G72" s="196"/>
      <c r="H72" s="548">
        <v>45870</v>
      </c>
      <c r="I72" s="575" t="s">
        <v>454</v>
      </c>
    </row>
    <row r="73" spans="1:10" s="201" customFormat="1" ht="20.100000000000001" hidden="1" customHeight="1" outlineLevel="1" x14ac:dyDescent="0.4">
      <c r="A73" s="559"/>
      <c r="B73" s="370"/>
      <c r="C73" s="370"/>
      <c r="D73" s="370"/>
      <c r="E73" s="560"/>
      <c r="F73" s="204" t="s">
        <v>629</v>
      </c>
      <c r="G73" s="204"/>
      <c r="H73" s="549"/>
      <c r="I73" s="571"/>
    </row>
    <row r="74" spans="1:10" s="201" customFormat="1" ht="20.100000000000001" hidden="1" customHeight="1" outlineLevel="1" x14ac:dyDescent="0.4">
      <c r="A74" s="559"/>
      <c r="B74" s="370"/>
      <c r="C74" s="370"/>
      <c r="D74" s="370"/>
      <c r="E74" s="560"/>
      <c r="F74" s="90"/>
      <c r="G74" s="90"/>
      <c r="H74" s="550"/>
      <c r="I74" s="577"/>
    </row>
    <row r="75" spans="1:10" s="201" customFormat="1" ht="20.100000000000001" hidden="1" customHeight="1" outlineLevel="1" collapsed="1" x14ac:dyDescent="0.4">
      <c r="A75" s="559"/>
      <c r="B75" s="370"/>
      <c r="C75" s="370"/>
      <c r="D75" s="370"/>
      <c r="E75" s="560"/>
      <c r="F75" s="204"/>
      <c r="G75" s="204"/>
      <c r="H75" s="548">
        <v>45930</v>
      </c>
      <c r="I75" s="575" t="s">
        <v>454</v>
      </c>
    </row>
    <row r="76" spans="1:10" s="201" customFormat="1" ht="20.100000000000001" hidden="1" customHeight="1" outlineLevel="1" x14ac:dyDescent="0.4">
      <c r="A76" s="559"/>
      <c r="B76" s="370"/>
      <c r="C76" s="370"/>
      <c r="D76" s="370"/>
      <c r="E76" s="560"/>
      <c r="F76" s="204" t="s">
        <v>688</v>
      </c>
      <c r="G76" s="204"/>
      <c r="H76" s="549"/>
      <c r="I76" s="571"/>
    </row>
    <row r="77" spans="1:10" s="201" customFormat="1" ht="20.100000000000001" hidden="1" customHeight="1" outlineLevel="1" x14ac:dyDescent="0.4">
      <c r="A77" s="559"/>
      <c r="B77" s="370"/>
      <c r="C77" s="370"/>
      <c r="D77" s="370"/>
      <c r="E77" s="560"/>
      <c r="F77" s="204" t="s">
        <v>692</v>
      </c>
      <c r="G77" s="204"/>
      <c r="H77" s="549"/>
      <c r="I77" s="571"/>
    </row>
    <row r="78" spans="1:10" s="201" customFormat="1" ht="20.100000000000001" hidden="1" customHeight="1" outlineLevel="1" x14ac:dyDescent="0.4">
      <c r="A78" s="559"/>
      <c r="B78" s="370"/>
      <c r="C78" s="370"/>
      <c r="D78" s="370"/>
      <c r="E78" s="560"/>
      <c r="F78" s="204" t="s">
        <v>693</v>
      </c>
      <c r="G78" s="204"/>
      <c r="H78" s="549"/>
      <c r="I78" s="571"/>
    </row>
    <row r="79" spans="1:10" s="201" customFormat="1" ht="20.100000000000001" hidden="1" customHeight="1" outlineLevel="1" x14ac:dyDescent="0.4">
      <c r="A79" s="348"/>
      <c r="B79" s="350"/>
      <c r="C79" s="350"/>
      <c r="D79" s="350"/>
      <c r="E79" s="352"/>
      <c r="F79" s="90"/>
      <c r="G79" s="90"/>
      <c r="H79" s="550"/>
      <c r="I79" s="577"/>
      <c r="J79" s="201" t="s">
        <v>585</v>
      </c>
    </row>
    <row r="80" spans="1:10" s="201" customFormat="1" ht="20.100000000000001" hidden="1" customHeight="1" outlineLevel="1" x14ac:dyDescent="0.4">
      <c r="A80" s="347">
        <v>4</v>
      </c>
      <c r="B80" s="349" t="s">
        <v>392</v>
      </c>
      <c r="C80" s="349" t="s">
        <v>397</v>
      </c>
      <c r="D80" s="349" t="s">
        <v>398</v>
      </c>
      <c r="E80" s="351" t="s">
        <v>399</v>
      </c>
      <c r="F80" s="196" t="s">
        <v>400</v>
      </c>
      <c r="G80" s="196"/>
      <c r="H80" s="548">
        <v>45751</v>
      </c>
      <c r="I80" s="575" t="s">
        <v>454</v>
      </c>
    </row>
    <row r="81" spans="1:10" s="201" customFormat="1" ht="20.100000000000001" hidden="1" customHeight="1" outlineLevel="1" x14ac:dyDescent="0.4">
      <c r="A81" s="559"/>
      <c r="B81" s="370"/>
      <c r="C81" s="370"/>
      <c r="D81" s="370"/>
      <c r="E81" s="560"/>
      <c r="F81" s="204" t="s">
        <v>401</v>
      </c>
      <c r="G81" s="204"/>
      <c r="H81" s="549"/>
      <c r="I81" s="571"/>
    </row>
    <row r="82" spans="1:10" s="201" customFormat="1" ht="20.100000000000001" hidden="1" customHeight="1" outlineLevel="1" x14ac:dyDescent="0.4">
      <c r="A82" s="559"/>
      <c r="B82" s="370"/>
      <c r="C82" s="370"/>
      <c r="D82" s="370"/>
      <c r="E82" s="560"/>
      <c r="F82" s="204" t="s">
        <v>402</v>
      </c>
      <c r="G82" s="204"/>
      <c r="H82" s="549"/>
      <c r="I82" s="571"/>
    </row>
    <row r="83" spans="1:10" s="201" customFormat="1" ht="20.100000000000001" hidden="1" customHeight="1" outlineLevel="1" x14ac:dyDescent="0.4">
      <c r="A83" s="559"/>
      <c r="B83" s="370"/>
      <c r="C83" s="370"/>
      <c r="D83" s="370"/>
      <c r="E83" s="560"/>
      <c r="F83" s="204" t="s">
        <v>403</v>
      </c>
      <c r="G83" s="204"/>
      <c r="H83" s="549"/>
      <c r="I83" s="571"/>
    </row>
    <row r="84" spans="1:10" s="201" customFormat="1" ht="20.100000000000001" hidden="1" customHeight="1" outlineLevel="1" x14ac:dyDescent="0.4">
      <c r="A84" s="348"/>
      <c r="B84" s="350"/>
      <c r="C84" s="350"/>
      <c r="D84" s="350"/>
      <c r="E84" s="352"/>
      <c r="F84" s="90" t="s">
        <v>413</v>
      </c>
      <c r="G84" s="90"/>
      <c r="H84" s="550"/>
      <c r="I84" s="577"/>
      <c r="J84" s="201" t="s">
        <v>404</v>
      </c>
    </row>
    <row r="85" spans="1:10" s="201" customFormat="1" ht="20.100000000000001" hidden="1" customHeight="1" outlineLevel="1" collapsed="1" x14ac:dyDescent="0.4">
      <c r="A85" s="347">
        <v>5</v>
      </c>
      <c r="B85" s="349" t="s">
        <v>348</v>
      </c>
      <c r="C85" s="349" t="s">
        <v>405</v>
      </c>
      <c r="D85" s="349" t="s">
        <v>406</v>
      </c>
      <c r="E85" s="351" t="s">
        <v>407</v>
      </c>
      <c r="F85" s="196" t="s">
        <v>400</v>
      </c>
      <c r="G85" s="196"/>
      <c r="H85" s="548">
        <v>45751</v>
      </c>
      <c r="I85" s="575" t="s">
        <v>453</v>
      </c>
    </row>
    <row r="86" spans="1:10" s="201" customFormat="1" ht="20.100000000000001" hidden="1" customHeight="1" outlineLevel="1" x14ac:dyDescent="0.4">
      <c r="A86" s="559"/>
      <c r="B86" s="370"/>
      <c r="C86" s="370"/>
      <c r="D86" s="370"/>
      <c r="E86" s="560"/>
      <c r="F86" s="204" t="s">
        <v>401</v>
      </c>
      <c r="G86" s="204"/>
      <c r="H86" s="549"/>
      <c r="I86" s="571"/>
    </row>
    <row r="87" spans="1:10" s="201" customFormat="1" ht="20.100000000000001" hidden="1" customHeight="1" outlineLevel="1" x14ac:dyDescent="0.4">
      <c r="A87" s="559"/>
      <c r="B87" s="370"/>
      <c r="C87" s="370"/>
      <c r="D87" s="370"/>
      <c r="E87" s="560"/>
      <c r="F87" s="204" t="s">
        <v>402</v>
      </c>
      <c r="G87" s="204"/>
      <c r="H87" s="549"/>
      <c r="I87" s="571"/>
    </row>
    <row r="88" spans="1:10" s="201" customFormat="1" ht="20.100000000000001" hidden="1" customHeight="1" outlineLevel="1" x14ac:dyDescent="0.4">
      <c r="A88" s="559"/>
      <c r="B88" s="370"/>
      <c r="C88" s="370"/>
      <c r="D88" s="370"/>
      <c r="E88" s="560"/>
      <c r="F88" s="204" t="s">
        <v>403</v>
      </c>
      <c r="G88" s="204"/>
      <c r="H88" s="549"/>
      <c r="I88" s="571"/>
    </row>
    <row r="89" spans="1:10" s="201" customFormat="1" ht="20.100000000000001" hidden="1" customHeight="1" outlineLevel="1" x14ac:dyDescent="0.4">
      <c r="A89" s="348"/>
      <c r="B89" s="350"/>
      <c r="C89" s="350"/>
      <c r="D89" s="350"/>
      <c r="E89" s="352"/>
      <c r="F89" s="90" t="s">
        <v>413</v>
      </c>
      <c r="G89" s="90"/>
      <c r="H89" s="550"/>
      <c r="I89" s="577"/>
      <c r="J89" s="201" t="s">
        <v>408</v>
      </c>
    </row>
    <row r="90" spans="1:10" s="201" customFormat="1" ht="20.100000000000001" hidden="1" customHeight="1" outlineLevel="1" collapsed="1" x14ac:dyDescent="0.4">
      <c r="A90" s="347">
        <v>6</v>
      </c>
      <c r="B90" s="349" t="s">
        <v>348</v>
      </c>
      <c r="C90" s="349" t="s">
        <v>409</v>
      </c>
      <c r="D90" s="349" t="s">
        <v>410</v>
      </c>
      <c r="E90" s="351" t="s">
        <v>411</v>
      </c>
      <c r="F90" s="196" t="s">
        <v>414</v>
      </c>
      <c r="G90" s="196"/>
      <c r="H90" s="548">
        <v>45765</v>
      </c>
      <c r="I90" s="575" t="s">
        <v>454</v>
      </c>
    </row>
    <row r="91" spans="1:10" s="201" customFormat="1" ht="20.100000000000001" hidden="1" customHeight="1" outlineLevel="1" x14ac:dyDescent="0.4">
      <c r="A91" s="559"/>
      <c r="B91" s="370"/>
      <c r="C91" s="370"/>
      <c r="D91" s="370"/>
      <c r="E91" s="560"/>
      <c r="F91" s="204" t="s">
        <v>401</v>
      </c>
      <c r="G91" s="204"/>
      <c r="H91" s="549"/>
      <c r="I91" s="571"/>
    </row>
    <row r="92" spans="1:10" s="201" customFormat="1" ht="20.100000000000001" hidden="1" customHeight="1" outlineLevel="1" x14ac:dyDescent="0.4">
      <c r="A92" s="559"/>
      <c r="B92" s="370"/>
      <c r="C92" s="370"/>
      <c r="D92" s="370"/>
      <c r="E92" s="560"/>
      <c r="F92" s="204" t="s">
        <v>402</v>
      </c>
      <c r="G92" s="204"/>
      <c r="H92" s="549"/>
      <c r="I92" s="571"/>
    </row>
    <row r="93" spans="1:10" s="201" customFormat="1" ht="20.100000000000001" hidden="1" customHeight="1" outlineLevel="1" x14ac:dyDescent="0.4">
      <c r="A93" s="559"/>
      <c r="B93" s="370"/>
      <c r="C93" s="370"/>
      <c r="D93" s="370"/>
      <c r="E93" s="560"/>
      <c r="F93" s="204" t="s">
        <v>403</v>
      </c>
      <c r="G93" s="204"/>
      <c r="H93" s="549"/>
      <c r="I93" s="571"/>
    </row>
    <row r="94" spans="1:10" s="201" customFormat="1" ht="20.100000000000001" hidden="1" customHeight="1" outlineLevel="1" x14ac:dyDescent="0.4">
      <c r="A94" s="348"/>
      <c r="B94" s="350"/>
      <c r="C94" s="350"/>
      <c r="D94" s="350"/>
      <c r="E94" s="352"/>
      <c r="F94" s="90" t="s">
        <v>413</v>
      </c>
      <c r="G94" s="90"/>
      <c r="H94" s="550"/>
      <c r="I94" s="577"/>
      <c r="J94" s="201" t="s">
        <v>412</v>
      </c>
    </row>
    <row r="95" spans="1:10" s="201" customFormat="1" ht="15.75" hidden="1" outlineLevel="1" collapsed="1" x14ac:dyDescent="0.4">
      <c r="A95" s="347">
        <v>7</v>
      </c>
      <c r="B95" s="349" t="s">
        <v>439</v>
      </c>
      <c r="C95" s="349" t="s">
        <v>437</v>
      </c>
      <c r="D95" s="349"/>
      <c r="E95" s="576" t="s">
        <v>443</v>
      </c>
      <c r="F95" s="196"/>
      <c r="G95" s="196"/>
      <c r="H95" s="548" t="s">
        <v>382</v>
      </c>
      <c r="I95" s="553" t="s">
        <v>510</v>
      </c>
    </row>
    <row r="96" spans="1:10" s="201" customFormat="1" ht="15.75" hidden="1" outlineLevel="1" x14ac:dyDescent="0.4">
      <c r="A96" s="559"/>
      <c r="B96" s="370"/>
      <c r="C96" s="370"/>
      <c r="D96" s="370"/>
      <c r="E96" s="578"/>
      <c r="F96" s="204" t="s">
        <v>444</v>
      </c>
      <c r="G96" s="204"/>
      <c r="H96" s="549"/>
      <c r="I96" s="554"/>
    </row>
    <row r="97" spans="1:10" s="201" customFormat="1" ht="15.75" hidden="1" outlineLevel="1" x14ac:dyDescent="0.4">
      <c r="A97" s="559"/>
      <c r="B97" s="370"/>
      <c r="C97" s="370"/>
      <c r="D97" s="370"/>
      <c r="E97" s="560"/>
      <c r="F97" s="204" t="s">
        <v>480</v>
      </c>
      <c r="G97" s="204"/>
      <c r="H97" s="549"/>
      <c r="I97" s="570"/>
    </row>
    <row r="98" spans="1:10" s="201" customFormat="1" ht="15.75" hidden="1" outlineLevel="1" x14ac:dyDescent="0.4">
      <c r="A98" s="559"/>
      <c r="B98" s="370"/>
      <c r="C98" s="370"/>
      <c r="D98" s="370"/>
      <c r="E98" s="560"/>
      <c r="F98" s="204" t="s">
        <v>508</v>
      </c>
      <c r="G98" s="204"/>
      <c r="H98" s="549"/>
      <c r="I98" s="570"/>
    </row>
    <row r="99" spans="1:10" s="201" customFormat="1" ht="15.75" hidden="1" outlineLevel="1" x14ac:dyDescent="0.4">
      <c r="A99" s="559"/>
      <c r="B99" s="370"/>
      <c r="C99" s="370"/>
      <c r="D99" s="370"/>
      <c r="E99" s="560"/>
      <c r="F99" s="204" t="s">
        <v>481</v>
      </c>
      <c r="G99" s="204"/>
      <c r="H99" s="549"/>
      <c r="I99" s="570"/>
      <c r="J99" s="263" t="s">
        <v>445</v>
      </c>
    </row>
    <row r="100" spans="1:10" s="201" customFormat="1" ht="18.75" hidden="1" outlineLevel="1" x14ac:dyDescent="0.4">
      <c r="A100" s="348"/>
      <c r="B100" s="350"/>
      <c r="C100" s="350"/>
      <c r="D100" s="350"/>
      <c r="E100" s="352"/>
      <c r="F100" s="90"/>
      <c r="G100" s="90"/>
      <c r="H100" s="550"/>
      <c r="I100" s="572"/>
      <c r="J100" t="s">
        <v>518</v>
      </c>
    </row>
    <row r="101" spans="1:10" s="201" customFormat="1" ht="15.75" hidden="1" outlineLevel="1" collapsed="1" x14ac:dyDescent="0.4">
      <c r="A101" s="347">
        <v>8</v>
      </c>
      <c r="B101" s="349" t="s">
        <v>439</v>
      </c>
      <c r="C101" s="349" t="s">
        <v>438</v>
      </c>
      <c r="D101" s="259"/>
      <c r="E101" s="351" t="s">
        <v>446</v>
      </c>
      <c r="F101" s="196"/>
      <c r="G101" s="196"/>
      <c r="H101" s="548" t="s">
        <v>447</v>
      </c>
      <c r="I101" s="553" t="s">
        <v>494</v>
      </c>
      <c r="J101" s="264"/>
    </row>
    <row r="102" spans="1:10" s="201" customFormat="1" ht="15.75" hidden="1" outlineLevel="1" x14ac:dyDescent="0.4">
      <c r="A102" s="559"/>
      <c r="B102" s="370"/>
      <c r="C102" s="370"/>
      <c r="D102" s="261"/>
      <c r="E102" s="560"/>
      <c r="F102" s="204" t="s">
        <v>444</v>
      </c>
      <c r="G102" s="204"/>
      <c r="H102" s="549"/>
      <c r="I102" s="554"/>
      <c r="J102" s="264"/>
    </row>
    <row r="103" spans="1:10" s="201" customFormat="1" ht="15.75" hidden="1" outlineLevel="1" x14ac:dyDescent="0.4">
      <c r="A103" s="559"/>
      <c r="B103" s="370"/>
      <c r="C103" s="370"/>
      <c r="D103" s="261"/>
      <c r="E103" s="560"/>
      <c r="F103" s="204" t="s">
        <v>480</v>
      </c>
      <c r="G103" s="204"/>
      <c r="H103" s="549"/>
      <c r="I103" s="570"/>
      <c r="J103" s="264"/>
    </row>
    <row r="104" spans="1:10" s="201" customFormat="1" ht="15.75" hidden="1" outlineLevel="1" x14ac:dyDescent="0.4">
      <c r="A104" s="559"/>
      <c r="B104" s="370"/>
      <c r="C104" s="370"/>
      <c r="D104" s="261"/>
      <c r="E104" s="560"/>
      <c r="F104" s="204" t="s">
        <v>481</v>
      </c>
      <c r="G104" s="204"/>
      <c r="H104" s="549"/>
      <c r="I104" s="570"/>
      <c r="J104" s="264"/>
    </row>
    <row r="105" spans="1:10" s="201" customFormat="1" ht="18.75" hidden="1" outlineLevel="1" x14ac:dyDescent="0.4">
      <c r="A105" s="348"/>
      <c r="B105" s="350"/>
      <c r="C105" s="350"/>
      <c r="D105" s="260"/>
      <c r="E105" s="352"/>
      <c r="F105" s="204"/>
      <c r="G105" s="204"/>
      <c r="H105" s="550"/>
      <c r="I105" s="570"/>
      <c r="J105" t="s">
        <v>448</v>
      </c>
    </row>
    <row r="106" spans="1:10" s="201" customFormat="1" ht="20.100000000000001" hidden="1" customHeight="1" outlineLevel="1" collapsed="1" x14ac:dyDescent="0.4">
      <c r="A106" s="551">
        <v>9</v>
      </c>
      <c r="B106" s="349" t="s">
        <v>462</v>
      </c>
      <c r="C106" s="349" t="s">
        <v>456</v>
      </c>
      <c r="D106" s="349" t="s">
        <v>459</v>
      </c>
      <c r="E106" s="351" t="s">
        <v>458</v>
      </c>
      <c r="F106" s="196" t="s">
        <v>461</v>
      </c>
      <c r="G106" s="196"/>
      <c r="H106" s="548">
        <v>45770</v>
      </c>
      <c r="I106" s="575" t="s">
        <v>511</v>
      </c>
    </row>
    <row r="107" spans="1:10" s="201" customFormat="1" ht="20.100000000000001" hidden="1" customHeight="1" outlineLevel="1" x14ac:dyDescent="0.4">
      <c r="A107" s="556"/>
      <c r="B107" s="370"/>
      <c r="C107" s="370"/>
      <c r="D107" s="370"/>
      <c r="E107" s="560"/>
      <c r="F107" s="204" t="s">
        <v>492</v>
      </c>
      <c r="G107" s="204"/>
      <c r="H107" s="549"/>
      <c r="I107" s="571"/>
    </row>
    <row r="108" spans="1:10" s="201" customFormat="1" ht="20.100000000000001" hidden="1" customHeight="1" outlineLevel="1" x14ac:dyDescent="0.4">
      <c r="A108" s="556"/>
      <c r="B108" s="370"/>
      <c r="C108" s="370"/>
      <c r="D108" s="370"/>
      <c r="E108" s="560"/>
      <c r="F108" s="204" t="s">
        <v>403</v>
      </c>
      <c r="G108" s="204"/>
      <c r="H108" s="549"/>
      <c r="I108" s="571"/>
      <c r="J108" s="201" t="s">
        <v>465</v>
      </c>
    </row>
    <row r="109" spans="1:10" ht="20.100000000000001" hidden="1" customHeight="1" outlineLevel="1" collapsed="1" x14ac:dyDescent="0.4">
      <c r="A109" s="551">
        <v>10</v>
      </c>
      <c r="B109" s="349" t="s">
        <v>467</v>
      </c>
      <c r="C109" s="349" t="s">
        <v>457</v>
      </c>
      <c r="D109" s="349" t="s">
        <v>463</v>
      </c>
      <c r="E109" s="351" t="s">
        <v>464</v>
      </c>
      <c r="F109" s="196" t="s">
        <v>460</v>
      </c>
      <c r="G109" s="196"/>
      <c r="H109" s="548">
        <v>45793</v>
      </c>
      <c r="I109" s="575" t="s">
        <v>454</v>
      </c>
    </row>
    <row r="110" spans="1:10" ht="20.100000000000001" hidden="1" customHeight="1" outlineLevel="1" x14ac:dyDescent="0.4">
      <c r="A110" s="556"/>
      <c r="B110" s="370"/>
      <c r="C110" s="370"/>
      <c r="D110" s="370"/>
      <c r="E110" s="560"/>
      <c r="F110" s="204" t="s">
        <v>401</v>
      </c>
      <c r="G110" s="204"/>
      <c r="H110" s="549"/>
      <c r="I110" s="571"/>
    </row>
    <row r="111" spans="1:10" s="201" customFormat="1" ht="20.100000000000001" hidden="1" customHeight="1" outlineLevel="1" x14ac:dyDescent="0.4">
      <c r="A111" s="556"/>
      <c r="B111" s="370"/>
      <c r="C111" s="370"/>
      <c r="D111" s="370"/>
      <c r="E111" s="560"/>
      <c r="F111" s="204" t="s">
        <v>402</v>
      </c>
      <c r="G111" s="204"/>
      <c r="H111" s="549"/>
      <c r="I111" s="571"/>
    </row>
    <row r="112" spans="1:10" ht="20.100000000000001" hidden="1" customHeight="1" outlineLevel="1" x14ac:dyDescent="0.4">
      <c r="A112" s="556"/>
      <c r="B112" s="370"/>
      <c r="C112" s="370"/>
      <c r="D112" s="370"/>
      <c r="E112" s="560"/>
      <c r="F112" s="204" t="s">
        <v>403</v>
      </c>
      <c r="G112" s="204"/>
      <c r="H112" s="549"/>
      <c r="I112" s="571"/>
    </row>
    <row r="113" spans="1:10" ht="20.100000000000001" hidden="1" customHeight="1" outlineLevel="1" x14ac:dyDescent="0.4">
      <c r="A113" s="552"/>
      <c r="B113" s="350"/>
      <c r="C113" s="350"/>
      <c r="D113" s="350"/>
      <c r="E113" s="352"/>
      <c r="F113" s="90" t="s">
        <v>413</v>
      </c>
      <c r="G113" s="90"/>
      <c r="H113" s="550"/>
      <c r="I113" s="577"/>
      <c r="J113" s="201" t="s">
        <v>466</v>
      </c>
    </row>
    <row r="114" spans="1:10" s="201" customFormat="1" ht="15.75" hidden="1" outlineLevel="1" collapsed="1" x14ac:dyDescent="0.4">
      <c r="A114" s="347">
        <v>11</v>
      </c>
      <c r="B114" s="349" t="s">
        <v>439</v>
      </c>
      <c r="C114" s="349" t="s">
        <v>478</v>
      </c>
      <c r="D114" s="265"/>
      <c r="E114" s="351" t="s">
        <v>479</v>
      </c>
      <c r="F114" s="196"/>
      <c r="G114" s="196"/>
      <c r="H114" s="548" t="s">
        <v>447</v>
      </c>
      <c r="I114" s="553" t="s">
        <v>454</v>
      </c>
      <c r="J114" s="264"/>
    </row>
    <row r="115" spans="1:10" s="201" customFormat="1" ht="15.75" hidden="1" outlineLevel="1" x14ac:dyDescent="0.4">
      <c r="A115" s="559"/>
      <c r="B115" s="370"/>
      <c r="C115" s="370"/>
      <c r="D115" s="267"/>
      <c r="E115" s="560"/>
      <c r="F115" s="204" t="s">
        <v>444</v>
      </c>
      <c r="G115" s="204"/>
      <c r="H115" s="549"/>
      <c r="I115" s="554"/>
      <c r="J115" s="264"/>
    </row>
    <row r="116" spans="1:10" s="201" customFormat="1" ht="15.75" hidden="1" outlineLevel="1" x14ac:dyDescent="0.4">
      <c r="A116" s="559"/>
      <c r="B116" s="370"/>
      <c r="C116" s="370"/>
      <c r="D116" s="267"/>
      <c r="E116" s="560"/>
      <c r="F116" s="204" t="s">
        <v>480</v>
      </c>
      <c r="G116" s="204"/>
      <c r="H116" s="549"/>
      <c r="I116" s="570"/>
      <c r="J116" s="264"/>
    </row>
    <row r="117" spans="1:10" s="201" customFormat="1" ht="15.75" hidden="1" outlineLevel="1" x14ac:dyDescent="0.4">
      <c r="A117" s="559"/>
      <c r="B117" s="370"/>
      <c r="C117" s="370"/>
      <c r="D117" s="267"/>
      <c r="E117" s="560"/>
      <c r="F117" s="204" t="s">
        <v>481</v>
      </c>
      <c r="G117" s="204"/>
      <c r="H117" s="549"/>
      <c r="I117" s="570"/>
      <c r="J117" s="264"/>
    </row>
    <row r="118" spans="1:10" s="201" customFormat="1" ht="18.75" hidden="1" outlineLevel="1" x14ac:dyDescent="0.4">
      <c r="A118" s="348"/>
      <c r="B118" s="350"/>
      <c r="C118" s="350"/>
      <c r="D118" s="266"/>
      <c r="E118" s="352"/>
      <c r="F118" s="204"/>
      <c r="G118" s="204"/>
      <c r="H118" s="550"/>
      <c r="I118" s="570"/>
      <c r="J118" s="200" t="s">
        <v>482</v>
      </c>
    </row>
    <row r="119" spans="1:10" ht="20.100000000000001" hidden="1" customHeight="1" outlineLevel="1" collapsed="1" x14ac:dyDescent="0.4">
      <c r="A119" s="551">
        <v>12</v>
      </c>
      <c r="B119" s="349" t="s">
        <v>490</v>
      </c>
      <c r="C119" s="349" t="s">
        <v>486</v>
      </c>
      <c r="D119" s="349"/>
      <c r="E119" s="351" t="s">
        <v>488</v>
      </c>
      <c r="F119" s="196"/>
      <c r="G119" s="196"/>
      <c r="H119" s="548" t="s">
        <v>382</v>
      </c>
      <c r="I119" s="553" t="s">
        <v>531</v>
      </c>
      <c r="J119" s="201"/>
    </row>
    <row r="120" spans="1:10" ht="20.100000000000001" hidden="1" customHeight="1" outlineLevel="1" x14ac:dyDescent="0.4">
      <c r="A120" s="556"/>
      <c r="B120" s="370"/>
      <c r="C120" s="370"/>
      <c r="D120" s="370"/>
      <c r="E120" s="560"/>
      <c r="F120" s="204" t="s">
        <v>444</v>
      </c>
      <c r="G120" s="204"/>
      <c r="H120" s="549"/>
      <c r="I120" s="557"/>
      <c r="J120" s="201"/>
    </row>
    <row r="121" spans="1:10" s="201" customFormat="1" ht="20.100000000000001" hidden="1" customHeight="1" outlineLevel="1" x14ac:dyDescent="0.4">
      <c r="A121" s="556"/>
      <c r="B121" s="370"/>
      <c r="C121" s="370"/>
      <c r="D121" s="370"/>
      <c r="E121" s="560"/>
      <c r="F121" s="204" t="s">
        <v>497</v>
      </c>
      <c r="G121" s="204"/>
      <c r="H121" s="549"/>
      <c r="I121" s="557"/>
    </row>
    <row r="122" spans="1:10" s="201" customFormat="1" ht="20.100000000000001" hidden="1" customHeight="1" outlineLevel="1" x14ac:dyDescent="0.4">
      <c r="A122" s="556"/>
      <c r="B122" s="370"/>
      <c r="C122" s="370"/>
      <c r="D122" s="370"/>
      <c r="E122" s="560"/>
      <c r="F122" s="204" t="s">
        <v>481</v>
      </c>
      <c r="G122" s="204"/>
      <c r="H122" s="549"/>
      <c r="I122" s="557"/>
    </row>
    <row r="123" spans="1:10" s="201" customFormat="1" ht="20.100000000000001" hidden="1" customHeight="1" outlineLevel="1" collapsed="1" x14ac:dyDescent="0.4">
      <c r="A123" s="556"/>
      <c r="B123" s="370"/>
      <c r="C123" s="370"/>
      <c r="D123" s="370"/>
      <c r="E123" s="560"/>
      <c r="F123" s="204"/>
      <c r="G123" s="204"/>
      <c r="H123" s="549"/>
      <c r="I123" s="557"/>
    </row>
    <row r="124" spans="1:10" s="201" customFormat="1" ht="20.100000000000001" hidden="1" customHeight="1" outlineLevel="1" collapsed="1" x14ac:dyDescent="0.4">
      <c r="A124" s="556"/>
      <c r="B124" s="370"/>
      <c r="C124" s="370"/>
      <c r="D124" s="370"/>
      <c r="E124" s="560"/>
      <c r="F124" s="204" t="s">
        <v>527</v>
      </c>
      <c r="G124" s="204"/>
      <c r="H124" s="549"/>
      <c r="I124" s="557"/>
    </row>
    <row r="125" spans="1:10" s="201" customFormat="1" ht="20.100000000000001" hidden="1" customHeight="1" outlineLevel="1" x14ac:dyDescent="0.4">
      <c r="A125" s="556"/>
      <c r="B125" s="370"/>
      <c r="C125" s="370"/>
      <c r="D125" s="370"/>
      <c r="E125" s="560"/>
      <c r="F125" s="204" t="s">
        <v>529</v>
      </c>
      <c r="G125" s="204"/>
      <c r="H125" s="549"/>
      <c r="I125" s="557"/>
    </row>
    <row r="126" spans="1:10" s="201" customFormat="1" ht="20.100000000000001" hidden="1" customHeight="1" outlineLevel="1" x14ac:dyDescent="0.4">
      <c r="A126" s="556"/>
      <c r="B126" s="370"/>
      <c r="C126" s="370"/>
      <c r="D126" s="370"/>
      <c r="E126" s="560"/>
      <c r="F126" s="204" t="s">
        <v>481</v>
      </c>
      <c r="G126" s="204"/>
      <c r="H126" s="549"/>
      <c r="I126" s="557"/>
    </row>
    <row r="127" spans="1:10" s="201" customFormat="1" ht="20.100000000000001" hidden="1" customHeight="1" outlineLevel="1" x14ac:dyDescent="0.4">
      <c r="A127" s="552"/>
      <c r="B127" s="350"/>
      <c r="C127" s="350"/>
      <c r="D127" s="350"/>
      <c r="E127" s="352"/>
      <c r="F127" s="191"/>
      <c r="G127" s="191"/>
      <c r="H127" s="550"/>
      <c r="I127" s="558"/>
      <c r="J127" s="201" t="s">
        <v>493</v>
      </c>
    </row>
    <row r="128" spans="1:10" ht="20.100000000000001" hidden="1" customHeight="1" outlineLevel="1" collapsed="1" x14ac:dyDescent="0.4">
      <c r="A128" s="347">
        <v>13</v>
      </c>
      <c r="B128" s="349" t="s">
        <v>462</v>
      </c>
      <c r="C128" s="349" t="s">
        <v>500</v>
      </c>
      <c r="D128" s="349"/>
      <c r="E128" s="351" t="s">
        <v>501</v>
      </c>
      <c r="F128" s="196"/>
      <c r="G128" s="196"/>
      <c r="H128" s="561" t="s">
        <v>382</v>
      </c>
      <c r="I128" s="582" t="s">
        <v>454</v>
      </c>
    </row>
    <row r="129" spans="1:10" ht="20.100000000000001" hidden="1" customHeight="1" outlineLevel="1" x14ac:dyDescent="0.4">
      <c r="A129" s="559"/>
      <c r="B129" s="370"/>
      <c r="C129" s="370"/>
      <c r="D129" s="370"/>
      <c r="E129" s="560"/>
      <c r="F129" s="204" t="s">
        <v>526</v>
      </c>
      <c r="G129" s="204"/>
      <c r="H129" s="562"/>
      <c r="I129" s="568"/>
    </row>
    <row r="130" spans="1:10" s="201" customFormat="1" ht="20.100000000000001" hidden="1" customHeight="1" outlineLevel="1" x14ac:dyDescent="0.4">
      <c r="A130" s="559"/>
      <c r="B130" s="370"/>
      <c r="C130" s="370"/>
      <c r="D130" s="370"/>
      <c r="E130" s="560"/>
      <c r="F130" s="204" t="s">
        <v>631</v>
      </c>
      <c r="G130" s="204"/>
      <c r="H130" s="562"/>
      <c r="I130" s="568"/>
    </row>
    <row r="131" spans="1:10" s="201" customFormat="1" ht="20.100000000000001" hidden="1" customHeight="1" outlineLevel="1" x14ac:dyDescent="0.4">
      <c r="A131" s="559"/>
      <c r="B131" s="370"/>
      <c r="C131" s="370"/>
      <c r="D131" s="370"/>
      <c r="E131" s="560"/>
      <c r="F131" s="204" t="s">
        <v>639</v>
      </c>
      <c r="G131" s="204"/>
      <c r="H131" s="562"/>
      <c r="I131" s="568"/>
    </row>
    <row r="132" spans="1:10" s="201" customFormat="1" ht="20.100000000000001" hidden="1" customHeight="1" outlineLevel="1" x14ac:dyDescent="0.4">
      <c r="A132" s="559"/>
      <c r="B132" s="370"/>
      <c r="C132" s="370"/>
      <c r="D132" s="370"/>
      <c r="E132" s="560"/>
      <c r="F132" s="204" t="s">
        <v>632</v>
      </c>
      <c r="G132" s="204"/>
      <c r="H132" s="562"/>
      <c r="I132" s="568"/>
    </row>
    <row r="133" spans="1:10" s="201" customFormat="1" ht="20.100000000000001" hidden="1" customHeight="1" outlineLevel="1" x14ac:dyDescent="0.4">
      <c r="A133" s="559"/>
      <c r="B133" s="370"/>
      <c r="C133" s="370"/>
      <c r="D133" s="370"/>
      <c r="E133" s="560"/>
      <c r="F133" s="204" t="s">
        <v>640</v>
      </c>
      <c r="G133" s="204"/>
      <c r="H133" s="562"/>
      <c r="I133" s="568"/>
    </row>
    <row r="134" spans="1:10" ht="20.100000000000001" hidden="1" customHeight="1" outlineLevel="1" x14ac:dyDescent="0.4">
      <c r="A134" s="348"/>
      <c r="B134" s="350"/>
      <c r="C134" s="350"/>
      <c r="D134" s="350"/>
      <c r="E134" s="352"/>
      <c r="F134" s="90"/>
      <c r="G134" s="90"/>
      <c r="H134" s="562"/>
      <c r="I134" s="568"/>
      <c r="J134" s="1" t="s">
        <v>586</v>
      </c>
    </row>
    <row r="135" spans="1:10" ht="20.100000000000001" hidden="1" customHeight="1" outlineLevel="1" x14ac:dyDescent="0.4">
      <c r="A135" s="347">
        <f>A128+1</f>
        <v>14</v>
      </c>
      <c r="B135" s="349" t="s">
        <v>517</v>
      </c>
      <c r="C135" s="349" t="s">
        <v>516</v>
      </c>
      <c r="D135" s="349" t="s">
        <v>386</v>
      </c>
      <c r="E135" s="351" t="s">
        <v>514</v>
      </c>
      <c r="F135" s="196"/>
      <c r="G135" s="204"/>
      <c r="H135" s="587">
        <v>45863</v>
      </c>
      <c r="I135" s="553" t="s">
        <v>454</v>
      </c>
    </row>
    <row r="136" spans="1:10" ht="20.100000000000001" hidden="1" customHeight="1" outlineLevel="1" x14ac:dyDescent="0.4">
      <c r="A136" s="559"/>
      <c r="B136" s="370"/>
      <c r="C136" s="370"/>
      <c r="D136" s="370"/>
      <c r="E136" s="560"/>
      <c r="F136" s="204" t="s">
        <v>444</v>
      </c>
      <c r="G136" s="204"/>
      <c r="H136" s="588"/>
      <c r="I136" s="554"/>
    </row>
    <row r="137" spans="1:10" ht="20.100000000000001" hidden="1" customHeight="1" outlineLevel="1" x14ac:dyDescent="0.4">
      <c r="A137" s="559"/>
      <c r="B137" s="370"/>
      <c r="C137" s="370"/>
      <c r="D137" s="370"/>
      <c r="E137" s="560"/>
      <c r="F137" s="204" t="s">
        <v>529</v>
      </c>
      <c r="G137" s="204"/>
      <c r="H137" s="588"/>
      <c r="I137" s="554"/>
    </row>
    <row r="138" spans="1:10" s="201" customFormat="1" ht="20.100000000000001" hidden="1" customHeight="1" outlineLevel="1" x14ac:dyDescent="0.4">
      <c r="A138" s="559"/>
      <c r="B138" s="370"/>
      <c r="C138" s="370"/>
      <c r="D138" s="370"/>
      <c r="E138" s="560"/>
      <c r="F138" s="204" t="s">
        <v>481</v>
      </c>
      <c r="G138" s="204"/>
      <c r="H138" s="588"/>
      <c r="I138" s="554"/>
    </row>
    <row r="139" spans="1:10" s="201" customFormat="1" ht="20.100000000000001" hidden="1" customHeight="1" outlineLevel="1" x14ac:dyDescent="0.4">
      <c r="A139" s="559"/>
      <c r="B139" s="370"/>
      <c r="C139" s="370"/>
      <c r="D139" s="370"/>
      <c r="E139" s="560"/>
      <c r="F139" s="204" t="s">
        <v>580</v>
      </c>
      <c r="G139" s="204"/>
      <c r="H139" s="588"/>
      <c r="I139" s="554"/>
    </row>
    <row r="140" spans="1:10" s="201" customFormat="1" ht="20.100000000000001" hidden="1" customHeight="1" outlineLevel="1" x14ac:dyDescent="0.4">
      <c r="A140" s="559"/>
      <c r="B140" s="370"/>
      <c r="C140" s="370"/>
      <c r="D140" s="370"/>
      <c r="E140" s="560"/>
      <c r="F140" s="90" t="s">
        <v>593</v>
      </c>
      <c r="G140" s="90"/>
      <c r="H140" s="589"/>
      <c r="I140" s="555"/>
    </row>
    <row r="141" spans="1:10" s="201" customFormat="1" ht="20.100000000000001" hidden="1" customHeight="1" outlineLevel="1" collapsed="1" x14ac:dyDescent="0.4">
      <c r="A141" s="559"/>
      <c r="B141" s="370"/>
      <c r="C141" s="370"/>
      <c r="D141" s="370"/>
      <c r="E141" s="560"/>
      <c r="F141" s="204"/>
      <c r="G141" s="204"/>
      <c r="H141" s="548">
        <v>45905</v>
      </c>
      <c r="I141" s="575" t="s">
        <v>454</v>
      </c>
    </row>
    <row r="142" spans="1:10" s="201" customFormat="1" ht="20.100000000000001" hidden="1" customHeight="1" outlineLevel="1" x14ac:dyDescent="0.4">
      <c r="A142" s="559"/>
      <c r="B142" s="370"/>
      <c r="C142" s="370"/>
      <c r="D142" s="370"/>
      <c r="E142" s="560"/>
      <c r="F142" s="204" t="s">
        <v>633</v>
      </c>
      <c r="G142" s="204"/>
      <c r="H142" s="549"/>
      <c r="I142" s="571"/>
    </row>
    <row r="143" spans="1:10" s="201" customFormat="1" ht="20.100000000000001" hidden="1" customHeight="1" outlineLevel="1" x14ac:dyDescent="0.4">
      <c r="A143" s="559"/>
      <c r="B143" s="370"/>
      <c r="C143" s="370"/>
      <c r="D143" s="370"/>
      <c r="E143" s="560"/>
      <c r="F143" s="204" t="s">
        <v>647</v>
      </c>
      <c r="G143" s="204"/>
      <c r="H143" s="549"/>
      <c r="I143" s="571"/>
    </row>
    <row r="144" spans="1:10" ht="20.100000000000001" hidden="1" customHeight="1" outlineLevel="1" x14ac:dyDescent="0.4">
      <c r="A144" s="348"/>
      <c r="B144" s="350"/>
      <c r="C144" s="350"/>
      <c r="D144" s="350"/>
      <c r="E144" s="352"/>
      <c r="F144" s="90"/>
      <c r="G144" s="90"/>
      <c r="H144" s="550"/>
      <c r="I144" s="577"/>
      <c r="J144" s="1" t="s">
        <v>587</v>
      </c>
    </row>
    <row r="145" spans="1:10" s="194" customFormat="1" ht="20.100000000000001" hidden="1" customHeight="1" outlineLevel="1" collapsed="1" x14ac:dyDescent="0.4">
      <c r="A145" s="347">
        <v>15</v>
      </c>
      <c r="B145" s="349" t="s">
        <v>392</v>
      </c>
      <c r="C145" s="349" t="s">
        <v>513</v>
      </c>
      <c r="D145" s="349" t="s">
        <v>386</v>
      </c>
      <c r="E145" s="351" t="s">
        <v>515</v>
      </c>
      <c r="F145" s="196"/>
      <c r="G145" s="204"/>
      <c r="H145" s="585" t="s">
        <v>447</v>
      </c>
      <c r="I145" s="582" t="s">
        <v>454</v>
      </c>
    </row>
    <row r="146" spans="1:10" s="201" customFormat="1" ht="20.100000000000001" hidden="1" customHeight="1" outlineLevel="1" x14ac:dyDescent="0.4">
      <c r="A146" s="559"/>
      <c r="B146" s="370"/>
      <c r="C146" s="370"/>
      <c r="D146" s="370"/>
      <c r="E146" s="560"/>
      <c r="F146" s="204" t="s">
        <v>557</v>
      </c>
      <c r="G146" s="204"/>
      <c r="H146" s="586"/>
      <c r="I146" s="583"/>
    </row>
    <row r="147" spans="1:10" s="194" customFormat="1" ht="20.100000000000001" hidden="1" customHeight="1" outlineLevel="1" x14ac:dyDescent="0.4">
      <c r="A147" s="559"/>
      <c r="B147" s="370"/>
      <c r="C147" s="370"/>
      <c r="D147" s="370"/>
      <c r="E147" s="560"/>
      <c r="F147" s="204" t="s">
        <v>461</v>
      </c>
      <c r="G147" s="204"/>
      <c r="H147" s="586"/>
      <c r="I147" s="583"/>
    </row>
    <row r="148" spans="1:10" s="201" customFormat="1" ht="20.100000000000001" hidden="1" customHeight="1" outlineLevel="1" x14ac:dyDescent="0.4">
      <c r="A148" s="559"/>
      <c r="B148" s="370"/>
      <c r="C148" s="370"/>
      <c r="D148" s="370"/>
      <c r="E148" s="560"/>
      <c r="F148" s="204" t="s">
        <v>481</v>
      </c>
      <c r="G148" s="204"/>
      <c r="H148" s="586"/>
      <c r="I148" s="583"/>
    </row>
    <row r="149" spans="1:10" s="201" customFormat="1" ht="20.100000000000001" hidden="1" customHeight="1" outlineLevel="1" x14ac:dyDescent="0.4">
      <c r="A149" s="559"/>
      <c r="B149" s="370"/>
      <c r="C149" s="370"/>
      <c r="D149" s="370"/>
      <c r="E149" s="560"/>
      <c r="F149" s="204" t="s">
        <v>554</v>
      </c>
      <c r="G149" s="204"/>
      <c r="H149" s="586"/>
      <c r="I149" s="583"/>
    </row>
    <row r="150" spans="1:10" s="194" customFormat="1" ht="20.100000000000001" hidden="1" customHeight="1" outlineLevel="1" x14ac:dyDescent="0.4">
      <c r="A150" s="348"/>
      <c r="B150" s="350"/>
      <c r="C150" s="350"/>
      <c r="D150" s="350"/>
      <c r="E150" s="352"/>
      <c r="F150" s="90"/>
      <c r="G150" s="90"/>
      <c r="H150" s="586"/>
      <c r="I150" s="583"/>
      <c r="J150" s="194" t="s">
        <v>466</v>
      </c>
    </row>
    <row r="151" spans="1:10" s="194" customFormat="1" ht="18.75" hidden="1" customHeight="1" outlineLevel="1" x14ac:dyDescent="0.4">
      <c r="A151" s="347">
        <v>16</v>
      </c>
      <c r="B151" s="349" t="s">
        <v>436</v>
      </c>
      <c r="C151" s="349" t="s">
        <v>537</v>
      </c>
      <c r="D151" s="349"/>
      <c r="E151" s="351" t="s">
        <v>538</v>
      </c>
      <c r="F151" s="196"/>
      <c r="G151" s="196"/>
      <c r="H151" s="561">
        <v>45835</v>
      </c>
      <c r="I151" s="582" t="s">
        <v>454</v>
      </c>
    </row>
    <row r="152" spans="1:10" s="194" customFormat="1" ht="18.75" hidden="1" customHeight="1" outlineLevel="1" x14ac:dyDescent="0.4">
      <c r="A152" s="559"/>
      <c r="B152" s="370"/>
      <c r="C152" s="370"/>
      <c r="D152" s="370"/>
      <c r="E152" s="560"/>
      <c r="F152" s="204" t="s">
        <v>542</v>
      </c>
      <c r="G152" s="204"/>
      <c r="H152" s="562"/>
      <c r="I152" s="583"/>
    </row>
    <row r="153" spans="1:10" s="201" customFormat="1" ht="18.75" hidden="1" customHeight="1" outlineLevel="1" x14ac:dyDescent="0.4">
      <c r="A153" s="559"/>
      <c r="B153" s="370"/>
      <c r="C153" s="370"/>
      <c r="D153" s="370"/>
      <c r="E153" s="560"/>
      <c r="F153" s="204" t="s">
        <v>543</v>
      </c>
      <c r="G153" s="204"/>
      <c r="H153" s="562"/>
      <c r="I153" s="583"/>
    </row>
    <row r="154" spans="1:10" s="201" customFormat="1" ht="18.75" hidden="1" customHeight="1" outlineLevel="1" x14ac:dyDescent="0.4">
      <c r="A154" s="559"/>
      <c r="B154" s="370"/>
      <c r="C154" s="370"/>
      <c r="D154" s="370"/>
      <c r="E154" s="560"/>
      <c r="F154" s="204" t="s">
        <v>551</v>
      </c>
      <c r="G154" s="204"/>
      <c r="H154" s="562"/>
      <c r="I154" s="583"/>
    </row>
    <row r="155" spans="1:10" s="201" customFormat="1" ht="18.75" hidden="1" customHeight="1" outlineLevel="1" x14ac:dyDescent="0.4">
      <c r="A155" s="559"/>
      <c r="B155" s="370"/>
      <c r="C155" s="370"/>
      <c r="D155" s="370"/>
      <c r="E155" s="560"/>
      <c r="F155" s="204" t="s">
        <v>552</v>
      </c>
      <c r="G155" s="204"/>
      <c r="H155" s="562"/>
      <c r="I155" s="583"/>
    </row>
    <row r="156" spans="1:10" s="194" customFormat="1" ht="18.75" hidden="1" customHeight="1" outlineLevel="1" x14ac:dyDescent="0.4">
      <c r="A156" s="348"/>
      <c r="B156" s="350"/>
      <c r="C156" s="350"/>
      <c r="D156" s="350"/>
      <c r="E156" s="352"/>
      <c r="F156" s="90"/>
      <c r="G156" s="90"/>
      <c r="H156" s="562"/>
      <c r="I156" s="583"/>
      <c r="J156" s="194" t="s">
        <v>539</v>
      </c>
    </row>
    <row r="157" spans="1:10" s="194" customFormat="1" ht="20.100000000000001" hidden="1" customHeight="1" outlineLevel="1" collapsed="1" x14ac:dyDescent="0.4">
      <c r="A157" s="347">
        <v>17</v>
      </c>
      <c r="B157" s="349" t="s">
        <v>436</v>
      </c>
      <c r="C157" s="349" t="s">
        <v>540</v>
      </c>
      <c r="D157" s="349"/>
      <c r="E157" s="351" t="s">
        <v>541</v>
      </c>
      <c r="F157" s="196"/>
      <c r="G157" s="196"/>
      <c r="H157" s="561">
        <v>45856</v>
      </c>
      <c r="I157" s="575" t="s">
        <v>454</v>
      </c>
    </row>
    <row r="158" spans="1:10" s="201" customFormat="1" ht="20.100000000000001" hidden="1" customHeight="1" outlineLevel="1" x14ac:dyDescent="0.4">
      <c r="A158" s="559"/>
      <c r="B158" s="370"/>
      <c r="C158" s="370"/>
      <c r="D158" s="370"/>
      <c r="E158" s="560"/>
      <c r="F158" s="204" t="s">
        <v>544</v>
      </c>
      <c r="G158" s="204"/>
      <c r="H158" s="561"/>
      <c r="I158" s="571"/>
    </row>
    <row r="159" spans="1:10" s="201" customFormat="1" ht="20.100000000000001" hidden="1" customHeight="1" outlineLevel="1" x14ac:dyDescent="0.4">
      <c r="A159" s="559"/>
      <c r="B159" s="370"/>
      <c r="C159" s="370"/>
      <c r="D159" s="370"/>
      <c r="E159" s="560"/>
      <c r="F159" s="204" t="s">
        <v>553</v>
      </c>
      <c r="G159" s="204"/>
      <c r="H159" s="561"/>
      <c r="I159" s="571"/>
    </row>
    <row r="160" spans="1:10" s="201" customFormat="1" ht="20.100000000000001" hidden="1" customHeight="1" outlineLevel="1" x14ac:dyDescent="0.4">
      <c r="A160" s="559"/>
      <c r="B160" s="370"/>
      <c r="C160" s="370"/>
      <c r="D160" s="370"/>
      <c r="E160" s="560"/>
      <c r="F160" s="204" t="s">
        <v>545</v>
      </c>
      <c r="G160" s="204"/>
      <c r="H160" s="561"/>
      <c r="I160" s="571"/>
    </row>
    <row r="161" spans="1:10" s="194" customFormat="1" ht="20.100000000000001" hidden="1" customHeight="1" outlineLevel="1" x14ac:dyDescent="0.4">
      <c r="A161" s="559"/>
      <c r="B161" s="370"/>
      <c r="C161" s="370"/>
      <c r="D161" s="370"/>
      <c r="E161" s="560"/>
      <c r="F161" s="204" t="s">
        <v>546</v>
      </c>
      <c r="G161" s="204"/>
      <c r="H161" s="562"/>
      <c r="I161" s="571"/>
    </row>
    <row r="162" spans="1:10" s="201" customFormat="1" ht="20.100000000000001" hidden="1" customHeight="1" outlineLevel="1" x14ac:dyDescent="0.4">
      <c r="A162" s="559"/>
      <c r="B162" s="370"/>
      <c r="C162" s="370"/>
      <c r="D162" s="370"/>
      <c r="E162" s="560"/>
      <c r="F162" s="204" t="s">
        <v>558</v>
      </c>
      <c r="G162" s="204"/>
      <c r="H162" s="562"/>
      <c r="I162" s="571"/>
    </row>
    <row r="163" spans="1:10" s="201" customFormat="1" ht="20.100000000000001" hidden="1" customHeight="1" outlineLevel="1" x14ac:dyDescent="0.4">
      <c r="A163" s="559"/>
      <c r="B163" s="370"/>
      <c r="C163" s="370"/>
      <c r="D163" s="370"/>
      <c r="E163" s="560"/>
      <c r="F163" s="204" t="s">
        <v>481</v>
      </c>
      <c r="G163" s="204"/>
      <c r="H163" s="562"/>
      <c r="I163" s="571"/>
    </row>
    <row r="164" spans="1:10" s="201" customFormat="1" ht="20.100000000000001" hidden="1" customHeight="1" outlineLevel="1" x14ac:dyDescent="0.4">
      <c r="A164" s="559"/>
      <c r="B164" s="370"/>
      <c r="C164" s="370"/>
      <c r="D164" s="370"/>
      <c r="E164" s="560"/>
      <c r="F164" s="204" t="s">
        <v>580</v>
      </c>
      <c r="G164" s="204"/>
      <c r="H164" s="562"/>
      <c r="I164" s="571"/>
    </row>
    <row r="165" spans="1:10" s="194" customFormat="1" ht="20.100000000000001" hidden="1" customHeight="1" outlineLevel="1" x14ac:dyDescent="0.4">
      <c r="A165" s="559"/>
      <c r="B165" s="370"/>
      <c r="C165" s="370"/>
      <c r="D165" s="370"/>
      <c r="E165" s="560"/>
      <c r="F165" s="204" t="s">
        <v>593</v>
      </c>
      <c r="G165" s="204"/>
      <c r="H165" s="562"/>
      <c r="I165" s="571"/>
    </row>
    <row r="166" spans="1:10" s="194" customFormat="1" ht="20.100000000000001" hidden="1" customHeight="1" outlineLevel="1" x14ac:dyDescent="0.4">
      <c r="A166" s="348"/>
      <c r="B166" s="350"/>
      <c r="C166" s="350"/>
      <c r="D166" s="350"/>
      <c r="E166" s="352"/>
      <c r="F166" s="90"/>
      <c r="G166" s="90"/>
      <c r="H166" s="562"/>
      <c r="I166" s="577"/>
      <c r="J166" s="194" t="s">
        <v>547</v>
      </c>
    </row>
    <row r="167" spans="1:10" s="194" customFormat="1" ht="20.100000000000001" hidden="1" customHeight="1" outlineLevel="1" collapsed="1" x14ac:dyDescent="0.4">
      <c r="A167" s="347">
        <v>18</v>
      </c>
      <c r="B167" s="349" t="s">
        <v>576</v>
      </c>
      <c r="C167" s="349" t="s">
        <v>575</v>
      </c>
      <c r="D167" s="349"/>
      <c r="E167" s="351" t="s">
        <v>577</v>
      </c>
      <c r="F167" s="196"/>
      <c r="G167" s="196"/>
      <c r="H167" s="548">
        <v>45859</v>
      </c>
      <c r="I167" s="575" t="s">
        <v>454</v>
      </c>
    </row>
    <row r="168" spans="1:10" s="194" customFormat="1" ht="20.100000000000001" hidden="1" customHeight="1" outlineLevel="1" x14ac:dyDescent="0.4">
      <c r="A168" s="559"/>
      <c r="B168" s="370"/>
      <c r="C168" s="370"/>
      <c r="D168" s="370"/>
      <c r="E168" s="560"/>
      <c r="F168" s="204" t="s">
        <v>444</v>
      </c>
      <c r="G168" s="204"/>
      <c r="H168" s="549"/>
      <c r="I168" s="571"/>
    </row>
    <row r="169" spans="1:10" s="201" customFormat="1" ht="20.100000000000001" hidden="1" customHeight="1" outlineLevel="1" x14ac:dyDescent="0.4">
      <c r="A169" s="559"/>
      <c r="B169" s="370"/>
      <c r="C169" s="370"/>
      <c r="D169" s="370"/>
      <c r="E169" s="560"/>
      <c r="F169" s="204" t="s">
        <v>529</v>
      </c>
      <c r="G169" s="204"/>
      <c r="H169" s="549"/>
      <c r="I169" s="571"/>
    </row>
    <row r="170" spans="1:10" s="201" customFormat="1" ht="20.100000000000001" hidden="1" customHeight="1" outlineLevel="1" x14ac:dyDescent="0.4">
      <c r="A170" s="559"/>
      <c r="B170" s="370"/>
      <c r="C170" s="370"/>
      <c r="D170" s="370"/>
      <c r="E170" s="560"/>
      <c r="F170" s="204" t="s">
        <v>580</v>
      </c>
      <c r="G170" s="204"/>
      <c r="H170" s="549"/>
      <c r="I170" s="571"/>
    </row>
    <row r="171" spans="1:10" s="201" customFormat="1" ht="20.100000000000001" hidden="1" customHeight="1" outlineLevel="1" x14ac:dyDescent="0.4">
      <c r="A171" s="559"/>
      <c r="B171" s="370"/>
      <c r="C171" s="370"/>
      <c r="D171" s="370"/>
      <c r="E171" s="560"/>
      <c r="F171" s="204" t="s">
        <v>593</v>
      </c>
      <c r="G171" s="204"/>
      <c r="H171" s="550"/>
      <c r="I171" s="571"/>
    </row>
    <row r="172" spans="1:10" s="201" customFormat="1" ht="20.100000000000001" hidden="1" customHeight="1" outlineLevel="1" collapsed="1" x14ac:dyDescent="0.4">
      <c r="A172" s="559"/>
      <c r="B172" s="370"/>
      <c r="C172" s="370"/>
      <c r="D172" s="370"/>
      <c r="E172" s="560"/>
      <c r="F172" s="204" t="s">
        <v>403</v>
      </c>
      <c r="G172" s="204"/>
      <c r="H172" s="551" t="s">
        <v>382</v>
      </c>
      <c r="I172" s="571"/>
    </row>
    <row r="173" spans="1:10" s="194" customFormat="1" ht="20.100000000000001" hidden="1" customHeight="1" outlineLevel="1" x14ac:dyDescent="0.4">
      <c r="A173" s="348"/>
      <c r="B173" s="350"/>
      <c r="C173" s="350"/>
      <c r="D173" s="350"/>
      <c r="E173" s="352"/>
      <c r="F173" s="90"/>
      <c r="G173" s="90"/>
      <c r="H173" s="552"/>
      <c r="I173" s="577"/>
      <c r="J173" s="194" t="s">
        <v>588</v>
      </c>
    </row>
    <row r="174" spans="1:10" s="194" customFormat="1" ht="20.100000000000001" hidden="1" customHeight="1" outlineLevel="1" collapsed="1" x14ac:dyDescent="0.4">
      <c r="A174" s="347">
        <v>19</v>
      </c>
      <c r="B174" s="349" t="s">
        <v>348</v>
      </c>
      <c r="C174" s="349" t="s">
        <v>578</v>
      </c>
      <c r="D174" s="349"/>
      <c r="E174" s="576" t="s">
        <v>579</v>
      </c>
      <c r="F174" s="196"/>
      <c r="G174" s="196"/>
      <c r="H174" s="561">
        <v>45863</v>
      </c>
      <c r="I174" s="575" t="s">
        <v>454</v>
      </c>
    </row>
    <row r="175" spans="1:10" s="194" customFormat="1" ht="20.100000000000001" hidden="1" customHeight="1" outlineLevel="1" x14ac:dyDescent="0.4">
      <c r="A175" s="559"/>
      <c r="B175" s="370"/>
      <c r="C175" s="370"/>
      <c r="D175" s="370"/>
      <c r="E175" s="560"/>
      <c r="F175" s="204" t="s">
        <v>594</v>
      </c>
      <c r="G175" s="204"/>
      <c r="H175" s="562"/>
      <c r="I175" s="570"/>
    </row>
    <row r="176" spans="1:10" s="201" customFormat="1" ht="20.100000000000001" hidden="1" customHeight="1" outlineLevel="1" x14ac:dyDescent="0.4">
      <c r="A176" s="559"/>
      <c r="B176" s="370"/>
      <c r="C176" s="370"/>
      <c r="D176" s="370"/>
      <c r="E176" s="560"/>
      <c r="F176" s="204" t="s">
        <v>595</v>
      </c>
      <c r="G176" s="204"/>
      <c r="H176" s="562"/>
      <c r="I176" s="570"/>
    </row>
    <row r="177" spans="1:10" s="201" customFormat="1" ht="20.100000000000001" hidden="1" customHeight="1" outlineLevel="1" x14ac:dyDescent="0.4">
      <c r="A177" s="559"/>
      <c r="B177" s="370"/>
      <c r="C177" s="370"/>
      <c r="D177" s="370"/>
      <c r="E177" s="560"/>
      <c r="F177" s="204" t="s">
        <v>610</v>
      </c>
      <c r="G177" s="204"/>
      <c r="H177" s="562"/>
      <c r="I177" s="570"/>
    </row>
    <row r="178" spans="1:10" s="201" customFormat="1" ht="20.100000000000001" hidden="1" customHeight="1" outlineLevel="1" x14ac:dyDescent="0.4">
      <c r="A178" s="559"/>
      <c r="B178" s="370"/>
      <c r="C178" s="370"/>
      <c r="D178" s="370"/>
      <c r="E178" s="560"/>
      <c r="F178" s="204" t="s">
        <v>481</v>
      </c>
      <c r="G178" s="204"/>
      <c r="H178" s="562"/>
      <c r="I178" s="570"/>
    </row>
    <row r="179" spans="1:10" s="201" customFormat="1" ht="20.100000000000001" hidden="1" customHeight="1" outlineLevel="1" x14ac:dyDescent="0.4">
      <c r="A179" s="559"/>
      <c r="B179" s="370"/>
      <c r="C179" s="370"/>
      <c r="D179" s="370"/>
      <c r="E179" s="560"/>
      <c r="F179" s="204" t="s">
        <v>580</v>
      </c>
      <c r="G179" s="204"/>
      <c r="H179" s="562"/>
      <c r="I179" s="570"/>
    </row>
    <row r="180" spans="1:10" s="201" customFormat="1" ht="20.100000000000001" hidden="1" customHeight="1" outlineLevel="1" x14ac:dyDescent="0.4">
      <c r="A180" s="559"/>
      <c r="B180" s="370"/>
      <c r="C180" s="370"/>
      <c r="D180" s="370"/>
      <c r="E180" s="560"/>
      <c r="F180" s="204" t="s">
        <v>593</v>
      </c>
      <c r="G180" s="204"/>
      <c r="H180" s="562"/>
      <c r="I180" s="570"/>
    </row>
    <row r="181" spans="1:10" s="194" customFormat="1" ht="20.100000000000001" hidden="1" customHeight="1" outlineLevel="1" x14ac:dyDescent="0.4">
      <c r="A181" s="348"/>
      <c r="B181" s="350"/>
      <c r="C181" s="350"/>
      <c r="D181" s="350"/>
      <c r="E181" s="352"/>
      <c r="F181" s="90"/>
      <c r="G181" s="90"/>
      <c r="H181" s="562"/>
      <c r="I181" s="572"/>
      <c r="J181" s="194" t="s">
        <v>589</v>
      </c>
    </row>
    <row r="182" spans="1:10" s="201" customFormat="1" ht="20.100000000000001" hidden="1" customHeight="1" outlineLevel="1" x14ac:dyDescent="0.4">
      <c r="A182" s="347">
        <v>20</v>
      </c>
      <c r="B182" s="349" t="s">
        <v>392</v>
      </c>
      <c r="C182" s="349" t="s">
        <v>598</v>
      </c>
      <c r="D182" s="349"/>
      <c r="E182" s="576" t="s">
        <v>597</v>
      </c>
      <c r="F182" s="196"/>
      <c r="G182" s="196"/>
      <c r="H182" s="548">
        <v>45856</v>
      </c>
      <c r="I182" s="575" t="s">
        <v>609</v>
      </c>
    </row>
    <row r="183" spans="1:10" s="201" customFormat="1" ht="20.100000000000001" hidden="1" customHeight="1" outlineLevel="1" x14ac:dyDescent="0.4">
      <c r="A183" s="559"/>
      <c r="B183" s="370"/>
      <c r="C183" s="370"/>
      <c r="D183" s="370"/>
      <c r="E183" s="578"/>
      <c r="F183" s="204" t="s">
        <v>599</v>
      </c>
      <c r="G183" s="204"/>
      <c r="H183" s="549"/>
      <c r="I183" s="571"/>
    </row>
    <row r="184" spans="1:10" s="201" customFormat="1" ht="20.100000000000001" hidden="1" customHeight="1" outlineLevel="1" x14ac:dyDescent="0.4">
      <c r="A184" s="559"/>
      <c r="B184" s="370"/>
      <c r="C184" s="370"/>
      <c r="D184" s="370"/>
      <c r="E184" s="560"/>
      <c r="F184" s="90" t="s">
        <v>611</v>
      </c>
      <c r="G184" s="90"/>
      <c r="H184" s="550"/>
      <c r="I184" s="577"/>
    </row>
    <row r="185" spans="1:10" s="201" customFormat="1" ht="20.100000000000001" hidden="1" customHeight="1" outlineLevel="1" collapsed="1" x14ac:dyDescent="0.4">
      <c r="A185" s="559"/>
      <c r="B185" s="370"/>
      <c r="C185" s="370"/>
      <c r="D185" s="370"/>
      <c r="E185" s="560"/>
      <c r="F185" s="204" t="s">
        <v>624</v>
      </c>
      <c r="G185" s="204"/>
      <c r="H185" s="548">
        <v>45896</v>
      </c>
      <c r="I185" s="569" t="s">
        <v>454</v>
      </c>
    </row>
    <row r="186" spans="1:10" s="201" customFormat="1" ht="20.100000000000001" hidden="1" customHeight="1" outlineLevel="1" x14ac:dyDescent="0.4">
      <c r="A186" s="559"/>
      <c r="B186" s="370"/>
      <c r="C186" s="370"/>
      <c r="D186" s="370"/>
      <c r="E186" s="560"/>
      <c r="F186" s="204" t="s">
        <v>626</v>
      </c>
      <c r="G186" s="204"/>
      <c r="H186" s="549"/>
      <c r="I186" s="570"/>
    </row>
    <row r="187" spans="1:10" s="201" customFormat="1" ht="20.100000000000001" hidden="1" customHeight="1" outlineLevel="1" x14ac:dyDescent="0.4">
      <c r="A187" s="559"/>
      <c r="B187" s="370"/>
      <c r="C187" s="370"/>
      <c r="D187" s="370"/>
      <c r="E187" s="560"/>
      <c r="F187" s="204" t="s">
        <v>401</v>
      </c>
      <c r="G187" s="204"/>
      <c r="H187" s="549"/>
      <c r="I187" s="570"/>
    </row>
    <row r="188" spans="1:10" s="201" customFormat="1" ht="20.100000000000001" hidden="1" customHeight="1" outlineLevel="1" x14ac:dyDescent="0.4">
      <c r="A188" s="559"/>
      <c r="B188" s="370"/>
      <c r="C188" s="370"/>
      <c r="D188" s="370"/>
      <c r="E188" s="560"/>
      <c r="F188" s="204" t="s">
        <v>634</v>
      </c>
      <c r="G188" s="204"/>
      <c r="H188" s="549"/>
      <c r="I188" s="570"/>
    </row>
    <row r="189" spans="1:10" s="201" customFormat="1" ht="20.100000000000001" hidden="1" customHeight="1" outlineLevel="1" x14ac:dyDescent="0.4">
      <c r="A189" s="559"/>
      <c r="B189" s="370"/>
      <c r="C189" s="370"/>
      <c r="D189" s="370"/>
      <c r="E189" s="560"/>
      <c r="F189" s="204" t="s">
        <v>648</v>
      </c>
      <c r="G189" s="204"/>
      <c r="H189" s="549"/>
      <c r="I189" s="570"/>
    </row>
    <row r="190" spans="1:10" s="201" customFormat="1" ht="20.100000000000001" hidden="1" customHeight="1" outlineLevel="1" x14ac:dyDescent="0.4">
      <c r="A190" s="348"/>
      <c r="B190" s="350"/>
      <c r="C190" s="350"/>
      <c r="D190" s="350"/>
      <c r="E190" s="352"/>
      <c r="F190" s="90"/>
      <c r="G190" s="90"/>
      <c r="H190" s="550"/>
      <c r="I190" s="572"/>
      <c r="J190" s="201" t="s">
        <v>603</v>
      </c>
    </row>
    <row r="191" spans="1:10" s="201" customFormat="1" ht="20.100000000000001" hidden="1" customHeight="1" outlineLevel="1" collapsed="1" x14ac:dyDescent="0.4">
      <c r="A191" s="347">
        <v>21</v>
      </c>
      <c r="B191" s="349" t="s">
        <v>489</v>
      </c>
      <c r="C191" s="349" t="s">
        <v>601</v>
      </c>
      <c r="D191" s="349"/>
      <c r="E191" s="351" t="s">
        <v>600</v>
      </c>
      <c r="F191" s="196"/>
      <c r="G191" s="196"/>
      <c r="H191" s="548">
        <v>45873</v>
      </c>
      <c r="I191" s="575" t="s">
        <v>454</v>
      </c>
    </row>
    <row r="192" spans="1:10" s="201" customFormat="1" ht="20.100000000000001" hidden="1" customHeight="1" outlineLevel="1" x14ac:dyDescent="0.4">
      <c r="A192" s="559"/>
      <c r="B192" s="370"/>
      <c r="C192" s="370"/>
      <c r="D192" s="370"/>
      <c r="E192" s="560"/>
      <c r="F192" s="204" t="s">
        <v>612</v>
      </c>
      <c r="G192" s="204"/>
      <c r="H192" s="549"/>
      <c r="I192" s="571"/>
    </row>
    <row r="193" spans="1:10" s="201" customFormat="1" ht="20.100000000000001" hidden="1" customHeight="1" outlineLevel="1" x14ac:dyDescent="0.4">
      <c r="A193" s="559"/>
      <c r="B193" s="370"/>
      <c r="C193" s="370"/>
      <c r="D193" s="370"/>
      <c r="E193" s="560"/>
      <c r="F193" s="204" t="s">
        <v>613</v>
      </c>
      <c r="G193" s="204"/>
      <c r="H193" s="549"/>
      <c r="I193" s="571"/>
    </row>
    <row r="194" spans="1:10" s="201" customFormat="1" ht="20.100000000000001" hidden="1" customHeight="1" outlineLevel="1" x14ac:dyDescent="0.4">
      <c r="A194" s="559"/>
      <c r="B194" s="370"/>
      <c r="C194" s="370"/>
      <c r="D194" s="370"/>
      <c r="E194" s="560"/>
      <c r="F194" s="204" t="s">
        <v>620</v>
      </c>
      <c r="G194" s="204"/>
      <c r="H194" s="549"/>
      <c r="I194" s="571"/>
    </row>
    <row r="195" spans="1:10" s="201" customFormat="1" ht="20.100000000000001" hidden="1" customHeight="1" outlineLevel="1" x14ac:dyDescent="0.4">
      <c r="A195" s="559"/>
      <c r="B195" s="370"/>
      <c r="C195" s="370"/>
      <c r="D195" s="370"/>
      <c r="E195" s="560"/>
      <c r="F195" s="204" t="s">
        <v>621</v>
      </c>
      <c r="G195" s="204"/>
      <c r="H195" s="549"/>
      <c r="I195" s="571"/>
    </row>
    <row r="196" spans="1:10" s="201" customFormat="1" ht="20.100000000000001" hidden="1" customHeight="1" outlineLevel="1" x14ac:dyDescent="0.4">
      <c r="A196" s="559"/>
      <c r="B196" s="370"/>
      <c r="C196" s="370"/>
      <c r="D196" s="370"/>
      <c r="E196" s="560"/>
      <c r="F196" s="90" t="s">
        <v>481</v>
      </c>
      <c r="G196" s="90"/>
      <c r="H196" s="550"/>
      <c r="I196" s="577"/>
      <c r="J196" s="201" t="s">
        <v>729</v>
      </c>
    </row>
    <row r="197" spans="1:10" s="201" customFormat="1" ht="20.100000000000001" hidden="1" customHeight="1" outlineLevel="1" collapsed="1" x14ac:dyDescent="0.4">
      <c r="A197" s="559"/>
      <c r="B197" s="370"/>
      <c r="C197" s="370"/>
      <c r="D197" s="370"/>
      <c r="E197" s="560"/>
      <c r="F197" s="196"/>
      <c r="G197" s="196"/>
      <c r="H197" s="548">
        <v>45989</v>
      </c>
      <c r="I197" s="569" t="s">
        <v>609</v>
      </c>
    </row>
    <row r="198" spans="1:10" s="201" customFormat="1" ht="20.100000000000001" hidden="1" customHeight="1" outlineLevel="1" x14ac:dyDescent="0.4">
      <c r="A198" s="559"/>
      <c r="B198" s="370"/>
      <c r="C198" s="370"/>
      <c r="D198" s="370"/>
      <c r="E198" s="560"/>
      <c r="F198" s="204" t="s">
        <v>611</v>
      </c>
      <c r="G198" s="204"/>
      <c r="H198" s="549"/>
      <c r="I198" s="570"/>
    </row>
    <row r="199" spans="1:10" s="201" customFormat="1" ht="20.100000000000001" hidden="1" customHeight="1" outlineLevel="1" x14ac:dyDescent="0.4">
      <c r="A199" s="559"/>
      <c r="B199" s="370"/>
      <c r="C199" s="370"/>
      <c r="D199" s="370"/>
      <c r="E199" s="560"/>
      <c r="F199" s="204" t="s">
        <v>529</v>
      </c>
      <c r="G199" s="204"/>
      <c r="H199" s="549"/>
      <c r="I199" s="570"/>
    </row>
    <row r="200" spans="1:10" s="201" customFormat="1" ht="20.100000000000001" hidden="1" customHeight="1" outlineLevel="1" x14ac:dyDescent="0.4">
      <c r="A200" s="559"/>
      <c r="B200" s="370"/>
      <c r="C200" s="370"/>
      <c r="D200" s="370"/>
      <c r="E200" s="560"/>
      <c r="F200" s="90" t="s">
        <v>747</v>
      </c>
      <c r="G200" s="90"/>
      <c r="H200" s="550"/>
      <c r="I200" s="572"/>
    </row>
    <row r="201" spans="1:10" s="201" customFormat="1" ht="20.100000000000001" hidden="1" customHeight="1" outlineLevel="1" collapsed="1" x14ac:dyDescent="0.4">
      <c r="A201" s="559"/>
      <c r="B201" s="370"/>
      <c r="C201" s="370"/>
      <c r="D201" s="370"/>
      <c r="E201" s="560"/>
      <c r="F201" s="204"/>
      <c r="G201" s="204"/>
      <c r="H201" s="548">
        <v>46006</v>
      </c>
      <c r="I201" s="579" t="s">
        <v>609</v>
      </c>
    </row>
    <row r="202" spans="1:10" s="201" customFormat="1" ht="20.100000000000001" hidden="1" customHeight="1" outlineLevel="1" x14ac:dyDescent="0.4">
      <c r="A202" s="559"/>
      <c r="B202" s="370"/>
      <c r="C202" s="370"/>
      <c r="D202" s="370"/>
      <c r="E202" s="560"/>
      <c r="F202" s="204" t="s">
        <v>777</v>
      </c>
      <c r="G202" s="204"/>
      <c r="H202" s="549"/>
      <c r="I202" s="580"/>
    </row>
    <row r="203" spans="1:10" s="201" customFormat="1" ht="20.100000000000001" hidden="1" customHeight="1" outlineLevel="1" x14ac:dyDescent="0.4">
      <c r="A203" s="559"/>
      <c r="B203" s="370"/>
      <c r="C203" s="370"/>
      <c r="D203" s="370"/>
      <c r="E203" s="560"/>
      <c r="F203" s="204" t="s">
        <v>789</v>
      </c>
      <c r="G203" s="204"/>
      <c r="H203" s="550"/>
      <c r="I203" s="581"/>
    </row>
    <row r="204" spans="1:10" s="201" customFormat="1" ht="20.100000000000001" hidden="1" customHeight="1" outlineLevel="1" collapsed="1" x14ac:dyDescent="0.4">
      <c r="A204" s="559"/>
      <c r="B204" s="370"/>
      <c r="C204" s="370"/>
      <c r="D204" s="370"/>
      <c r="E204" s="560"/>
      <c r="F204" s="196"/>
      <c r="G204" s="196"/>
      <c r="H204" s="548">
        <v>46015</v>
      </c>
      <c r="I204" s="300" t="s">
        <v>814</v>
      </c>
    </row>
    <row r="205" spans="1:10" s="201" customFormat="1" ht="20.100000000000001" hidden="1" customHeight="1" outlineLevel="1" x14ac:dyDescent="0.4">
      <c r="A205" s="559"/>
      <c r="B205" s="370"/>
      <c r="C205" s="370"/>
      <c r="D205" s="370"/>
      <c r="E205" s="560"/>
      <c r="F205" s="204" t="s">
        <v>611</v>
      </c>
      <c r="G205" s="204"/>
      <c r="H205" s="549"/>
      <c r="I205" s="277" t="s">
        <v>609</v>
      </c>
    </row>
    <row r="206" spans="1:10" s="201" customFormat="1" ht="20.100000000000001" hidden="1" customHeight="1" outlineLevel="1" x14ac:dyDescent="0.4">
      <c r="A206" s="559"/>
      <c r="B206" s="370"/>
      <c r="C206" s="370"/>
      <c r="D206" s="370"/>
      <c r="E206" s="560"/>
      <c r="F206" s="204" t="s">
        <v>529</v>
      </c>
      <c r="G206" s="204"/>
      <c r="H206" s="549"/>
      <c r="I206" s="277"/>
    </row>
    <row r="207" spans="1:10" s="201" customFormat="1" ht="20.100000000000001" hidden="1" customHeight="1" outlineLevel="1" x14ac:dyDescent="0.4">
      <c r="A207" s="559"/>
      <c r="B207" s="370"/>
      <c r="C207" s="370"/>
      <c r="D207" s="370"/>
      <c r="E207" s="560"/>
      <c r="F207" s="90" t="s">
        <v>747</v>
      </c>
      <c r="G207" s="90"/>
      <c r="H207" s="550"/>
      <c r="I207" s="278"/>
      <c r="J207" s="201" t="s">
        <v>815</v>
      </c>
    </row>
    <row r="208" spans="1:10" s="201" customFormat="1" ht="20.100000000000001" hidden="1" customHeight="1" outlineLevel="1" collapsed="1" x14ac:dyDescent="0.4">
      <c r="A208" s="559"/>
      <c r="B208" s="370"/>
      <c r="C208" s="370"/>
      <c r="D208" s="370"/>
      <c r="E208" s="560"/>
      <c r="F208" s="196"/>
      <c r="G208" s="196"/>
      <c r="H208" s="548">
        <v>46051</v>
      </c>
      <c r="I208" s="575" t="s">
        <v>892</v>
      </c>
    </row>
    <row r="209" spans="1:10" s="201" customFormat="1" ht="20.100000000000001" hidden="1" customHeight="1" outlineLevel="1" x14ac:dyDescent="0.4">
      <c r="A209" s="559"/>
      <c r="B209" s="370"/>
      <c r="C209" s="370"/>
      <c r="D209" s="370"/>
      <c r="E209" s="560"/>
      <c r="F209" s="204" t="s">
        <v>611</v>
      </c>
      <c r="G209" s="204"/>
      <c r="H209" s="549"/>
      <c r="I209" s="571"/>
    </row>
    <row r="210" spans="1:10" s="201" customFormat="1" ht="20.100000000000001" hidden="1" customHeight="1" outlineLevel="1" x14ac:dyDescent="0.4">
      <c r="A210" s="559"/>
      <c r="B210" s="370"/>
      <c r="C210" s="370"/>
      <c r="D210" s="370"/>
      <c r="E210" s="560"/>
      <c r="F210" s="204" t="s">
        <v>529</v>
      </c>
      <c r="G210" s="204"/>
      <c r="H210" s="549"/>
      <c r="I210" s="571"/>
    </row>
    <row r="211" spans="1:10" s="201" customFormat="1" ht="20.100000000000001" hidden="1" customHeight="1" outlineLevel="1" x14ac:dyDescent="0.4">
      <c r="A211" s="348"/>
      <c r="B211" s="350"/>
      <c r="C211" s="350"/>
      <c r="D211" s="350"/>
      <c r="E211" s="352"/>
      <c r="F211" s="90" t="s">
        <v>747</v>
      </c>
      <c r="G211" s="90"/>
      <c r="H211" s="550"/>
      <c r="I211" s="577"/>
      <c r="J211" s="201" t="s">
        <v>729</v>
      </c>
    </row>
    <row r="212" spans="1:10" s="201" customFormat="1" ht="20.100000000000001" hidden="1" customHeight="1" outlineLevel="1" collapsed="1" x14ac:dyDescent="0.4">
      <c r="A212" s="551">
        <v>22</v>
      </c>
      <c r="B212" s="349" t="s">
        <v>348</v>
      </c>
      <c r="C212" s="349" t="s">
        <v>604</v>
      </c>
      <c r="D212" s="349" t="s">
        <v>605</v>
      </c>
      <c r="E212" s="351" t="s">
        <v>606</v>
      </c>
      <c r="F212" s="196" t="s">
        <v>460</v>
      </c>
      <c r="G212" s="196"/>
      <c r="H212" s="548">
        <v>45869</v>
      </c>
      <c r="I212" s="575" t="s">
        <v>609</v>
      </c>
    </row>
    <row r="213" spans="1:10" s="201" customFormat="1" ht="20.100000000000001" hidden="1" customHeight="1" outlineLevel="1" x14ac:dyDescent="0.4">
      <c r="A213" s="556"/>
      <c r="B213" s="370"/>
      <c r="C213" s="370"/>
      <c r="D213" s="370"/>
      <c r="E213" s="560"/>
      <c r="F213" s="204" t="s">
        <v>401</v>
      </c>
      <c r="G213" s="204"/>
      <c r="H213" s="549"/>
      <c r="I213" s="571"/>
    </row>
    <row r="214" spans="1:10" s="201" customFormat="1" ht="20.100000000000001" hidden="1" customHeight="1" outlineLevel="1" x14ac:dyDescent="0.4">
      <c r="A214" s="556"/>
      <c r="B214" s="370"/>
      <c r="C214" s="370"/>
      <c r="D214" s="370"/>
      <c r="E214" s="560"/>
      <c r="F214" s="204" t="s">
        <v>402</v>
      </c>
      <c r="G214" s="204"/>
      <c r="H214" s="549"/>
      <c r="I214" s="571"/>
    </row>
    <row r="215" spans="1:10" s="201" customFormat="1" ht="20.100000000000001" hidden="1" customHeight="1" outlineLevel="1" x14ac:dyDescent="0.4">
      <c r="A215" s="556"/>
      <c r="B215" s="370"/>
      <c r="C215" s="370"/>
      <c r="D215" s="370"/>
      <c r="E215" s="560"/>
      <c r="F215" s="204" t="s">
        <v>403</v>
      </c>
      <c r="G215" s="204"/>
      <c r="H215" s="549"/>
      <c r="I215" s="571"/>
    </row>
    <row r="216" spans="1:10" s="201" customFormat="1" ht="19.5" hidden="1" customHeight="1" outlineLevel="1" x14ac:dyDescent="0.4">
      <c r="A216" s="552"/>
      <c r="B216" s="350"/>
      <c r="C216" s="350"/>
      <c r="D216" s="350"/>
      <c r="E216" s="352"/>
      <c r="F216" s="90" t="s">
        <v>413</v>
      </c>
      <c r="G216" s="90"/>
      <c r="H216" s="550"/>
      <c r="I216" s="577"/>
      <c r="J216" s="201" t="s">
        <v>466</v>
      </c>
    </row>
    <row r="217" spans="1:10" s="201" customFormat="1" ht="20.100000000000001" hidden="1" customHeight="1" outlineLevel="1" collapsed="1" x14ac:dyDescent="0.4">
      <c r="A217" s="347">
        <v>23</v>
      </c>
      <c r="B217" s="349" t="s">
        <v>517</v>
      </c>
      <c r="C217" s="349" t="s">
        <v>614</v>
      </c>
      <c r="D217" s="349"/>
      <c r="E217" s="576" t="s">
        <v>615</v>
      </c>
      <c r="F217" s="196"/>
      <c r="G217" s="196"/>
      <c r="H217" s="561">
        <v>45873</v>
      </c>
      <c r="I217" s="575" t="s">
        <v>454</v>
      </c>
    </row>
    <row r="218" spans="1:10" s="201" customFormat="1" ht="20.100000000000001" hidden="1" customHeight="1" outlineLevel="1" x14ac:dyDescent="0.4">
      <c r="A218" s="559"/>
      <c r="B218" s="370"/>
      <c r="C218" s="370"/>
      <c r="D218" s="370"/>
      <c r="E218" s="578"/>
      <c r="F218" s="204" t="s">
        <v>599</v>
      </c>
      <c r="G218" s="204"/>
      <c r="H218" s="561"/>
      <c r="I218" s="571"/>
    </row>
    <row r="219" spans="1:10" s="201" customFormat="1" ht="20.100000000000001" hidden="1" customHeight="1" outlineLevel="1" x14ac:dyDescent="0.4">
      <c r="A219" s="559"/>
      <c r="B219" s="370"/>
      <c r="C219" s="370"/>
      <c r="D219" s="370"/>
      <c r="E219" s="560"/>
      <c r="F219" s="204" t="s">
        <v>625</v>
      </c>
      <c r="G219" s="204"/>
      <c r="H219" s="562"/>
      <c r="I219" s="570"/>
    </row>
    <row r="220" spans="1:10" s="201" customFormat="1" ht="20.100000000000001" hidden="1" customHeight="1" outlineLevel="1" x14ac:dyDescent="0.4">
      <c r="A220" s="348"/>
      <c r="B220" s="350"/>
      <c r="C220" s="350"/>
      <c r="D220" s="350"/>
      <c r="E220" s="352"/>
      <c r="F220" s="90"/>
      <c r="G220" s="90"/>
      <c r="H220" s="562"/>
      <c r="I220" s="572"/>
      <c r="J220" s="201" t="s">
        <v>616</v>
      </c>
    </row>
    <row r="221" spans="1:10" s="201" customFormat="1" ht="20.100000000000001" hidden="1" customHeight="1" outlineLevel="1" collapsed="1" x14ac:dyDescent="0.4">
      <c r="A221" s="551">
        <v>24</v>
      </c>
      <c r="B221" s="349" t="s">
        <v>348</v>
      </c>
      <c r="C221" s="349" t="s">
        <v>641</v>
      </c>
      <c r="D221" s="349" t="s">
        <v>643</v>
      </c>
      <c r="E221" s="351" t="s">
        <v>642</v>
      </c>
      <c r="F221" s="196" t="s">
        <v>460</v>
      </c>
      <c r="G221" s="196"/>
      <c r="H221" s="548">
        <v>45912</v>
      </c>
      <c r="I221" s="575" t="s">
        <v>454</v>
      </c>
    </row>
    <row r="222" spans="1:10" s="201" customFormat="1" ht="20.100000000000001" hidden="1" customHeight="1" outlineLevel="1" x14ac:dyDescent="0.4">
      <c r="A222" s="556"/>
      <c r="B222" s="370"/>
      <c r="C222" s="370"/>
      <c r="D222" s="370"/>
      <c r="E222" s="560"/>
      <c r="F222" s="204" t="s">
        <v>402</v>
      </c>
      <c r="G222" s="204"/>
      <c r="H222" s="549"/>
      <c r="I222" s="571"/>
    </row>
    <row r="223" spans="1:10" s="201" customFormat="1" ht="20.100000000000001" hidden="1" customHeight="1" outlineLevel="1" x14ac:dyDescent="0.4">
      <c r="A223" s="556"/>
      <c r="B223" s="370"/>
      <c r="C223" s="370"/>
      <c r="D223" s="370"/>
      <c r="E223" s="560"/>
      <c r="F223" s="204" t="s">
        <v>403</v>
      </c>
      <c r="G223" s="204"/>
      <c r="H223" s="549"/>
      <c r="I223" s="571"/>
    </row>
    <row r="224" spans="1:10" s="201" customFormat="1" ht="19.5" hidden="1" customHeight="1" outlineLevel="1" x14ac:dyDescent="0.4">
      <c r="A224" s="552"/>
      <c r="B224" s="350"/>
      <c r="C224" s="350"/>
      <c r="D224" s="350"/>
      <c r="E224" s="352"/>
      <c r="F224" s="90"/>
      <c r="G224" s="90"/>
      <c r="H224" s="550"/>
      <c r="I224" s="577"/>
      <c r="J224" s="201" t="s">
        <v>645</v>
      </c>
    </row>
    <row r="225" spans="1:10" ht="20.100000000000001" hidden="1" customHeight="1" outlineLevel="1" collapsed="1" x14ac:dyDescent="0.4">
      <c r="A225" s="347">
        <v>25</v>
      </c>
      <c r="B225" s="349" t="s">
        <v>517</v>
      </c>
      <c r="C225" s="349" t="s">
        <v>649</v>
      </c>
      <c r="D225" s="349" t="s">
        <v>654</v>
      </c>
      <c r="E225" s="351" t="s">
        <v>653</v>
      </c>
      <c r="F225" s="204" t="s">
        <v>444</v>
      </c>
      <c r="G225" s="196"/>
      <c r="H225" s="548">
        <v>45926</v>
      </c>
      <c r="I225" s="569" t="s">
        <v>454</v>
      </c>
    </row>
    <row r="226" spans="1:10" ht="20.100000000000001" hidden="1" customHeight="1" outlineLevel="1" x14ac:dyDescent="0.4">
      <c r="A226" s="559"/>
      <c r="B226" s="370"/>
      <c r="C226" s="370"/>
      <c r="D226" s="370"/>
      <c r="E226" s="560"/>
      <c r="F226" s="204" t="s">
        <v>529</v>
      </c>
      <c r="G226" s="204"/>
      <c r="H226" s="549"/>
      <c r="I226" s="570"/>
    </row>
    <row r="227" spans="1:10" s="201" customFormat="1" ht="20.100000000000001" hidden="1" customHeight="1" outlineLevel="1" x14ac:dyDescent="0.4">
      <c r="A227" s="559"/>
      <c r="B227" s="370"/>
      <c r="C227" s="370"/>
      <c r="D227" s="370"/>
      <c r="E227" s="560"/>
      <c r="F227" s="204" t="s">
        <v>580</v>
      </c>
      <c r="G227" s="204"/>
      <c r="H227" s="549"/>
      <c r="I227" s="570"/>
    </row>
    <row r="228" spans="1:10" ht="20.100000000000001" hidden="1" customHeight="1" outlineLevel="1" x14ac:dyDescent="0.4">
      <c r="A228" s="559"/>
      <c r="B228" s="370"/>
      <c r="C228" s="370"/>
      <c r="D228" s="370"/>
      <c r="E228" s="560"/>
      <c r="F228" s="204" t="s">
        <v>593</v>
      </c>
      <c r="G228" s="204"/>
      <c r="H228" s="549"/>
      <c r="I228" s="570"/>
    </row>
    <row r="229" spans="1:10" s="201" customFormat="1" ht="20.100000000000001" hidden="1" customHeight="1" outlineLevel="1" x14ac:dyDescent="0.4">
      <c r="A229" s="559"/>
      <c r="B229" s="370"/>
      <c r="C229" s="370"/>
      <c r="D229" s="370"/>
      <c r="E229" s="560"/>
      <c r="F229" s="204" t="s">
        <v>689</v>
      </c>
      <c r="G229" s="204"/>
      <c r="H229" s="549"/>
      <c r="I229" s="570"/>
    </row>
    <row r="230" spans="1:10" s="201" customFormat="1" ht="20.100000000000001" hidden="1" customHeight="1" outlineLevel="1" x14ac:dyDescent="0.4">
      <c r="A230" s="559"/>
      <c r="B230" s="370"/>
      <c r="C230" s="370"/>
      <c r="D230" s="370"/>
      <c r="E230" s="560"/>
      <c r="F230" s="204" t="s">
        <v>403</v>
      </c>
      <c r="G230" s="204"/>
      <c r="H230" s="549"/>
      <c r="I230" s="570"/>
    </row>
    <row r="231" spans="1:10" s="201" customFormat="1" ht="20.100000000000001" hidden="1" customHeight="1" outlineLevel="1" collapsed="1" x14ac:dyDescent="0.4">
      <c r="A231" s="559"/>
      <c r="B231" s="370"/>
      <c r="C231" s="370"/>
      <c r="D231" s="370"/>
      <c r="E231" s="560"/>
      <c r="F231" s="297" t="s">
        <v>705</v>
      </c>
      <c r="G231" s="297"/>
      <c r="H231" s="298">
        <v>45947</v>
      </c>
      <c r="I231" s="299" t="s">
        <v>454</v>
      </c>
    </row>
    <row r="232" spans="1:10" s="201" customFormat="1" ht="20.100000000000001" hidden="1" customHeight="1" outlineLevel="1" collapsed="1" x14ac:dyDescent="0.4">
      <c r="A232" s="559"/>
      <c r="B232" s="370"/>
      <c r="C232" s="370"/>
      <c r="D232" s="370"/>
      <c r="E232" s="560"/>
      <c r="F232" s="204" t="s">
        <v>529</v>
      </c>
      <c r="G232" s="204"/>
      <c r="H232" s="295"/>
      <c r="I232" s="569" t="s">
        <v>609</v>
      </c>
    </row>
    <row r="233" spans="1:10" s="201" customFormat="1" ht="20.100000000000001" hidden="1" customHeight="1" outlineLevel="1" x14ac:dyDescent="0.4">
      <c r="A233" s="559"/>
      <c r="B233" s="370"/>
      <c r="C233" s="370"/>
      <c r="D233" s="370"/>
      <c r="E233" s="560"/>
      <c r="F233" s="204" t="s">
        <v>580</v>
      </c>
      <c r="G233" s="204"/>
      <c r="H233" s="294" t="s">
        <v>382</v>
      </c>
      <c r="I233" s="570"/>
    </row>
    <row r="234" spans="1:10" s="201" customFormat="1" ht="20.100000000000001" hidden="1" customHeight="1" outlineLevel="1" x14ac:dyDescent="0.4">
      <c r="A234" s="559"/>
      <c r="B234" s="370"/>
      <c r="C234" s="370"/>
      <c r="D234" s="370"/>
      <c r="E234" s="560"/>
      <c r="F234" s="204" t="s">
        <v>593</v>
      </c>
      <c r="G234" s="204"/>
      <c r="H234" s="295"/>
      <c r="I234" s="570"/>
    </row>
    <row r="235" spans="1:10" ht="20.100000000000001" hidden="1" customHeight="1" outlineLevel="1" x14ac:dyDescent="0.4">
      <c r="A235" s="348"/>
      <c r="B235" s="350"/>
      <c r="C235" s="350"/>
      <c r="D235" s="350"/>
      <c r="E235" s="352"/>
      <c r="F235" s="204" t="s">
        <v>689</v>
      </c>
      <c r="G235" s="90"/>
      <c r="H235" s="296"/>
      <c r="I235" s="572"/>
      <c r="J235" s="1" t="s">
        <v>663</v>
      </c>
    </row>
    <row r="236" spans="1:10" ht="20.100000000000001" hidden="1" customHeight="1" outlineLevel="1" collapsed="1" x14ac:dyDescent="0.4">
      <c r="A236" s="347">
        <v>26</v>
      </c>
      <c r="B236" s="349" t="s">
        <v>655</v>
      </c>
      <c r="C236" s="349" t="s">
        <v>650</v>
      </c>
      <c r="D236" s="349" t="s">
        <v>657</v>
      </c>
      <c r="E236" s="351" t="s">
        <v>656</v>
      </c>
      <c r="F236" s="196"/>
      <c r="G236" s="196"/>
      <c r="H236" s="548">
        <v>45915</v>
      </c>
      <c r="I236" s="575" t="s">
        <v>454</v>
      </c>
    </row>
    <row r="237" spans="1:10" s="201" customFormat="1" ht="20.100000000000001" hidden="1" customHeight="1" outlineLevel="1" x14ac:dyDescent="0.4">
      <c r="A237" s="559"/>
      <c r="B237" s="370"/>
      <c r="C237" s="370"/>
      <c r="D237" s="370"/>
      <c r="E237" s="560"/>
      <c r="F237" s="204" t="s">
        <v>680</v>
      </c>
      <c r="G237" s="204"/>
      <c r="H237" s="549"/>
      <c r="I237" s="571"/>
    </row>
    <row r="238" spans="1:10" s="201" customFormat="1" ht="20.100000000000001" hidden="1" customHeight="1" outlineLevel="1" x14ac:dyDescent="0.4">
      <c r="A238" s="559"/>
      <c r="B238" s="370"/>
      <c r="C238" s="370"/>
      <c r="D238" s="370"/>
      <c r="E238" s="560"/>
      <c r="F238" s="204" t="s">
        <v>681</v>
      </c>
      <c r="G238" s="204"/>
      <c r="H238" s="549"/>
      <c r="I238" s="571"/>
    </row>
    <row r="239" spans="1:10" s="201" customFormat="1" ht="20.100000000000001" hidden="1" customHeight="1" outlineLevel="1" x14ac:dyDescent="0.4">
      <c r="A239" s="559"/>
      <c r="B239" s="370"/>
      <c r="C239" s="370"/>
      <c r="D239" s="370"/>
      <c r="E239" s="560"/>
      <c r="F239" s="204" t="s">
        <v>682</v>
      </c>
      <c r="G239" s="204"/>
      <c r="H239" s="550"/>
      <c r="I239" s="571"/>
    </row>
    <row r="240" spans="1:10" s="201" customFormat="1" ht="20.100000000000001" hidden="1" customHeight="1" outlineLevel="1" x14ac:dyDescent="0.4">
      <c r="A240" s="559"/>
      <c r="B240" s="370"/>
      <c r="C240" s="370"/>
      <c r="D240" s="370"/>
      <c r="E240" s="560"/>
      <c r="F240" s="204" t="s">
        <v>694</v>
      </c>
      <c r="G240" s="204"/>
      <c r="H240" s="548">
        <v>45930</v>
      </c>
      <c r="I240" s="571"/>
    </row>
    <row r="241" spans="1:10" s="201" customFormat="1" ht="20.100000000000001" hidden="1" customHeight="1" outlineLevel="1" x14ac:dyDescent="0.4">
      <c r="A241" s="559"/>
      <c r="B241" s="370"/>
      <c r="C241" s="370"/>
      <c r="D241" s="370"/>
      <c r="E241" s="560"/>
      <c r="F241" s="204" t="s">
        <v>695</v>
      </c>
      <c r="G241" s="204"/>
      <c r="H241" s="550"/>
      <c r="I241" s="571"/>
    </row>
    <row r="242" spans="1:10" s="201" customFormat="1" ht="20.100000000000001" hidden="1" customHeight="1" outlineLevel="1" x14ac:dyDescent="0.4">
      <c r="A242" s="559"/>
      <c r="B242" s="370"/>
      <c r="C242" s="370"/>
      <c r="D242" s="370"/>
      <c r="E242" s="560"/>
      <c r="F242" s="204" t="s">
        <v>720</v>
      </c>
      <c r="G242" s="204"/>
      <c r="H242" s="548">
        <v>45947</v>
      </c>
      <c r="I242" s="571"/>
    </row>
    <row r="243" spans="1:10" ht="20.100000000000001" hidden="1" customHeight="1" outlineLevel="1" x14ac:dyDescent="0.4">
      <c r="A243" s="559"/>
      <c r="B243" s="370"/>
      <c r="C243" s="370"/>
      <c r="D243" s="370"/>
      <c r="E243" s="560"/>
      <c r="F243" s="90" t="s">
        <v>721</v>
      </c>
      <c r="G243" s="90"/>
      <c r="H243" s="550"/>
      <c r="I243" s="571"/>
    </row>
    <row r="244" spans="1:10" s="201" customFormat="1" ht="19.149999999999999" hidden="1" customHeight="1" outlineLevel="1" collapsed="1" x14ac:dyDescent="0.4">
      <c r="A244" s="559"/>
      <c r="B244" s="370"/>
      <c r="C244" s="370"/>
      <c r="D244" s="370"/>
      <c r="E244" s="560"/>
      <c r="F244" s="204"/>
      <c r="G244" s="204"/>
      <c r="H244" s="548">
        <v>46010</v>
      </c>
      <c r="I244" s="303"/>
    </row>
    <row r="245" spans="1:10" s="201" customFormat="1" ht="20.100000000000001" hidden="1" customHeight="1" outlineLevel="1" x14ac:dyDescent="0.4">
      <c r="A245" s="559"/>
      <c r="B245" s="370"/>
      <c r="C245" s="370"/>
      <c r="D245" s="370"/>
      <c r="E245" s="560"/>
      <c r="F245" s="204" t="s">
        <v>680</v>
      </c>
      <c r="G245" s="204"/>
      <c r="H245" s="549"/>
      <c r="I245" s="303" t="s">
        <v>454</v>
      </c>
    </row>
    <row r="246" spans="1:10" s="201" customFormat="1" ht="20.100000000000001" hidden="1" customHeight="1" outlineLevel="1" x14ac:dyDescent="0.4">
      <c r="A246" s="559"/>
      <c r="B246" s="370"/>
      <c r="C246" s="370"/>
      <c r="D246" s="370"/>
      <c r="E246" s="560"/>
      <c r="F246" s="204" t="s">
        <v>681</v>
      </c>
      <c r="G246" s="204"/>
      <c r="H246" s="549"/>
      <c r="I246" s="277"/>
    </row>
    <row r="247" spans="1:10" ht="20.100000000000001" hidden="1" customHeight="1" outlineLevel="1" x14ac:dyDescent="0.4">
      <c r="A247" s="348"/>
      <c r="B247" s="350"/>
      <c r="C247" s="350"/>
      <c r="D247" s="350"/>
      <c r="E247" s="352"/>
      <c r="F247" s="90" t="s">
        <v>403</v>
      </c>
      <c r="G247" s="90"/>
      <c r="H247" s="550"/>
      <c r="I247" s="304"/>
      <c r="J247" s="1" t="s">
        <v>664</v>
      </c>
    </row>
    <row r="248" spans="1:10" ht="20.100000000000001" hidden="1" customHeight="1" outlineLevel="1" collapsed="1" x14ac:dyDescent="0.4">
      <c r="A248" s="347">
        <v>27</v>
      </c>
      <c r="B248" s="349" t="s">
        <v>348</v>
      </c>
      <c r="C248" s="349" t="s">
        <v>651</v>
      </c>
      <c r="D248" s="349" t="s">
        <v>659</v>
      </c>
      <c r="E248" s="351" t="s">
        <v>658</v>
      </c>
      <c r="F248" s="196" t="s">
        <v>460</v>
      </c>
      <c r="G248" s="196"/>
      <c r="H248" s="548">
        <v>45912</v>
      </c>
      <c r="I248" s="569" t="s">
        <v>454</v>
      </c>
    </row>
    <row r="249" spans="1:10" s="201" customFormat="1" ht="20.100000000000001" hidden="1" customHeight="1" outlineLevel="1" x14ac:dyDescent="0.4">
      <c r="A249" s="559"/>
      <c r="B249" s="370"/>
      <c r="C249" s="370"/>
      <c r="D249" s="370"/>
      <c r="E249" s="560"/>
      <c r="F249" s="204" t="s">
        <v>401</v>
      </c>
      <c r="G249" s="204"/>
      <c r="H249" s="549"/>
      <c r="I249" s="570"/>
    </row>
    <row r="250" spans="1:10" ht="20.100000000000001" hidden="1" customHeight="1" outlineLevel="1" x14ac:dyDescent="0.4">
      <c r="A250" s="559"/>
      <c r="B250" s="370"/>
      <c r="C250" s="370"/>
      <c r="D250" s="370"/>
      <c r="E250" s="560"/>
      <c r="F250" s="204" t="s">
        <v>402</v>
      </c>
      <c r="G250" s="204"/>
      <c r="H250" s="549"/>
      <c r="I250" s="570"/>
    </row>
    <row r="251" spans="1:10" ht="20.100000000000001" hidden="1" customHeight="1" outlineLevel="1" x14ac:dyDescent="0.4">
      <c r="A251" s="559"/>
      <c r="B251" s="370"/>
      <c r="C251" s="370"/>
      <c r="D251" s="370"/>
      <c r="E251" s="560"/>
      <c r="F251" s="204" t="s">
        <v>403</v>
      </c>
      <c r="G251" s="204"/>
      <c r="H251" s="549"/>
      <c r="I251" s="570"/>
    </row>
    <row r="252" spans="1:10" ht="20.100000000000001" hidden="1" customHeight="1" outlineLevel="1" x14ac:dyDescent="0.4">
      <c r="A252" s="348"/>
      <c r="B252" s="350"/>
      <c r="C252" s="350"/>
      <c r="D252" s="350"/>
      <c r="E252" s="352"/>
      <c r="F252" s="90" t="s">
        <v>413</v>
      </c>
      <c r="G252" s="90"/>
      <c r="H252" s="550"/>
      <c r="I252" s="570"/>
      <c r="J252" s="1" t="s">
        <v>466</v>
      </c>
    </row>
    <row r="253" spans="1:10" ht="20.100000000000001" hidden="1" customHeight="1" outlineLevel="1" collapsed="1" x14ac:dyDescent="0.4">
      <c r="A253" s="347">
        <v>28</v>
      </c>
      <c r="B253" s="349" t="s">
        <v>662</v>
      </c>
      <c r="C253" s="349" t="s">
        <v>652</v>
      </c>
      <c r="D253" s="349" t="s">
        <v>661</v>
      </c>
      <c r="E253" s="351" t="s">
        <v>660</v>
      </c>
      <c r="F253" s="196" t="s">
        <v>460</v>
      </c>
      <c r="G253" s="196"/>
      <c r="H253" s="548">
        <v>45926</v>
      </c>
      <c r="I253" s="569" t="s">
        <v>454</v>
      </c>
    </row>
    <row r="254" spans="1:10" ht="20.100000000000001" hidden="1" customHeight="1" outlineLevel="1" x14ac:dyDescent="0.4">
      <c r="A254" s="559"/>
      <c r="B254" s="370"/>
      <c r="C254" s="370"/>
      <c r="D254" s="370"/>
      <c r="E254" s="560"/>
      <c r="F254" s="204" t="s">
        <v>401</v>
      </c>
      <c r="G254" s="204"/>
      <c r="H254" s="549"/>
      <c r="I254" s="570"/>
    </row>
    <row r="255" spans="1:10" s="201" customFormat="1" ht="20.100000000000001" hidden="1" customHeight="1" outlineLevel="1" x14ac:dyDescent="0.4">
      <c r="A255" s="559"/>
      <c r="B255" s="370"/>
      <c r="C255" s="370"/>
      <c r="D255" s="370"/>
      <c r="E255" s="560"/>
      <c r="F255" s="204" t="s">
        <v>402</v>
      </c>
      <c r="G255" s="204"/>
      <c r="H255" s="549"/>
      <c r="I255" s="570"/>
    </row>
    <row r="256" spans="1:10" ht="20.100000000000001" hidden="1" customHeight="1" outlineLevel="1" x14ac:dyDescent="0.4">
      <c r="A256" s="559"/>
      <c r="B256" s="370"/>
      <c r="C256" s="370"/>
      <c r="D256" s="370"/>
      <c r="E256" s="560"/>
      <c r="F256" s="204" t="s">
        <v>403</v>
      </c>
      <c r="G256" s="204"/>
      <c r="H256" s="549"/>
      <c r="I256" s="570"/>
      <c r="J256" s="201"/>
    </row>
    <row r="257" spans="1:10" ht="20.100000000000001" hidden="1" customHeight="1" outlineLevel="1" x14ac:dyDescent="0.4">
      <c r="A257" s="348"/>
      <c r="B257" s="350"/>
      <c r="C257" s="350"/>
      <c r="D257" s="350"/>
      <c r="E257" s="352"/>
      <c r="F257" s="90" t="s">
        <v>413</v>
      </c>
      <c r="G257" s="90"/>
      <c r="H257" s="550"/>
      <c r="I257" s="570"/>
      <c r="J257" s="201" t="s">
        <v>465</v>
      </c>
    </row>
    <row r="258" spans="1:10" s="201" customFormat="1" ht="20.100000000000001" hidden="1" customHeight="1" outlineLevel="1" collapsed="1" x14ac:dyDescent="0.4">
      <c r="A258" s="347">
        <v>29</v>
      </c>
      <c r="B258" s="349" t="s">
        <v>662</v>
      </c>
      <c r="C258" s="349" t="s">
        <v>665</v>
      </c>
      <c r="D258" s="349" t="s">
        <v>667</v>
      </c>
      <c r="E258" s="351" t="s">
        <v>666</v>
      </c>
      <c r="F258" s="196" t="s">
        <v>460</v>
      </c>
      <c r="G258" s="196"/>
      <c r="H258" s="548">
        <v>45926</v>
      </c>
      <c r="I258" s="575" t="s">
        <v>609</v>
      </c>
    </row>
    <row r="259" spans="1:10" s="201" customFormat="1" ht="20.100000000000001" hidden="1" customHeight="1" outlineLevel="1" x14ac:dyDescent="0.4">
      <c r="A259" s="559"/>
      <c r="B259" s="370"/>
      <c r="C259" s="370"/>
      <c r="D259" s="370"/>
      <c r="E259" s="560"/>
      <c r="F259" s="204" t="s">
        <v>401</v>
      </c>
      <c r="G259" s="204"/>
      <c r="H259" s="549"/>
      <c r="I259" s="571"/>
    </row>
    <row r="260" spans="1:10" s="201" customFormat="1" ht="20.100000000000001" hidden="1" customHeight="1" outlineLevel="1" x14ac:dyDescent="0.4">
      <c r="A260" s="559"/>
      <c r="B260" s="370"/>
      <c r="C260" s="370"/>
      <c r="D260" s="370"/>
      <c r="E260" s="560"/>
      <c r="F260" s="204" t="s">
        <v>402</v>
      </c>
      <c r="G260" s="204"/>
      <c r="H260" s="549"/>
      <c r="I260" s="571"/>
    </row>
    <row r="261" spans="1:10" s="201" customFormat="1" ht="20.100000000000001" hidden="1" customHeight="1" outlineLevel="1" x14ac:dyDescent="0.4">
      <c r="A261" s="559"/>
      <c r="B261" s="370"/>
      <c r="C261" s="370"/>
      <c r="D261" s="370"/>
      <c r="E261" s="560"/>
      <c r="F261" s="204" t="s">
        <v>403</v>
      </c>
      <c r="G261" s="204"/>
      <c r="H261" s="549"/>
      <c r="I261" s="571"/>
    </row>
    <row r="262" spans="1:10" s="201" customFormat="1" ht="20.100000000000001" hidden="1" customHeight="1" outlineLevel="1" x14ac:dyDescent="0.4">
      <c r="A262" s="348"/>
      <c r="B262" s="370"/>
      <c r="C262" s="350"/>
      <c r="D262" s="370"/>
      <c r="E262" s="560"/>
      <c r="F262" s="90" t="s">
        <v>413</v>
      </c>
      <c r="G262" s="90"/>
      <c r="H262" s="550"/>
      <c r="I262" s="577"/>
      <c r="J262" s="201" t="s">
        <v>668</v>
      </c>
    </row>
    <row r="263" spans="1:10" s="201" customFormat="1" ht="20.100000000000001" hidden="1" customHeight="1" outlineLevel="1" x14ac:dyDescent="0.4">
      <c r="A263" s="347">
        <v>30</v>
      </c>
      <c r="B263" s="349" t="s">
        <v>489</v>
      </c>
      <c r="C263" s="349" t="s">
        <v>675</v>
      </c>
      <c r="D263" s="349" t="s">
        <v>676</v>
      </c>
      <c r="E263" s="351" t="s">
        <v>677</v>
      </c>
      <c r="F263" s="204" t="s">
        <v>444</v>
      </c>
      <c r="G263" s="204"/>
      <c r="H263" s="548">
        <v>45947</v>
      </c>
      <c r="I263" s="575" t="s">
        <v>454</v>
      </c>
    </row>
    <row r="264" spans="1:10" s="201" customFormat="1" ht="20.100000000000001" hidden="1" customHeight="1" outlineLevel="1" x14ac:dyDescent="0.4">
      <c r="A264" s="559"/>
      <c r="B264" s="370"/>
      <c r="C264" s="370"/>
      <c r="D264" s="370"/>
      <c r="E264" s="560"/>
      <c r="F264" s="204" t="s">
        <v>529</v>
      </c>
      <c r="G264" s="204"/>
      <c r="H264" s="549"/>
      <c r="I264" s="570"/>
    </row>
    <row r="265" spans="1:10" s="201" customFormat="1" ht="20.100000000000001" hidden="1" customHeight="1" outlineLevel="1" x14ac:dyDescent="0.4">
      <c r="A265" s="559"/>
      <c r="B265" s="370"/>
      <c r="C265" s="370"/>
      <c r="D265" s="370"/>
      <c r="E265" s="560"/>
      <c r="F265" s="204" t="s">
        <v>580</v>
      </c>
      <c r="G265" s="204"/>
      <c r="H265" s="549"/>
      <c r="I265" s="570"/>
    </row>
    <row r="266" spans="1:10" s="201" customFormat="1" ht="20.100000000000001" hidden="1" customHeight="1" outlineLevel="1" x14ac:dyDescent="0.4">
      <c r="A266" s="559"/>
      <c r="B266" s="370"/>
      <c r="C266" s="370"/>
      <c r="D266" s="370"/>
      <c r="E266" s="560"/>
      <c r="F266" s="204" t="s">
        <v>593</v>
      </c>
      <c r="G266" s="204"/>
      <c r="H266" s="549"/>
      <c r="I266" s="570"/>
    </row>
    <row r="267" spans="1:10" s="201" customFormat="1" ht="20.100000000000001" hidden="1" customHeight="1" outlineLevel="1" x14ac:dyDescent="0.4">
      <c r="A267" s="559"/>
      <c r="B267" s="370"/>
      <c r="C267" s="370"/>
      <c r="D267" s="370"/>
      <c r="E267" s="560"/>
      <c r="F267" s="204" t="s">
        <v>689</v>
      </c>
      <c r="G267" s="204"/>
      <c r="H267" s="549"/>
      <c r="I267" s="570"/>
    </row>
    <row r="268" spans="1:10" s="201" customFormat="1" ht="20.100000000000001" hidden="1" customHeight="1" outlineLevel="1" x14ac:dyDescent="0.4">
      <c r="A268" s="348"/>
      <c r="B268" s="350"/>
      <c r="C268" s="350"/>
      <c r="D268" s="350"/>
      <c r="E268" s="352"/>
      <c r="F268" s="204" t="s">
        <v>403</v>
      </c>
      <c r="G268" s="90"/>
      <c r="H268" s="550"/>
      <c r="I268" s="570"/>
      <c r="J268" s="201" t="s">
        <v>678</v>
      </c>
    </row>
    <row r="269" spans="1:10" s="201" customFormat="1" ht="20.100000000000001" hidden="1" customHeight="1" outlineLevel="1" x14ac:dyDescent="0.4">
      <c r="A269" s="347">
        <v>31</v>
      </c>
      <c r="B269" s="349" t="s">
        <v>662</v>
      </c>
      <c r="C269" s="349" t="s">
        <v>700</v>
      </c>
      <c r="D269" s="349" t="s">
        <v>702</v>
      </c>
      <c r="E269" s="351" t="s">
        <v>701</v>
      </c>
      <c r="F269" s="196" t="s">
        <v>460</v>
      </c>
      <c r="G269" s="196"/>
      <c r="H269" s="548">
        <v>45954</v>
      </c>
      <c r="I269" s="569" t="s">
        <v>454</v>
      </c>
    </row>
    <row r="270" spans="1:10" s="201" customFormat="1" ht="20.100000000000001" hidden="1" customHeight="1" outlineLevel="1" x14ac:dyDescent="0.4">
      <c r="A270" s="559"/>
      <c r="B270" s="370"/>
      <c r="C270" s="370"/>
      <c r="D270" s="370"/>
      <c r="E270" s="560"/>
      <c r="F270" s="204" t="s">
        <v>401</v>
      </c>
      <c r="G270" s="204"/>
      <c r="H270" s="549"/>
      <c r="I270" s="570"/>
    </row>
    <row r="271" spans="1:10" s="201" customFormat="1" ht="20.100000000000001" hidden="1" customHeight="1" outlineLevel="1" x14ac:dyDescent="0.4">
      <c r="A271" s="559"/>
      <c r="B271" s="370"/>
      <c r="C271" s="370"/>
      <c r="D271" s="370"/>
      <c r="E271" s="560"/>
      <c r="F271" s="204" t="s">
        <v>402</v>
      </c>
      <c r="G271" s="204"/>
      <c r="H271" s="549"/>
      <c r="I271" s="570"/>
    </row>
    <row r="272" spans="1:10" s="201" customFormat="1" ht="20.100000000000001" hidden="1" customHeight="1" outlineLevel="1" x14ac:dyDescent="0.4">
      <c r="A272" s="559"/>
      <c r="B272" s="370"/>
      <c r="C272" s="370"/>
      <c r="D272" s="370"/>
      <c r="E272" s="560"/>
      <c r="F272" s="204" t="s">
        <v>713</v>
      </c>
      <c r="G272" s="204"/>
      <c r="H272" s="549"/>
      <c r="I272" s="570"/>
    </row>
    <row r="273" spans="1:10" s="201" customFormat="1" ht="20.100000000000001" hidden="1" customHeight="1" outlineLevel="1" x14ac:dyDescent="0.4">
      <c r="A273" s="348"/>
      <c r="B273" s="370"/>
      <c r="C273" s="350"/>
      <c r="D273" s="350"/>
      <c r="E273" s="352"/>
      <c r="F273" s="90" t="s">
        <v>403</v>
      </c>
      <c r="G273" s="90"/>
      <c r="H273" s="550"/>
      <c r="I273" s="572"/>
      <c r="J273" s="201" t="s">
        <v>703</v>
      </c>
    </row>
    <row r="274" spans="1:10" s="201" customFormat="1" ht="20.100000000000001" hidden="1" customHeight="1" outlineLevel="1" collapsed="1" x14ac:dyDescent="0.4">
      <c r="A274" s="347">
        <v>32</v>
      </c>
      <c r="B274" s="349" t="s">
        <v>662</v>
      </c>
      <c r="C274" s="349" t="s">
        <v>706</v>
      </c>
      <c r="D274" s="349" t="s">
        <v>707</v>
      </c>
      <c r="E274" s="351" t="s">
        <v>708</v>
      </c>
      <c r="F274" s="196" t="s">
        <v>460</v>
      </c>
      <c r="G274" s="196"/>
      <c r="H274" s="548">
        <v>45954</v>
      </c>
      <c r="I274" s="569" t="s">
        <v>454</v>
      </c>
    </row>
    <row r="275" spans="1:10" s="201" customFormat="1" ht="20.100000000000001" hidden="1" customHeight="1" outlineLevel="1" x14ac:dyDescent="0.4">
      <c r="A275" s="559"/>
      <c r="B275" s="370"/>
      <c r="C275" s="370"/>
      <c r="D275" s="370"/>
      <c r="E275" s="560"/>
      <c r="F275" s="204" t="s">
        <v>401</v>
      </c>
      <c r="G275" s="204"/>
      <c r="H275" s="549"/>
      <c r="I275" s="570"/>
    </row>
    <row r="276" spans="1:10" s="201" customFormat="1" ht="20.100000000000001" hidden="1" customHeight="1" outlineLevel="1" x14ac:dyDescent="0.4">
      <c r="A276" s="559"/>
      <c r="B276" s="370"/>
      <c r="C276" s="370"/>
      <c r="D276" s="370"/>
      <c r="E276" s="560"/>
      <c r="F276" s="204" t="s">
        <v>402</v>
      </c>
      <c r="G276" s="204"/>
      <c r="H276" s="549"/>
      <c r="I276" s="570"/>
    </row>
    <row r="277" spans="1:10" s="201" customFormat="1" ht="20.100000000000001" hidden="1" customHeight="1" outlineLevel="1" x14ac:dyDescent="0.4">
      <c r="A277" s="559"/>
      <c r="B277" s="370"/>
      <c r="C277" s="370"/>
      <c r="D277" s="370"/>
      <c r="E277" s="560"/>
      <c r="F277" s="204" t="s">
        <v>403</v>
      </c>
      <c r="G277" s="204"/>
      <c r="H277" s="549"/>
      <c r="I277" s="570"/>
    </row>
    <row r="278" spans="1:10" s="201" customFormat="1" ht="20.100000000000001" hidden="1" customHeight="1" outlineLevel="1" x14ac:dyDescent="0.4">
      <c r="A278" s="348"/>
      <c r="B278" s="370"/>
      <c r="C278" s="350"/>
      <c r="D278" s="350"/>
      <c r="E278" s="352"/>
      <c r="F278" s="90" t="s">
        <v>413</v>
      </c>
      <c r="G278" s="90"/>
      <c r="H278" s="550"/>
      <c r="I278" s="572"/>
      <c r="J278" s="201" t="s">
        <v>712</v>
      </c>
    </row>
    <row r="279" spans="1:10" s="201" customFormat="1" ht="20.100000000000001" hidden="1" customHeight="1" outlineLevel="1" collapsed="1" x14ac:dyDescent="0.4">
      <c r="A279" s="347">
        <v>33</v>
      </c>
      <c r="B279" s="349" t="s">
        <v>348</v>
      </c>
      <c r="C279" s="349" t="s">
        <v>717</v>
      </c>
      <c r="D279" s="349"/>
      <c r="E279" s="576" t="s">
        <v>718</v>
      </c>
      <c r="F279" s="196"/>
      <c r="G279" s="196"/>
      <c r="H279" s="579">
        <v>45973</v>
      </c>
      <c r="I279" s="575" t="s">
        <v>609</v>
      </c>
    </row>
    <row r="280" spans="1:10" s="201" customFormat="1" ht="20.100000000000001" hidden="1" customHeight="1" outlineLevel="1" x14ac:dyDescent="0.4">
      <c r="A280" s="559"/>
      <c r="B280" s="370"/>
      <c r="C280" s="370"/>
      <c r="D280" s="370"/>
      <c r="E280" s="578"/>
      <c r="F280" s="204" t="s">
        <v>724</v>
      </c>
      <c r="G280" s="204"/>
      <c r="H280" s="580"/>
      <c r="I280" s="571"/>
    </row>
    <row r="281" spans="1:10" s="201" customFormat="1" ht="20.100000000000001" hidden="1" customHeight="1" outlineLevel="1" x14ac:dyDescent="0.4">
      <c r="A281" s="559"/>
      <c r="B281" s="370"/>
      <c r="C281" s="370"/>
      <c r="D281" s="370"/>
      <c r="E281" s="578"/>
      <c r="F281" s="204" t="s">
        <v>722</v>
      </c>
      <c r="G281" s="204"/>
      <c r="H281" s="580"/>
      <c r="I281" s="571"/>
    </row>
    <row r="282" spans="1:10" s="201" customFormat="1" ht="20.100000000000001" hidden="1" customHeight="1" outlineLevel="1" x14ac:dyDescent="0.4">
      <c r="A282" s="559"/>
      <c r="B282" s="370"/>
      <c r="C282" s="370"/>
      <c r="D282" s="370"/>
      <c r="E282" s="578"/>
      <c r="F282" s="204" t="s">
        <v>723</v>
      </c>
      <c r="G282" s="204"/>
      <c r="H282" s="580"/>
      <c r="I282" s="571"/>
    </row>
    <row r="283" spans="1:10" s="201" customFormat="1" ht="20.100000000000001" hidden="1" customHeight="1" outlineLevel="1" x14ac:dyDescent="0.4">
      <c r="A283" s="559"/>
      <c r="B283" s="370"/>
      <c r="C283" s="370"/>
      <c r="D283" s="370"/>
      <c r="E283" s="578"/>
      <c r="F283" s="204" t="s">
        <v>737</v>
      </c>
      <c r="G283" s="204"/>
      <c r="H283" s="580"/>
      <c r="I283" s="571"/>
    </row>
    <row r="284" spans="1:10" s="201" customFormat="1" ht="20.100000000000001" hidden="1" customHeight="1" outlineLevel="1" x14ac:dyDescent="0.4">
      <c r="A284" s="559"/>
      <c r="B284" s="370"/>
      <c r="C284" s="370"/>
      <c r="D284" s="370"/>
      <c r="E284" s="560"/>
      <c r="F284" s="204" t="s">
        <v>738</v>
      </c>
      <c r="G284" s="204"/>
      <c r="H284" s="580"/>
      <c r="I284" s="571"/>
    </row>
    <row r="285" spans="1:10" s="201" customFormat="1" ht="20.100000000000001" hidden="1" customHeight="1" outlineLevel="1" x14ac:dyDescent="0.4">
      <c r="A285" s="559"/>
      <c r="B285" s="370"/>
      <c r="C285" s="370"/>
      <c r="D285" s="370"/>
      <c r="E285" s="560"/>
      <c r="F285" s="204" t="s">
        <v>739</v>
      </c>
      <c r="G285" s="204"/>
      <c r="H285" s="580"/>
      <c r="I285" s="571"/>
    </row>
    <row r="286" spans="1:10" s="201" customFormat="1" ht="20.100000000000001" hidden="1" customHeight="1" outlineLevel="1" x14ac:dyDescent="0.4">
      <c r="A286" s="559"/>
      <c r="B286" s="370"/>
      <c r="C286" s="370"/>
      <c r="D286" s="370"/>
      <c r="E286" s="560"/>
      <c r="F286" s="204" t="s">
        <v>746</v>
      </c>
      <c r="G286" s="204"/>
      <c r="H286" s="580"/>
      <c r="I286" s="571"/>
    </row>
    <row r="287" spans="1:10" s="201" customFormat="1" ht="20.100000000000001" hidden="1" customHeight="1" outlineLevel="1" x14ac:dyDescent="0.4">
      <c r="A287" s="559"/>
      <c r="B287" s="370"/>
      <c r="C287" s="370"/>
      <c r="D287" s="370"/>
      <c r="E287" s="560"/>
      <c r="F287" s="90" t="s">
        <v>747</v>
      </c>
      <c r="G287" s="90"/>
      <c r="H287" s="581"/>
      <c r="I287" s="577"/>
    </row>
    <row r="288" spans="1:10" s="201" customFormat="1" ht="20.100000000000001" hidden="1" customHeight="1" outlineLevel="1" collapsed="1" x14ac:dyDescent="0.4">
      <c r="A288" s="559"/>
      <c r="B288" s="370"/>
      <c r="C288" s="370"/>
      <c r="D288" s="370"/>
      <c r="E288" s="560"/>
      <c r="F288" s="204"/>
      <c r="G288" s="204"/>
      <c r="H288" s="548">
        <v>46006</v>
      </c>
      <c r="I288" s="277" t="s">
        <v>609</v>
      </c>
    </row>
    <row r="289" spans="1:10" s="201" customFormat="1" ht="20.100000000000001" hidden="1" customHeight="1" outlineLevel="1" x14ac:dyDescent="0.4">
      <c r="A289" s="559"/>
      <c r="B289" s="370"/>
      <c r="C289" s="370"/>
      <c r="D289" s="370"/>
      <c r="E289" s="560"/>
      <c r="F289" s="204" t="s">
        <v>611</v>
      </c>
      <c r="G289" s="204"/>
      <c r="H289" s="549"/>
      <c r="I289" s="303"/>
    </row>
    <row r="290" spans="1:10" s="201" customFormat="1" ht="20.100000000000001" hidden="1" customHeight="1" outlineLevel="1" x14ac:dyDescent="0.4">
      <c r="A290" s="559"/>
      <c r="B290" s="370"/>
      <c r="C290" s="370"/>
      <c r="D290" s="370"/>
      <c r="E290" s="560"/>
      <c r="F290" s="204" t="s">
        <v>529</v>
      </c>
      <c r="G290" s="204"/>
      <c r="H290" s="549"/>
      <c r="I290" s="303"/>
    </row>
    <row r="291" spans="1:10" s="201" customFormat="1" ht="20.100000000000001" hidden="1" customHeight="1" outlineLevel="1" x14ac:dyDescent="0.4">
      <c r="A291" s="559"/>
      <c r="B291" s="370"/>
      <c r="C291" s="370"/>
      <c r="D291" s="370"/>
      <c r="E291" s="560"/>
      <c r="F291" s="90" t="s">
        <v>747</v>
      </c>
      <c r="G291" s="90"/>
      <c r="H291" s="550"/>
      <c r="I291" s="304"/>
    </row>
    <row r="292" spans="1:10" s="201" customFormat="1" ht="20.100000000000001" hidden="1" customHeight="1" outlineLevel="1" collapsed="1" x14ac:dyDescent="0.4">
      <c r="A292" s="559"/>
      <c r="B292" s="370"/>
      <c r="C292" s="370"/>
      <c r="D292" s="370"/>
      <c r="E292" s="560"/>
      <c r="F292" s="204"/>
      <c r="G292" s="204"/>
      <c r="H292" s="548">
        <v>46021</v>
      </c>
      <c r="I292" s="300" t="s">
        <v>814</v>
      </c>
    </row>
    <row r="293" spans="1:10" s="201" customFormat="1" ht="20.100000000000001" hidden="1" customHeight="1" outlineLevel="1" x14ac:dyDescent="0.4">
      <c r="A293" s="559"/>
      <c r="B293" s="370"/>
      <c r="C293" s="370"/>
      <c r="D293" s="370"/>
      <c r="E293" s="560"/>
      <c r="F293" s="204" t="s">
        <v>611</v>
      </c>
      <c r="G293" s="204"/>
      <c r="H293" s="549"/>
      <c r="I293" s="277" t="s">
        <v>454</v>
      </c>
    </row>
    <row r="294" spans="1:10" s="201" customFormat="1" ht="20.100000000000001" hidden="1" customHeight="1" outlineLevel="1" x14ac:dyDescent="0.4">
      <c r="A294" s="559"/>
      <c r="B294" s="370"/>
      <c r="C294" s="370"/>
      <c r="D294" s="370"/>
      <c r="E294" s="560"/>
      <c r="F294" s="204" t="s">
        <v>529</v>
      </c>
      <c r="G294" s="204"/>
      <c r="H294" s="549"/>
      <c r="I294" s="303"/>
    </row>
    <row r="295" spans="1:10" s="201" customFormat="1" ht="20.100000000000001" hidden="1" customHeight="1" outlineLevel="1" x14ac:dyDescent="0.4">
      <c r="A295" s="559"/>
      <c r="B295" s="370"/>
      <c r="C295" s="370"/>
      <c r="D295" s="370"/>
      <c r="E295" s="560"/>
      <c r="F295" s="204" t="s">
        <v>747</v>
      </c>
      <c r="G295" s="204"/>
      <c r="H295" s="549"/>
      <c r="I295" s="303"/>
    </row>
    <row r="296" spans="1:10" s="201" customFormat="1" ht="20.100000000000001" hidden="1" customHeight="1" outlineLevel="1" x14ac:dyDescent="0.4">
      <c r="A296" s="348"/>
      <c r="B296" s="350"/>
      <c r="C296" s="350"/>
      <c r="D296" s="350"/>
      <c r="E296" s="352"/>
      <c r="F296" s="90"/>
      <c r="G296" s="90"/>
      <c r="H296" s="550"/>
      <c r="I296" s="304"/>
      <c r="J296" s="201" t="s">
        <v>602</v>
      </c>
    </row>
    <row r="297" spans="1:10" s="201" customFormat="1" ht="20.100000000000001" hidden="1" customHeight="1" outlineLevel="1" x14ac:dyDescent="0.4">
      <c r="A297" s="347">
        <v>34</v>
      </c>
      <c r="B297" s="349" t="s">
        <v>576</v>
      </c>
      <c r="C297" s="349" t="s">
        <v>714</v>
      </c>
      <c r="D297" s="349"/>
      <c r="E297" s="351" t="s">
        <v>715</v>
      </c>
      <c r="F297" s="204" t="s">
        <v>444</v>
      </c>
      <c r="G297" s="204"/>
      <c r="H297" s="295"/>
      <c r="I297" s="575" t="s">
        <v>609</v>
      </c>
    </row>
    <row r="298" spans="1:10" s="201" customFormat="1" ht="20.100000000000001" hidden="1" customHeight="1" outlineLevel="1" x14ac:dyDescent="0.4">
      <c r="A298" s="559"/>
      <c r="B298" s="370"/>
      <c r="C298" s="370"/>
      <c r="D298" s="370"/>
      <c r="E298" s="560"/>
      <c r="F298" s="204" t="s">
        <v>529</v>
      </c>
      <c r="G298" s="204"/>
      <c r="H298" s="295"/>
      <c r="I298" s="571"/>
    </row>
    <row r="299" spans="1:10" s="201" customFormat="1" ht="20.100000000000001" hidden="1" customHeight="1" outlineLevel="1" x14ac:dyDescent="0.4">
      <c r="A299" s="559"/>
      <c r="B299" s="370"/>
      <c r="C299" s="370"/>
      <c r="D299" s="370"/>
      <c r="E299" s="560"/>
      <c r="F299" s="204" t="s">
        <v>740</v>
      </c>
      <c r="G299" s="204"/>
      <c r="H299" s="295"/>
      <c r="I299" s="571"/>
    </row>
    <row r="300" spans="1:10" s="201" customFormat="1" ht="20.100000000000001" hidden="1" customHeight="1" outlineLevel="1" x14ac:dyDescent="0.4">
      <c r="A300" s="559"/>
      <c r="B300" s="370"/>
      <c r="C300" s="370"/>
      <c r="D300" s="370"/>
      <c r="E300" s="560"/>
      <c r="F300" s="204" t="s">
        <v>747</v>
      </c>
      <c r="G300" s="204"/>
      <c r="H300" s="295"/>
      <c r="I300" s="571"/>
    </row>
    <row r="301" spans="1:10" s="201" customFormat="1" ht="20.100000000000001" hidden="1" customHeight="1" outlineLevel="1" x14ac:dyDescent="0.4">
      <c r="A301" s="348"/>
      <c r="B301" s="350"/>
      <c r="C301" s="350"/>
      <c r="D301" s="350"/>
      <c r="E301" s="352"/>
      <c r="F301" s="204" t="s">
        <v>403</v>
      </c>
      <c r="G301" s="90"/>
      <c r="H301" s="296"/>
      <c r="I301" s="577"/>
      <c r="J301" s="201" t="s">
        <v>716</v>
      </c>
    </row>
    <row r="302" spans="1:10" s="201" customFormat="1" ht="20.100000000000001" hidden="1" customHeight="1" outlineLevel="1" x14ac:dyDescent="0.4">
      <c r="A302" s="347">
        <v>34</v>
      </c>
      <c r="B302" s="349" t="s">
        <v>348</v>
      </c>
      <c r="C302" s="349" t="s">
        <v>726</v>
      </c>
      <c r="D302" s="349" t="s">
        <v>727</v>
      </c>
      <c r="E302" s="351" t="s">
        <v>728</v>
      </c>
      <c r="F302" s="196" t="s">
        <v>460</v>
      </c>
      <c r="G302" s="196"/>
      <c r="H302" s="548">
        <v>45954</v>
      </c>
      <c r="I302" s="575" t="s">
        <v>454</v>
      </c>
    </row>
    <row r="303" spans="1:10" s="201" customFormat="1" ht="20.100000000000001" hidden="1" customHeight="1" outlineLevel="1" x14ac:dyDescent="0.4">
      <c r="A303" s="559"/>
      <c r="B303" s="370"/>
      <c r="C303" s="370"/>
      <c r="D303" s="370"/>
      <c r="E303" s="560"/>
      <c r="F303" s="204" t="s">
        <v>401</v>
      </c>
      <c r="G303" s="204"/>
      <c r="H303" s="549"/>
      <c r="I303" s="571"/>
    </row>
    <row r="304" spans="1:10" s="201" customFormat="1" ht="20.100000000000001" hidden="1" customHeight="1" outlineLevel="1" x14ac:dyDescent="0.4">
      <c r="A304" s="559"/>
      <c r="B304" s="370"/>
      <c r="C304" s="370"/>
      <c r="D304" s="370"/>
      <c r="E304" s="560"/>
      <c r="F304" s="204" t="s">
        <v>402</v>
      </c>
      <c r="G304" s="204"/>
      <c r="H304" s="549"/>
      <c r="I304" s="571"/>
    </row>
    <row r="305" spans="1:10" s="201" customFormat="1" ht="20.100000000000001" hidden="1" customHeight="1" outlineLevel="1" x14ac:dyDescent="0.4">
      <c r="A305" s="559"/>
      <c r="B305" s="370"/>
      <c r="C305" s="370"/>
      <c r="D305" s="370"/>
      <c r="E305" s="560"/>
      <c r="F305" s="204" t="s">
        <v>713</v>
      </c>
      <c r="G305" s="204"/>
      <c r="H305" s="549"/>
      <c r="I305" s="571"/>
    </row>
    <row r="306" spans="1:10" s="201" customFormat="1" ht="20.100000000000001" hidden="1" customHeight="1" outlineLevel="1" x14ac:dyDescent="0.4">
      <c r="A306" s="348"/>
      <c r="B306" s="370"/>
      <c r="C306" s="350"/>
      <c r="D306" s="350"/>
      <c r="E306" s="352"/>
      <c r="F306" s="90" t="s">
        <v>403</v>
      </c>
      <c r="G306" s="90"/>
      <c r="H306" s="550"/>
      <c r="I306" s="577"/>
      <c r="J306" s="201" t="s">
        <v>729</v>
      </c>
    </row>
    <row r="307" spans="1:10" s="201" customFormat="1" ht="20.100000000000001" hidden="1" customHeight="1" outlineLevel="1" collapsed="1" x14ac:dyDescent="0.4">
      <c r="A307" s="347">
        <v>35</v>
      </c>
      <c r="B307" s="349" t="s">
        <v>436</v>
      </c>
      <c r="C307" s="349" t="s">
        <v>731</v>
      </c>
      <c r="D307" s="349"/>
      <c r="E307" s="351" t="s">
        <v>730</v>
      </c>
      <c r="F307" s="196"/>
      <c r="G307" s="196"/>
      <c r="H307" s="548">
        <v>45954</v>
      </c>
      <c r="I307" s="569" t="s">
        <v>454</v>
      </c>
    </row>
    <row r="308" spans="1:10" s="201" customFormat="1" ht="20.100000000000001" hidden="1" customHeight="1" outlineLevel="1" x14ac:dyDescent="0.4">
      <c r="A308" s="559"/>
      <c r="B308" s="370"/>
      <c r="C308" s="370"/>
      <c r="D308" s="370"/>
      <c r="E308" s="560"/>
      <c r="F308" s="204" t="s">
        <v>544</v>
      </c>
      <c r="G308" s="204"/>
      <c r="H308" s="549"/>
      <c r="I308" s="570"/>
    </row>
    <row r="309" spans="1:10" s="201" customFormat="1" ht="20.100000000000001" hidden="1" customHeight="1" outlineLevel="1" x14ac:dyDescent="0.4">
      <c r="A309" s="348"/>
      <c r="B309" s="350"/>
      <c r="C309" s="350"/>
      <c r="D309" s="350"/>
      <c r="E309" s="352"/>
      <c r="F309" s="90"/>
      <c r="G309" s="90"/>
      <c r="H309" s="550"/>
      <c r="I309" s="572"/>
      <c r="J309" s="201" t="s">
        <v>736</v>
      </c>
    </row>
    <row r="310" spans="1:10" s="201" customFormat="1" ht="20.100000000000001" hidden="1" customHeight="1" outlineLevel="1" collapsed="1" x14ac:dyDescent="0.4">
      <c r="A310" s="347">
        <v>36</v>
      </c>
      <c r="B310" s="349" t="s">
        <v>735</v>
      </c>
      <c r="C310" s="349" t="s">
        <v>732</v>
      </c>
      <c r="D310" s="349" t="s">
        <v>734</v>
      </c>
      <c r="E310" s="351" t="s">
        <v>733</v>
      </c>
      <c r="F310" s="196"/>
      <c r="G310" s="196"/>
      <c r="H310" s="548">
        <v>45968</v>
      </c>
      <c r="I310" s="300"/>
    </row>
    <row r="311" spans="1:10" s="201" customFormat="1" ht="20.100000000000001" hidden="1" customHeight="1" outlineLevel="1" x14ac:dyDescent="0.4">
      <c r="A311" s="559"/>
      <c r="B311" s="370"/>
      <c r="C311" s="370"/>
      <c r="D311" s="370"/>
      <c r="E311" s="560"/>
      <c r="F311" s="204" t="s">
        <v>741</v>
      </c>
      <c r="G311" s="204"/>
      <c r="H311" s="549"/>
      <c r="I311" s="277"/>
    </row>
    <row r="312" spans="1:10" s="201" customFormat="1" ht="20.100000000000001" hidden="1" customHeight="1" outlineLevel="1" x14ac:dyDescent="0.4">
      <c r="A312" s="559"/>
      <c r="B312" s="370"/>
      <c r="C312" s="370"/>
      <c r="D312" s="370"/>
      <c r="E312" s="560"/>
      <c r="F312" s="204" t="s">
        <v>481</v>
      </c>
      <c r="G312" s="204"/>
      <c r="H312" s="549"/>
      <c r="I312" s="277"/>
    </row>
    <row r="313" spans="1:10" s="201" customFormat="1" ht="20.100000000000001" hidden="1" customHeight="1" outlineLevel="1" x14ac:dyDescent="0.4">
      <c r="A313" s="559"/>
      <c r="B313" s="370"/>
      <c r="C313" s="370"/>
      <c r="D313" s="370"/>
      <c r="E313" s="560"/>
      <c r="F313" s="204" t="s">
        <v>403</v>
      </c>
      <c r="G313" s="204"/>
      <c r="H313" s="549"/>
      <c r="I313" s="277"/>
    </row>
    <row r="314" spans="1:10" s="201" customFormat="1" ht="20.100000000000001" hidden="1" customHeight="1" outlineLevel="1" x14ac:dyDescent="0.4">
      <c r="A314" s="559"/>
      <c r="B314" s="370"/>
      <c r="C314" s="370"/>
      <c r="D314" s="370"/>
      <c r="E314" s="560"/>
      <c r="F314" s="204"/>
      <c r="G314" s="204"/>
      <c r="H314" s="550"/>
      <c r="I314" s="277"/>
    </row>
    <row r="315" spans="1:10" s="201" customFormat="1" ht="20.100000000000001" hidden="1" customHeight="1" outlineLevel="1" collapsed="1" x14ac:dyDescent="0.4">
      <c r="A315" s="559"/>
      <c r="B315" s="370"/>
      <c r="C315" s="370"/>
      <c r="D315" s="370"/>
      <c r="E315" s="560"/>
      <c r="F315" s="204" t="s">
        <v>750</v>
      </c>
      <c r="G315" s="204"/>
      <c r="H315" s="548">
        <v>45979</v>
      </c>
      <c r="I315" s="300" t="s">
        <v>749</v>
      </c>
    </row>
    <row r="316" spans="1:10" s="201" customFormat="1" ht="20.100000000000001" hidden="1" customHeight="1" outlineLevel="1" x14ac:dyDescent="0.4">
      <c r="A316" s="559"/>
      <c r="B316" s="370"/>
      <c r="C316" s="370"/>
      <c r="D316" s="370"/>
      <c r="E316" s="560"/>
      <c r="F316" s="204" t="s">
        <v>751</v>
      </c>
      <c r="G316" s="204"/>
      <c r="H316" s="549"/>
      <c r="I316" s="277" t="s">
        <v>454</v>
      </c>
    </row>
    <row r="317" spans="1:10" s="201" customFormat="1" ht="20.100000000000001" hidden="1" customHeight="1" outlineLevel="1" x14ac:dyDescent="0.4">
      <c r="A317" s="559"/>
      <c r="B317" s="370"/>
      <c r="C317" s="370"/>
      <c r="D317" s="370"/>
      <c r="E317" s="560"/>
      <c r="F317" s="90"/>
      <c r="G317" s="90"/>
      <c r="H317" s="552"/>
      <c r="I317" s="277"/>
    </row>
    <row r="318" spans="1:10" s="201" customFormat="1" ht="20.100000000000001" hidden="1" customHeight="1" outlineLevel="1" collapsed="1" x14ac:dyDescent="0.4">
      <c r="A318" s="559"/>
      <c r="B318" s="370"/>
      <c r="C318" s="370"/>
      <c r="D318" s="370"/>
      <c r="E318" s="560"/>
      <c r="F318" s="204" t="s">
        <v>753</v>
      </c>
      <c r="G318" s="204"/>
      <c r="H318" s="548">
        <v>46017</v>
      </c>
      <c r="I318" s="300" t="s">
        <v>757</v>
      </c>
    </row>
    <row r="319" spans="1:10" s="201" customFormat="1" ht="20.100000000000001" hidden="1" customHeight="1" outlineLevel="1" x14ac:dyDescent="0.4">
      <c r="A319" s="559"/>
      <c r="B319" s="370"/>
      <c r="C319" s="370"/>
      <c r="D319" s="370"/>
      <c r="E319" s="560"/>
      <c r="F319" s="204" t="s">
        <v>755</v>
      </c>
      <c r="G319" s="204"/>
      <c r="H319" s="549"/>
      <c r="I319" s="571" t="s">
        <v>818</v>
      </c>
    </row>
    <row r="320" spans="1:10" s="201" customFormat="1" ht="20.100000000000001" hidden="1" customHeight="1" outlineLevel="1" x14ac:dyDescent="0.4">
      <c r="A320" s="559"/>
      <c r="B320" s="370"/>
      <c r="C320" s="370"/>
      <c r="D320" s="370"/>
      <c r="E320" s="560"/>
      <c r="F320" s="204" t="s">
        <v>761</v>
      </c>
      <c r="G320" s="204"/>
      <c r="H320" s="549"/>
      <c r="I320" s="571"/>
    </row>
    <row r="321" spans="1:10" s="201" customFormat="1" ht="20.100000000000001" hidden="1" customHeight="1" outlineLevel="1" x14ac:dyDescent="0.4">
      <c r="A321" s="559"/>
      <c r="B321" s="370"/>
      <c r="C321" s="370"/>
      <c r="D321" s="370"/>
      <c r="E321" s="560"/>
      <c r="F321" s="204" t="s">
        <v>756</v>
      </c>
      <c r="G321" s="204"/>
      <c r="H321" s="549"/>
      <c r="I321" s="277" t="s">
        <v>454</v>
      </c>
    </row>
    <row r="322" spans="1:10" s="201" customFormat="1" ht="20.100000000000001" hidden="1" customHeight="1" outlineLevel="1" x14ac:dyDescent="0.4">
      <c r="A322" s="559"/>
      <c r="B322" s="370"/>
      <c r="C322" s="370"/>
      <c r="D322" s="370"/>
      <c r="E322" s="560"/>
      <c r="F322" s="204" t="s">
        <v>775</v>
      </c>
      <c r="G322" s="204"/>
      <c r="H322" s="549"/>
      <c r="I322" s="277"/>
    </row>
    <row r="323" spans="1:10" s="201" customFormat="1" ht="20.100000000000001" hidden="1" customHeight="1" outlineLevel="1" x14ac:dyDescent="0.4">
      <c r="A323" s="559"/>
      <c r="B323" s="370"/>
      <c r="C323" s="370"/>
      <c r="D323" s="370"/>
      <c r="E323" s="560"/>
      <c r="F323" s="204" t="s">
        <v>682</v>
      </c>
      <c r="G323" s="204"/>
      <c r="H323" s="549"/>
      <c r="I323" s="277"/>
    </row>
    <row r="324" spans="1:10" s="201" customFormat="1" ht="20.100000000000001" hidden="1" customHeight="1" outlineLevel="1" x14ac:dyDescent="0.4">
      <c r="A324" s="559"/>
      <c r="B324" s="370"/>
      <c r="C324" s="370"/>
      <c r="D324" s="370"/>
      <c r="E324" s="560"/>
      <c r="F324" s="204" t="s">
        <v>778</v>
      </c>
      <c r="G324" s="204"/>
      <c r="H324" s="549"/>
      <c r="I324" s="277"/>
    </row>
    <row r="325" spans="1:10" s="201" customFormat="1" ht="20.100000000000001" hidden="1" customHeight="1" outlineLevel="1" x14ac:dyDescent="0.4">
      <c r="A325" s="559"/>
      <c r="B325" s="370"/>
      <c r="C325" s="370"/>
      <c r="D325" s="370"/>
      <c r="E325" s="560"/>
      <c r="F325" s="204" t="s">
        <v>680</v>
      </c>
      <c r="G325" s="204"/>
      <c r="H325" s="549"/>
      <c r="I325" s="277"/>
    </row>
    <row r="326" spans="1:10" s="201" customFormat="1" ht="20.100000000000001" hidden="1" customHeight="1" outlineLevel="1" x14ac:dyDescent="0.4">
      <c r="A326" s="559"/>
      <c r="B326" s="370"/>
      <c r="C326" s="370"/>
      <c r="D326" s="370"/>
      <c r="E326" s="560"/>
      <c r="F326" s="204" t="s">
        <v>797</v>
      </c>
      <c r="G326" s="204"/>
      <c r="H326" s="549"/>
      <c r="I326" s="277"/>
    </row>
    <row r="327" spans="1:10" s="201" customFormat="1" ht="20.100000000000001" hidden="1" customHeight="1" outlineLevel="1" x14ac:dyDescent="0.4">
      <c r="A327" s="559"/>
      <c r="B327" s="370"/>
      <c r="C327" s="370"/>
      <c r="D327" s="370"/>
      <c r="E327" s="560"/>
      <c r="F327" s="204" t="s">
        <v>694</v>
      </c>
      <c r="G327" s="204"/>
      <c r="H327" s="549"/>
      <c r="I327" s="277"/>
    </row>
    <row r="328" spans="1:10" s="201" customFormat="1" ht="20.100000000000001" hidden="1" customHeight="1" outlineLevel="1" x14ac:dyDescent="0.4">
      <c r="A328" s="559"/>
      <c r="B328" s="370"/>
      <c r="C328" s="370"/>
      <c r="D328" s="370"/>
      <c r="E328" s="560"/>
      <c r="F328" s="204" t="s">
        <v>811</v>
      </c>
      <c r="G328" s="204"/>
      <c r="H328" s="549"/>
      <c r="I328" s="277"/>
    </row>
    <row r="329" spans="1:10" s="201" customFormat="1" ht="20.100000000000001" hidden="1" customHeight="1" outlineLevel="1" x14ac:dyDescent="0.4">
      <c r="A329" s="559"/>
      <c r="B329" s="370"/>
      <c r="C329" s="370"/>
      <c r="D329" s="370"/>
      <c r="E329" s="560"/>
      <c r="F329" s="204" t="s">
        <v>812</v>
      </c>
      <c r="G329" s="204"/>
      <c r="H329" s="549"/>
      <c r="I329" s="277"/>
    </row>
    <row r="330" spans="1:10" s="201" customFormat="1" ht="20.100000000000001" hidden="1" customHeight="1" outlineLevel="1" x14ac:dyDescent="0.4">
      <c r="A330" s="559"/>
      <c r="B330" s="370"/>
      <c r="C330" s="370"/>
      <c r="D330" s="370"/>
      <c r="E330" s="560"/>
      <c r="F330" s="204" t="s">
        <v>817</v>
      </c>
      <c r="G330" s="204"/>
      <c r="H330" s="549"/>
      <c r="I330" s="277"/>
    </row>
    <row r="331" spans="1:10" s="201" customFormat="1" ht="20.100000000000001" hidden="1" customHeight="1" outlineLevel="1" x14ac:dyDescent="0.4">
      <c r="A331" s="348"/>
      <c r="B331" s="350"/>
      <c r="C331" s="350"/>
      <c r="D331" s="350"/>
      <c r="E331" s="352"/>
      <c r="F331" s="90"/>
      <c r="G331" s="90"/>
      <c r="H331" s="552"/>
      <c r="I331" s="278"/>
      <c r="J331" s="201" t="s">
        <v>585</v>
      </c>
    </row>
    <row r="332" spans="1:10" s="201" customFormat="1" ht="20.100000000000001" hidden="1" customHeight="1" outlineLevel="1" x14ac:dyDescent="0.4">
      <c r="A332" s="291">
        <v>37</v>
      </c>
      <c r="B332" s="349" t="s">
        <v>348</v>
      </c>
      <c r="C332" s="349" t="s">
        <v>766</v>
      </c>
      <c r="D332" s="349" t="s">
        <v>771</v>
      </c>
      <c r="E332" s="351" t="s">
        <v>728</v>
      </c>
      <c r="F332" s="196" t="s">
        <v>461</v>
      </c>
      <c r="G332" s="196"/>
      <c r="H332" s="548">
        <v>46000</v>
      </c>
      <c r="I332" s="574" t="s">
        <v>609</v>
      </c>
    </row>
    <row r="333" spans="1:10" s="201" customFormat="1" ht="20.100000000000001" hidden="1" customHeight="1" outlineLevel="1" x14ac:dyDescent="0.4">
      <c r="A333" s="293"/>
      <c r="B333" s="370"/>
      <c r="C333" s="370"/>
      <c r="D333" s="370"/>
      <c r="E333" s="560"/>
      <c r="F333" s="204" t="s">
        <v>481</v>
      </c>
      <c r="G333" s="204"/>
      <c r="H333" s="549"/>
      <c r="I333" s="584"/>
    </row>
    <row r="334" spans="1:10" s="201" customFormat="1" ht="20.100000000000001" hidden="1" customHeight="1" outlineLevel="1" x14ac:dyDescent="0.4">
      <c r="A334" s="293"/>
      <c r="B334" s="370"/>
      <c r="C334" s="370"/>
      <c r="D334" s="370"/>
      <c r="E334" s="560"/>
      <c r="F334" s="204" t="s">
        <v>402</v>
      </c>
      <c r="G334" s="204"/>
      <c r="H334" s="549"/>
      <c r="I334" s="584"/>
    </row>
    <row r="335" spans="1:10" s="201" customFormat="1" ht="20.100000000000001" hidden="1" customHeight="1" outlineLevel="1" x14ac:dyDescent="0.4">
      <c r="A335" s="292"/>
      <c r="B335" s="370"/>
      <c r="C335" s="350"/>
      <c r="D335" s="350"/>
      <c r="E335" s="352"/>
      <c r="F335" s="90" t="s">
        <v>403</v>
      </c>
      <c r="G335" s="90"/>
      <c r="H335" s="550"/>
      <c r="I335" s="584"/>
      <c r="J335" s="201" t="s">
        <v>773</v>
      </c>
    </row>
    <row r="336" spans="1:10" s="201" customFormat="1" ht="20.100000000000001" hidden="1" customHeight="1" outlineLevel="1" x14ac:dyDescent="0.4">
      <c r="A336" s="291">
        <v>38</v>
      </c>
      <c r="B336" s="349" t="s">
        <v>348</v>
      </c>
      <c r="C336" s="349" t="s">
        <v>767</v>
      </c>
      <c r="D336" s="349" t="s">
        <v>772</v>
      </c>
      <c r="E336" s="351" t="s">
        <v>728</v>
      </c>
      <c r="F336" s="196" t="s">
        <v>460</v>
      </c>
      <c r="G336" s="196"/>
      <c r="H336" s="548">
        <v>46003</v>
      </c>
      <c r="I336" s="574" t="s">
        <v>609</v>
      </c>
    </row>
    <row r="337" spans="1:10" s="201" customFormat="1" ht="20.100000000000001" hidden="1" customHeight="1" outlineLevel="1" x14ac:dyDescent="0.4">
      <c r="A337" s="293"/>
      <c r="B337" s="370"/>
      <c r="C337" s="370"/>
      <c r="D337" s="370"/>
      <c r="E337" s="560"/>
      <c r="F337" s="204" t="s">
        <v>481</v>
      </c>
      <c r="G337" s="204"/>
      <c r="H337" s="549"/>
      <c r="I337" s="584"/>
    </row>
    <row r="338" spans="1:10" s="201" customFormat="1" ht="20.100000000000001" hidden="1" customHeight="1" outlineLevel="1" x14ac:dyDescent="0.4">
      <c r="A338" s="293"/>
      <c r="B338" s="370"/>
      <c r="C338" s="370"/>
      <c r="D338" s="370"/>
      <c r="E338" s="560"/>
      <c r="F338" s="204" t="s">
        <v>402</v>
      </c>
      <c r="G338" s="204"/>
      <c r="H338" s="549"/>
      <c r="I338" s="584"/>
    </row>
    <row r="339" spans="1:10" s="201" customFormat="1" ht="20.100000000000001" hidden="1" customHeight="1" outlineLevel="1" x14ac:dyDescent="0.4">
      <c r="A339" s="292"/>
      <c r="B339" s="370"/>
      <c r="C339" s="350"/>
      <c r="D339" s="350"/>
      <c r="E339" s="352"/>
      <c r="F339" s="90" t="s">
        <v>403</v>
      </c>
      <c r="G339" s="90"/>
      <c r="H339" s="550"/>
      <c r="I339" s="584"/>
      <c r="J339" s="201" t="s">
        <v>774</v>
      </c>
    </row>
    <row r="340" spans="1:10" s="201" customFormat="1" ht="20.100000000000001" hidden="1" customHeight="1" outlineLevel="1" collapsed="1" x14ac:dyDescent="0.4">
      <c r="A340" s="347">
        <v>39</v>
      </c>
      <c r="B340" s="349" t="s">
        <v>779</v>
      </c>
      <c r="C340" s="349" t="s">
        <v>780</v>
      </c>
      <c r="D340" s="349" t="s">
        <v>782</v>
      </c>
      <c r="E340" s="351" t="s">
        <v>781</v>
      </c>
      <c r="F340" s="196" t="s">
        <v>460</v>
      </c>
      <c r="G340" s="196"/>
      <c r="H340" s="561">
        <v>46010</v>
      </c>
      <c r="I340" s="574" t="s">
        <v>609</v>
      </c>
    </row>
    <row r="341" spans="1:10" s="201" customFormat="1" ht="20.100000000000001" hidden="1" customHeight="1" outlineLevel="1" x14ac:dyDescent="0.4">
      <c r="A341" s="559"/>
      <c r="B341" s="370"/>
      <c r="C341" s="370"/>
      <c r="D341" s="370"/>
      <c r="E341" s="560"/>
      <c r="F341" s="204" t="s">
        <v>401</v>
      </c>
      <c r="G341" s="204"/>
      <c r="H341" s="562"/>
      <c r="I341" s="584"/>
    </row>
    <row r="342" spans="1:10" s="201" customFormat="1" ht="20.100000000000001" hidden="1" customHeight="1" outlineLevel="1" x14ac:dyDescent="0.4">
      <c r="A342" s="559"/>
      <c r="B342" s="370"/>
      <c r="C342" s="370"/>
      <c r="D342" s="370"/>
      <c r="E342" s="560"/>
      <c r="F342" s="204" t="s">
        <v>402</v>
      </c>
      <c r="G342" s="204"/>
      <c r="H342" s="562"/>
      <c r="I342" s="584"/>
    </row>
    <row r="343" spans="1:10" s="201" customFormat="1" ht="20.100000000000001" hidden="1" customHeight="1" outlineLevel="1" x14ac:dyDescent="0.4">
      <c r="A343" s="348"/>
      <c r="B343" s="350"/>
      <c r="C343" s="350"/>
      <c r="D343" s="350"/>
      <c r="E343" s="352"/>
      <c r="F343" s="90" t="s">
        <v>403</v>
      </c>
      <c r="G343" s="90"/>
      <c r="H343" s="562"/>
      <c r="I343" s="584"/>
      <c r="J343" s="201" t="s">
        <v>773</v>
      </c>
    </row>
    <row r="344" spans="1:10" s="201" customFormat="1" ht="20.100000000000001" hidden="1" customHeight="1" outlineLevel="1" collapsed="1" x14ac:dyDescent="0.4">
      <c r="A344" s="347">
        <v>40</v>
      </c>
      <c r="B344" s="349" t="s">
        <v>779</v>
      </c>
      <c r="C344" s="349" t="s">
        <v>783</v>
      </c>
      <c r="D344" s="349" t="s">
        <v>386</v>
      </c>
      <c r="E344" s="351" t="s">
        <v>784</v>
      </c>
      <c r="F344" s="196"/>
      <c r="G344" s="196"/>
      <c r="H344" s="561">
        <v>46002</v>
      </c>
      <c r="I344" s="571" t="s">
        <v>454</v>
      </c>
    </row>
    <row r="345" spans="1:10" s="201" customFormat="1" ht="20.100000000000001" hidden="1" customHeight="1" outlineLevel="1" x14ac:dyDescent="0.4">
      <c r="A345" s="559"/>
      <c r="B345" s="370"/>
      <c r="C345" s="370"/>
      <c r="D345" s="370"/>
      <c r="E345" s="560"/>
      <c r="F345" s="204" t="s">
        <v>791</v>
      </c>
      <c r="G345" s="204"/>
      <c r="H345" s="562"/>
      <c r="I345" s="570"/>
    </row>
    <row r="346" spans="1:10" s="201" customFormat="1" ht="20.100000000000001" hidden="1" customHeight="1" outlineLevel="1" x14ac:dyDescent="0.4">
      <c r="A346" s="559"/>
      <c r="B346" s="370"/>
      <c r="C346" s="370"/>
      <c r="D346" s="370"/>
      <c r="E346" s="560"/>
      <c r="F346" s="204" t="s">
        <v>792</v>
      </c>
      <c r="G346" s="204"/>
      <c r="H346" s="562"/>
      <c r="I346" s="570"/>
    </row>
    <row r="347" spans="1:10" s="201" customFormat="1" ht="20.100000000000001" hidden="1" customHeight="1" outlineLevel="1" x14ac:dyDescent="0.4">
      <c r="A347" s="348"/>
      <c r="B347" s="350"/>
      <c r="C347" s="350"/>
      <c r="D347" s="350"/>
      <c r="E347" s="352"/>
      <c r="F347" s="90"/>
      <c r="G347" s="90"/>
      <c r="H347" s="562"/>
      <c r="I347" s="572"/>
      <c r="J347" s="201" t="s">
        <v>787</v>
      </c>
    </row>
    <row r="348" spans="1:10" s="201" customFormat="1" ht="20.100000000000001" hidden="1" customHeight="1" outlineLevel="1" collapsed="1" x14ac:dyDescent="0.4">
      <c r="A348" s="347">
        <v>41</v>
      </c>
      <c r="B348" s="349" t="s">
        <v>384</v>
      </c>
      <c r="C348" s="349" t="s">
        <v>785</v>
      </c>
      <c r="D348" s="349"/>
      <c r="E348" s="351" t="s">
        <v>786</v>
      </c>
      <c r="F348" s="196"/>
      <c r="G348" s="196"/>
      <c r="H348" s="548">
        <v>46003</v>
      </c>
      <c r="I348" s="573" t="s">
        <v>454</v>
      </c>
    </row>
    <row r="349" spans="1:10" s="201" customFormat="1" ht="20.100000000000001" hidden="1" customHeight="1" outlineLevel="1" x14ac:dyDescent="0.4">
      <c r="A349" s="559"/>
      <c r="B349" s="370"/>
      <c r="C349" s="370"/>
      <c r="D349" s="370"/>
      <c r="E349" s="560"/>
      <c r="F349" s="204" t="s">
        <v>544</v>
      </c>
      <c r="G349" s="204"/>
      <c r="H349" s="549"/>
      <c r="I349" s="574"/>
    </row>
    <row r="350" spans="1:10" s="201" customFormat="1" ht="20.100000000000001" hidden="1" customHeight="1" outlineLevel="1" x14ac:dyDescent="0.4">
      <c r="A350" s="559"/>
      <c r="B350" s="370"/>
      <c r="C350" s="370"/>
      <c r="D350" s="370"/>
      <c r="E350" s="560"/>
      <c r="F350" s="204" t="s">
        <v>545</v>
      </c>
      <c r="G350" s="204"/>
      <c r="H350" s="549"/>
      <c r="I350" s="574"/>
    </row>
    <row r="351" spans="1:10" s="201" customFormat="1" ht="20.100000000000001" hidden="1" customHeight="1" outlineLevel="1" x14ac:dyDescent="0.4">
      <c r="A351" s="559"/>
      <c r="B351" s="370"/>
      <c r="C351" s="370"/>
      <c r="D351" s="370"/>
      <c r="E351" s="560"/>
      <c r="F351" s="204" t="s">
        <v>546</v>
      </c>
      <c r="G351" s="204"/>
      <c r="H351" s="549"/>
      <c r="I351" s="574"/>
    </row>
    <row r="352" spans="1:10" s="201" customFormat="1" ht="20.100000000000001" hidden="1" customHeight="1" outlineLevel="1" x14ac:dyDescent="0.4">
      <c r="A352" s="559"/>
      <c r="B352" s="370"/>
      <c r="C352" s="370"/>
      <c r="D352" s="370"/>
      <c r="E352" s="560"/>
      <c r="F352" s="90" t="s">
        <v>558</v>
      </c>
      <c r="G352" s="90"/>
      <c r="H352" s="550"/>
      <c r="I352" s="574"/>
      <c r="J352" s="201" t="s">
        <v>800</v>
      </c>
    </row>
    <row r="353" spans="1:10" s="201" customFormat="1" ht="20.100000000000001" hidden="1" customHeight="1" outlineLevel="1" x14ac:dyDescent="0.4">
      <c r="A353" s="347">
        <v>42</v>
      </c>
      <c r="B353" s="349" t="s">
        <v>779</v>
      </c>
      <c r="C353" s="349" t="s">
        <v>793</v>
      </c>
      <c r="D353" s="349" t="s">
        <v>794</v>
      </c>
      <c r="E353" s="351" t="s">
        <v>795</v>
      </c>
      <c r="F353" s="196" t="s">
        <v>460</v>
      </c>
      <c r="G353" s="196"/>
      <c r="H353" s="548">
        <v>46010</v>
      </c>
      <c r="I353" s="579" t="s">
        <v>454</v>
      </c>
    </row>
    <row r="354" spans="1:10" s="201" customFormat="1" ht="20.100000000000001" hidden="1" customHeight="1" outlineLevel="1" x14ac:dyDescent="0.4">
      <c r="A354" s="559"/>
      <c r="B354" s="370"/>
      <c r="C354" s="370"/>
      <c r="D354" s="370"/>
      <c r="E354" s="560"/>
      <c r="F354" s="204" t="s">
        <v>401</v>
      </c>
      <c r="G354" s="204"/>
      <c r="H354" s="549"/>
      <c r="I354" s="580"/>
    </row>
    <row r="355" spans="1:10" s="201" customFormat="1" ht="20.100000000000001" hidden="1" customHeight="1" outlineLevel="1" x14ac:dyDescent="0.4">
      <c r="A355" s="559"/>
      <c r="B355" s="370"/>
      <c r="C355" s="370"/>
      <c r="D355" s="370"/>
      <c r="E355" s="560"/>
      <c r="F355" s="204" t="s">
        <v>402</v>
      </c>
      <c r="G355" s="204"/>
      <c r="H355" s="549"/>
      <c r="I355" s="580"/>
    </row>
    <row r="356" spans="1:10" s="201" customFormat="1" ht="20.100000000000001" hidden="1" customHeight="1" outlineLevel="1" x14ac:dyDescent="0.4">
      <c r="A356" s="559"/>
      <c r="B356" s="370"/>
      <c r="C356" s="370"/>
      <c r="D356" s="370"/>
      <c r="E356" s="560"/>
      <c r="F356" s="204" t="s">
        <v>403</v>
      </c>
      <c r="G356" s="204"/>
      <c r="H356" s="549"/>
      <c r="I356" s="580"/>
    </row>
    <row r="357" spans="1:10" s="201" customFormat="1" ht="20.100000000000001" hidden="1" customHeight="1" outlineLevel="1" x14ac:dyDescent="0.4">
      <c r="A357" s="559"/>
      <c r="B357" s="370"/>
      <c r="C357" s="370"/>
      <c r="D357" s="370"/>
      <c r="E357" s="560"/>
      <c r="F357" s="90" t="s">
        <v>413</v>
      </c>
      <c r="G357" s="90"/>
      <c r="H357" s="550"/>
      <c r="I357" s="580"/>
    </row>
    <row r="358" spans="1:10" s="201" customFormat="1" ht="20.100000000000001" hidden="1" customHeight="1" outlineLevel="1" x14ac:dyDescent="0.4">
      <c r="A358" s="559"/>
      <c r="B358" s="370"/>
      <c r="C358" s="370"/>
      <c r="D358" s="370"/>
      <c r="E358" s="560"/>
      <c r="F358" s="204"/>
      <c r="G358" s="204"/>
      <c r="H358" s="548">
        <v>46015</v>
      </c>
      <c r="I358" s="580"/>
    </row>
    <row r="359" spans="1:10" s="201" customFormat="1" ht="20.100000000000001" hidden="1" customHeight="1" outlineLevel="1" x14ac:dyDescent="0.4">
      <c r="A359" s="348"/>
      <c r="B359" s="370"/>
      <c r="C359" s="350"/>
      <c r="D359" s="370"/>
      <c r="E359" s="560"/>
      <c r="F359" s="90" t="s">
        <v>813</v>
      </c>
      <c r="G359" s="90"/>
      <c r="H359" s="552"/>
      <c r="I359" s="581"/>
      <c r="J359" s="201" t="s">
        <v>790</v>
      </c>
    </row>
    <row r="360" spans="1:10" s="201" customFormat="1" ht="20.100000000000001" hidden="1" customHeight="1" outlineLevel="1" collapsed="1" x14ac:dyDescent="0.4">
      <c r="A360" s="347">
        <v>43</v>
      </c>
      <c r="B360" s="349" t="s">
        <v>348</v>
      </c>
      <c r="C360" s="349" t="s">
        <v>834</v>
      </c>
      <c r="D360" s="349" t="s">
        <v>832</v>
      </c>
      <c r="E360" s="351" t="s">
        <v>833</v>
      </c>
      <c r="F360" s="196" t="s">
        <v>848</v>
      </c>
      <c r="G360" s="196"/>
      <c r="H360" s="561">
        <v>46052</v>
      </c>
      <c r="I360" s="567" t="s">
        <v>454</v>
      </c>
    </row>
    <row r="361" spans="1:10" s="201" customFormat="1" ht="20.100000000000001" hidden="1" customHeight="1" outlineLevel="1" x14ac:dyDescent="0.4">
      <c r="A361" s="559"/>
      <c r="B361" s="370"/>
      <c r="C361" s="370"/>
      <c r="D361" s="370"/>
      <c r="E361" s="560"/>
      <c r="F361" s="204" t="s">
        <v>849</v>
      </c>
      <c r="G361" s="204"/>
      <c r="H361" s="561"/>
      <c r="I361" s="567"/>
    </row>
    <row r="362" spans="1:10" s="201" customFormat="1" ht="20.100000000000001" hidden="1" customHeight="1" outlineLevel="1" x14ac:dyDescent="0.4">
      <c r="A362" s="559"/>
      <c r="B362" s="370"/>
      <c r="C362" s="370"/>
      <c r="D362" s="370"/>
      <c r="E362" s="560"/>
      <c r="F362" s="204" t="s">
        <v>461</v>
      </c>
      <c r="G362" s="204"/>
      <c r="H362" s="562"/>
      <c r="I362" s="568"/>
    </row>
    <row r="363" spans="1:10" s="201" customFormat="1" ht="20.100000000000001" hidden="1" customHeight="1" outlineLevel="1" x14ac:dyDescent="0.4">
      <c r="A363" s="559"/>
      <c r="B363" s="370"/>
      <c r="C363" s="370"/>
      <c r="D363" s="370"/>
      <c r="E363" s="560"/>
      <c r="F363" s="204" t="s">
        <v>481</v>
      </c>
      <c r="G363" s="204"/>
      <c r="H363" s="562"/>
      <c r="I363" s="568"/>
    </row>
    <row r="364" spans="1:10" s="201" customFormat="1" ht="20.100000000000001" hidden="1" customHeight="1" outlineLevel="1" x14ac:dyDescent="0.4">
      <c r="A364" s="559"/>
      <c r="B364" s="370"/>
      <c r="C364" s="370"/>
      <c r="D364" s="370"/>
      <c r="E364" s="560"/>
      <c r="F364" s="204" t="s">
        <v>402</v>
      </c>
      <c r="G364" s="204"/>
      <c r="H364" s="562"/>
      <c r="I364" s="568"/>
    </row>
    <row r="365" spans="1:10" s="201" customFormat="1" ht="20.100000000000001" hidden="1" customHeight="1" outlineLevel="1" x14ac:dyDescent="0.4">
      <c r="A365" s="348"/>
      <c r="B365" s="350"/>
      <c r="C365" s="350"/>
      <c r="D365" s="350"/>
      <c r="E365" s="352"/>
      <c r="F365" s="90" t="s">
        <v>403</v>
      </c>
      <c r="G365" s="90"/>
      <c r="H365" s="562"/>
      <c r="I365" s="568"/>
      <c r="J365" s="201" t="s">
        <v>850</v>
      </c>
    </row>
    <row r="366" spans="1:10" s="201" customFormat="1" ht="20.100000000000001" hidden="1" customHeight="1" outlineLevel="1" x14ac:dyDescent="0.4">
      <c r="A366" s="347">
        <v>44</v>
      </c>
      <c r="B366" s="349" t="s">
        <v>384</v>
      </c>
      <c r="C366" s="349" t="s">
        <v>838</v>
      </c>
      <c r="D366" s="349"/>
      <c r="E366" s="351" t="s">
        <v>839</v>
      </c>
      <c r="F366" s="196"/>
      <c r="G366" s="196"/>
      <c r="H366" s="548">
        <v>46034</v>
      </c>
      <c r="I366" s="566" t="s">
        <v>609</v>
      </c>
    </row>
    <row r="367" spans="1:10" s="201" customFormat="1" ht="20.100000000000001" hidden="1" customHeight="1" outlineLevel="1" x14ac:dyDescent="0.4">
      <c r="A367" s="559"/>
      <c r="B367" s="370"/>
      <c r="C367" s="370"/>
      <c r="D367" s="370"/>
      <c r="E367" s="560"/>
      <c r="F367" s="204" t="s">
        <v>847</v>
      </c>
      <c r="G367" s="204"/>
      <c r="H367" s="549"/>
      <c r="I367" s="557"/>
    </row>
    <row r="368" spans="1:10" s="201" customFormat="1" ht="20.100000000000001" hidden="1" customHeight="1" outlineLevel="1" x14ac:dyDescent="0.4">
      <c r="A368" s="559"/>
      <c r="B368" s="370"/>
      <c r="C368" s="370"/>
      <c r="D368" s="370"/>
      <c r="E368" s="560"/>
      <c r="F368" s="204" t="s">
        <v>843</v>
      </c>
      <c r="G368" s="204"/>
      <c r="H368" s="549"/>
      <c r="I368" s="557"/>
    </row>
    <row r="369" spans="1:10" s="201" customFormat="1" ht="20.100000000000001" hidden="1" customHeight="1" outlineLevel="1" x14ac:dyDescent="0.4">
      <c r="A369" s="559"/>
      <c r="B369" s="370"/>
      <c r="C369" s="370"/>
      <c r="D369" s="370"/>
      <c r="E369" s="560"/>
      <c r="F369" s="204" t="s">
        <v>844</v>
      </c>
      <c r="G369" s="204"/>
      <c r="H369" s="549"/>
      <c r="I369" s="557"/>
    </row>
    <row r="370" spans="1:10" s="201" customFormat="1" ht="20.100000000000001" hidden="1" customHeight="1" outlineLevel="1" x14ac:dyDescent="0.4">
      <c r="A370" s="559"/>
      <c r="B370" s="370"/>
      <c r="C370" s="370"/>
      <c r="D370" s="370"/>
      <c r="E370" s="560"/>
      <c r="F370" s="204" t="s">
        <v>845</v>
      </c>
      <c r="G370" s="204"/>
      <c r="H370" s="549"/>
      <c r="I370" s="557"/>
    </row>
    <row r="371" spans="1:10" s="201" customFormat="1" ht="20.100000000000001" hidden="1" customHeight="1" outlineLevel="1" x14ac:dyDescent="0.4">
      <c r="A371" s="559"/>
      <c r="B371" s="370"/>
      <c r="C371" s="370"/>
      <c r="D371" s="370"/>
      <c r="E371" s="560"/>
      <c r="F371" s="90" t="s">
        <v>846</v>
      </c>
      <c r="G371" s="90"/>
      <c r="H371" s="550"/>
      <c r="I371" s="558"/>
      <c r="J371" s="201" t="s">
        <v>852</v>
      </c>
    </row>
    <row r="372" spans="1:10" s="201" customFormat="1" ht="20.100000000000001" customHeight="1" collapsed="1" x14ac:dyDescent="0.4">
      <c r="A372" s="347">
        <v>45</v>
      </c>
      <c r="B372" s="349" t="s">
        <v>384</v>
      </c>
      <c r="C372" s="349" t="s">
        <v>842</v>
      </c>
      <c r="D372" s="349"/>
      <c r="E372" s="563" t="s">
        <v>841</v>
      </c>
      <c r="F372" s="196"/>
      <c r="G372" s="196"/>
      <c r="H372" s="548">
        <v>46073</v>
      </c>
      <c r="I372" s="582" t="s">
        <v>938</v>
      </c>
    </row>
    <row r="373" spans="1:10" s="201" customFormat="1" ht="20.100000000000001" hidden="1" customHeight="1" outlineLevel="1" x14ac:dyDescent="0.4">
      <c r="A373" s="559"/>
      <c r="B373" s="370"/>
      <c r="C373" s="370"/>
      <c r="D373" s="370"/>
      <c r="E373" s="564"/>
      <c r="F373" s="204" t="s">
        <v>893</v>
      </c>
      <c r="G373" s="204"/>
      <c r="H373" s="549"/>
      <c r="I373" s="568"/>
    </row>
    <row r="374" spans="1:10" s="201" customFormat="1" ht="20.100000000000001" hidden="1" customHeight="1" outlineLevel="1" x14ac:dyDescent="0.4">
      <c r="A374" s="559"/>
      <c r="B374" s="370"/>
      <c r="C374" s="370"/>
      <c r="D374" s="370"/>
      <c r="E374" s="564"/>
      <c r="F374" s="204" t="s">
        <v>894</v>
      </c>
      <c r="G374" s="204"/>
      <c r="H374" s="549"/>
      <c r="I374" s="568"/>
    </row>
    <row r="375" spans="1:10" s="201" customFormat="1" ht="20.100000000000001" customHeight="1" collapsed="1" x14ac:dyDescent="0.4">
      <c r="A375" s="559"/>
      <c r="B375" s="370"/>
      <c r="C375" s="370"/>
      <c r="D375" s="370"/>
      <c r="E375" s="564"/>
      <c r="F375" s="204" t="s">
        <v>893</v>
      </c>
      <c r="G375" s="204"/>
      <c r="H375" s="549"/>
      <c r="I375" s="568"/>
    </row>
    <row r="376" spans="1:10" s="201" customFormat="1" ht="20.100000000000001" customHeight="1" x14ac:dyDescent="0.4">
      <c r="A376" s="559"/>
      <c r="B376" s="370"/>
      <c r="C376" s="370"/>
      <c r="D376" s="370"/>
      <c r="E376" s="564"/>
      <c r="F376" s="90" t="s">
        <v>894</v>
      </c>
      <c r="G376" s="90"/>
      <c r="H376" s="550"/>
      <c r="I376" s="568"/>
    </row>
    <row r="377" spans="1:10" s="201" customFormat="1" ht="20.100000000000001" customHeight="1" x14ac:dyDescent="0.4">
      <c r="A377" s="559"/>
      <c r="B377" s="370"/>
      <c r="C377" s="370"/>
      <c r="D377" s="370"/>
      <c r="E377" s="564"/>
      <c r="F377" s="204" t="s">
        <v>937</v>
      </c>
      <c r="G377" s="204"/>
      <c r="H377" s="551" t="s">
        <v>382</v>
      </c>
      <c r="I377" s="568"/>
    </row>
    <row r="378" spans="1:10" s="201" customFormat="1" ht="20.100000000000001" customHeight="1" x14ac:dyDescent="0.4">
      <c r="A378" s="348"/>
      <c r="B378" s="350"/>
      <c r="C378" s="350"/>
      <c r="D378" s="350"/>
      <c r="E378" s="565"/>
      <c r="F378" s="90"/>
      <c r="G378" s="90"/>
      <c r="H378" s="552"/>
      <c r="I378" s="568"/>
      <c r="J378" s="201" t="s">
        <v>851</v>
      </c>
    </row>
    <row r="379" spans="1:10" s="201" customFormat="1" ht="20.100000000000001" hidden="1" customHeight="1" outlineLevel="1" x14ac:dyDescent="0.4">
      <c r="A379" s="347">
        <v>46</v>
      </c>
      <c r="B379" s="349" t="s">
        <v>735</v>
      </c>
      <c r="C379" s="349" t="s">
        <v>853</v>
      </c>
      <c r="D379" s="349" t="s">
        <v>386</v>
      </c>
      <c r="E379" s="563" t="s">
        <v>854</v>
      </c>
      <c r="F379" s="196"/>
      <c r="G379" s="196"/>
      <c r="H379" s="548">
        <v>46043</v>
      </c>
      <c r="I379" s="553" t="s">
        <v>898</v>
      </c>
    </row>
    <row r="380" spans="1:10" s="201" customFormat="1" ht="20.100000000000001" hidden="1" customHeight="1" outlineLevel="1" x14ac:dyDescent="0.4">
      <c r="A380" s="559"/>
      <c r="B380" s="370"/>
      <c r="C380" s="370"/>
      <c r="D380" s="370"/>
      <c r="E380" s="564"/>
      <c r="F380" s="204" t="s">
        <v>856</v>
      </c>
      <c r="G380" s="204"/>
      <c r="H380" s="549"/>
      <c r="I380" s="554"/>
    </row>
    <row r="381" spans="1:10" s="201" customFormat="1" ht="20.100000000000001" hidden="1" customHeight="1" outlineLevel="1" x14ac:dyDescent="0.4">
      <c r="A381" s="559"/>
      <c r="B381" s="370"/>
      <c r="C381" s="370"/>
      <c r="D381" s="370"/>
      <c r="E381" s="564"/>
      <c r="F381" s="204" t="s">
        <v>857</v>
      </c>
      <c r="G381" s="204"/>
      <c r="H381" s="549"/>
      <c r="I381" s="554"/>
    </row>
    <row r="382" spans="1:10" s="201" customFormat="1" ht="20.100000000000001" hidden="1" customHeight="1" outlineLevel="1" x14ac:dyDescent="0.4">
      <c r="A382" s="559"/>
      <c r="B382" s="370"/>
      <c r="C382" s="370"/>
      <c r="D382" s="370"/>
      <c r="E382" s="564"/>
      <c r="F382" s="204" t="s">
        <v>858</v>
      </c>
      <c r="G382" s="204"/>
      <c r="H382" s="549"/>
      <c r="I382" s="554"/>
    </row>
    <row r="383" spans="1:10" s="201" customFormat="1" ht="20.100000000000001" hidden="1" customHeight="1" outlineLevel="1" x14ac:dyDescent="0.4">
      <c r="A383" s="559"/>
      <c r="B383" s="370"/>
      <c r="C383" s="370"/>
      <c r="D383" s="370"/>
      <c r="E383" s="564"/>
      <c r="F383" s="204" t="s">
        <v>859</v>
      </c>
      <c r="G383" s="204"/>
      <c r="H383" s="550"/>
      <c r="I383" s="555"/>
      <c r="J383" s="201" t="s">
        <v>585</v>
      </c>
    </row>
    <row r="384" spans="1:10" s="201" customFormat="1" ht="20.100000000000001" hidden="1" customHeight="1" outlineLevel="1" collapsed="1" x14ac:dyDescent="0.4">
      <c r="A384" s="559"/>
      <c r="B384" s="370"/>
      <c r="C384" s="370"/>
      <c r="D384" s="370"/>
      <c r="E384" s="564"/>
      <c r="F384" s="196" t="s">
        <v>461</v>
      </c>
      <c r="G384" s="196"/>
      <c r="H384" s="548">
        <v>46064</v>
      </c>
      <c r="I384" s="569" t="s">
        <v>454</v>
      </c>
    </row>
    <row r="385" spans="1:10" s="201" customFormat="1" ht="20.100000000000001" hidden="1" customHeight="1" outlineLevel="1" x14ac:dyDescent="0.4">
      <c r="A385" s="559"/>
      <c r="B385" s="370"/>
      <c r="C385" s="370"/>
      <c r="D385" s="370"/>
      <c r="E385" s="564"/>
      <c r="F385" s="204" t="s">
        <v>481</v>
      </c>
      <c r="G385" s="204"/>
      <c r="H385" s="549"/>
      <c r="I385" s="570"/>
    </row>
    <row r="386" spans="1:10" s="201" customFormat="1" ht="20.100000000000001" hidden="1" customHeight="1" outlineLevel="1" x14ac:dyDescent="0.4">
      <c r="A386" s="559"/>
      <c r="B386" s="370"/>
      <c r="C386" s="370"/>
      <c r="D386" s="370"/>
      <c r="E386" s="564"/>
      <c r="F386" s="204" t="s">
        <v>401</v>
      </c>
      <c r="G386" s="204"/>
      <c r="H386" s="549"/>
      <c r="I386" s="570"/>
    </row>
    <row r="387" spans="1:10" s="201" customFormat="1" ht="20.100000000000001" hidden="1" customHeight="1" outlineLevel="1" x14ac:dyDescent="0.4">
      <c r="A387" s="348"/>
      <c r="B387" s="350"/>
      <c r="C387" s="350"/>
      <c r="D387" s="350"/>
      <c r="E387" s="565"/>
      <c r="F387" s="90" t="s">
        <v>915</v>
      </c>
      <c r="G387" s="90"/>
      <c r="H387" s="549"/>
      <c r="I387" s="572"/>
      <c r="J387" s="201" t="s">
        <v>585</v>
      </c>
    </row>
    <row r="388" spans="1:10" s="201" customFormat="1" ht="20.100000000000001" customHeight="1" collapsed="1" x14ac:dyDescent="0.4">
      <c r="A388" s="347">
        <v>47</v>
      </c>
      <c r="B388" s="349" t="s">
        <v>576</v>
      </c>
      <c r="C388" s="349" t="s">
        <v>860</v>
      </c>
      <c r="D388" s="349" t="s">
        <v>386</v>
      </c>
      <c r="E388" s="563" t="s">
        <v>861</v>
      </c>
      <c r="F388" s="196"/>
      <c r="G388" s="196"/>
      <c r="H388" s="561">
        <v>46080</v>
      </c>
      <c r="I388" s="567" t="s">
        <v>903</v>
      </c>
    </row>
    <row r="389" spans="1:10" s="201" customFormat="1" ht="20.100000000000001" customHeight="1" x14ac:dyDescent="0.4">
      <c r="A389" s="559"/>
      <c r="B389" s="370"/>
      <c r="C389" s="370"/>
      <c r="D389" s="370"/>
      <c r="E389" s="564"/>
      <c r="F389" s="204" t="s">
        <v>868</v>
      </c>
      <c r="G389" s="204"/>
      <c r="H389" s="562"/>
      <c r="I389" s="568"/>
    </row>
    <row r="390" spans="1:10" s="201" customFormat="1" ht="20.100000000000001" customHeight="1" x14ac:dyDescent="0.4">
      <c r="A390" s="559"/>
      <c r="B390" s="370"/>
      <c r="C390" s="370"/>
      <c r="D390" s="370"/>
      <c r="E390" s="564"/>
      <c r="F390" s="204" t="s">
        <v>895</v>
      </c>
      <c r="G390" s="204"/>
      <c r="H390" s="562"/>
      <c r="I390" s="568"/>
    </row>
    <row r="391" spans="1:10" s="201" customFormat="1" ht="20.100000000000001" customHeight="1" x14ac:dyDescent="0.4">
      <c r="A391" s="559"/>
      <c r="B391" s="370"/>
      <c r="C391" s="370"/>
      <c r="D391" s="370"/>
      <c r="E391" s="564"/>
      <c r="F391" s="204" t="s">
        <v>461</v>
      </c>
      <c r="G391" s="204"/>
      <c r="H391" s="562"/>
      <c r="I391" s="568"/>
    </row>
    <row r="392" spans="1:10" s="201" customFormat="1" ht="20.100000000000001" customHeight="1" x14ac:dyDescent="0.4">
      <c r="A392" s="559"/>
      <c r="B392" s="370"/>
      <c r="C392" s="370"/>
      <c r="D392" s="370"/>
      <c r="E392" s="564"/>
      <c r="F392" s="204" t="s">
        <v>926</v>
      </c>
      <c r="G392" s="204" t="s">
        <v>927</v>
      </c>
      <c r="H392" s="562"/>
      <c r="I392" s="568"/>
    </row>
    <row r="393" spans="1:10" s="201" customFormat="1" ht="20.100000000000001" customHeight="1" x14ac:dyDescent="0.4">
      <c r="A393" s="348"/>
      <c r="B393" s="350"/>
      <c r="C393" s="350"/>
      <c r="D393" s="350"/>
      <c r="E393" s="565"/>
      <c r="F393" s="90"/>
      <c r="G393" s="90"/>
      <c r="H393" s="562"/>
      <c r="I393" s="568"/>
      <c r="J393" s="201" t="s">
        <v>851</v>
      </c>
    </row>
    <row r="394" spans="1:10" s="201" customFormat="1" ht="20.100000000000001" customHeight="1" x14ac:dyDescent="0.4">
      <c r="A394" s="347">
        <v>48</v>
      </c>
      <c r="B394" s="349" t="s">
        <v>517</v>
      </c>
      <c r="C394" s="349" t="s">
        <v>885</v>
      </c>
      <c r="D394" s="349" t="s">
        <v>887</v>
      </c>
      <c r="E394" s="563" t="s">
        <v>886</v>
      </c>
      <c r="F394" s="196"/>
      <c r="G394" s="196"/>
      <c r="H394" s="561">
        <v>46085</v>
      </c>
      <c r="I394" s="553" t="s">
        <v>939</v>
      </c>
    </row>
    <row r="395" spans="1:10" s="201" customFormat="1" ht="20.100000000000001" customHeight="1" x14ac:dyDescent="0.4">
      <c r="A395" s="559"/>
      <c r="B395" s="370"/>
      <c r="C395" s="370"/>
      <c r="D395" s="370"/>
      <c r="E395" s="564"/>
      <c r="F395" s="204" t="s">
        <v>928</v>
      </c>
      <c r="G395" s="204"/>
      <c r="H395" s="562"/>
      <c r="I395" s="554"/>
    </row>
    <row r="396" spans="1:10" s="201" customFormat="1" ht="20.100000000000001" customHeight="1" x14ac:dyDescent="0.4">
      <c r="A396" s="559"/>
      <c r="B396" s="370"/>
      <c r="C396" s="370"/>
      <c r="D396" s="370"/>
      <c r="E396" s="564"/>
      <c r="F396" s="204" t="s">
        <v>929</v>
      </c>
      <c r="G396" s="204"/>
      <c r="H396" s="562"/>
      <c r="I396" s="554"/>
    </row>
    <row r="397" spans="1:10" s="201" customFormat="1" ht="20.100000000000001" customHeight="1" x14ac:dyDescent="0.4">
      <c r="A397" s="559"/>
      <c r="B397" s="370"/>
      <c r="C397" s="370"/>
      <c r="D397" s="370"/>
      <c r="E397" s="564"/>
      <c r="F397" s="204" t="s">
        <v>930</v>
      </c>
      <c r="G397" s="204"/>
      <c r="H397" s="562"/>
      <c r="I397" s="554"/>
    </row>
    <row r="398" spans="1:10" s="201" customFormat="1" ht="20.100000000000001" customHeight="1" x14ac:dyDescent="0.4">
      <c r="A398" s="559"/>
      <c r="B398" s="370"/>
      <c r="C398" s="370"/>
      <c r="D398" s="370"/>
      <c r="E398" s="564"/>
      <c r="F398" s="204" t="s">
        <v>940</v>
      </c>
      <c r="G398" s="204"/>
      <c r="H398" s="562"/>
      <c r="I398" s="554"/>
    </row>
    <row r="399" spans="1:10" s="201" customFormat="1" ht="20.100000000000001" customHeight="1" x14ac:dyDescent="0.4">
      <c r="A399" s="559"/>
      <c r="B399" s="370"/>
      <c r="C399" s="370"/>
      <c r="D399" s="370"/>
      <c r="E399" s="564"/>
      <c r="F399" s="204" t="s">
        <v>941</v>
      </c>
      <c r="G399" s="204"/>
      <c r="H399" s="562"/>
      <c r="I399" s="554"/>
    </row>
    <row r="400" spans="1:10" s="201" customFormat="1" ht="20.100000000000001" customHeight="1" x14ac:dyDescent="0.4">
      <c r="A400" s="559"/>
      <c r="B400" s="370"/>
      <c r="C400" s="370"/>
      <c r="D400" s="370"/>
      <c r="E400" s="564"/>
      <c r="F400" s="204" t="s">
        <v>944</v>
      </c>
      <c r="G400" s="204" t="s">
        <v>942</v>
      </c>
      <c r="H400" s="562"/>
      <c r="I400" s="554"/>
    </row>
    <row r="401" spans="1:10" s="201" customFormat="1" ht="20.100000000000001" customHeight="1" x14ac:dyDescent="0.4">
      <c r="A401" s="559"/>
      <c r="B401" s="370"/>
      <c r="C401" s="370"/>
      <c r="D401" s="370"/>
      <c r="E401" s="564"/>
      <c r="F401" s="204" t="s">
        <v>862</v>
      </c>
      <c r="G401" s="204" t="s">
        <v>927</v>
      </c>
      <c r="H401" s="562"/>
      <c r="I401" s="554"/>
    </row>
    <row r="402" spans="1:10" s="201" customFormat="1" ht="20.100000000000001" customHeight="1" x14ac:dyDescent="0.4">
      <c r="A402" s="348"/>
      <c r="B402" s="350"/>
      <c r="C402" s="350"/>
      <c r="D402" s="350"/>
      <c r="E402" s="565"/>
      <c r="F402" s="90"/>
      <c r="G402" s="90"/>
      <c r="H402" s="562"/>
      <c r="I402" s="555"/>
      <c r="J402" s="201" t="s">
        <v>888</v>
      </c>
    </row>
    <row r="403" spans="1:10" s="201" customFormat="1" ht="20.100000000000001" customHeight="1" x14ac:dyDescent="0.4">
      <c r="A403" s="347">
        <v>49</v>
      </c>
      <c r="B403" s="349" t="s">
        <v>348</v>
      </c>
      <c r="C403" s="349" t="s">
        <v>889</v>
      </c>
      <c r="D403" s="349" t="s">
        <v>890</v>
      </c>
      <c r="E403" s="563" t="s">
        <v>891</v>
      </c>
      <c r="F403" s="196" t="s">
        <v>896</v>
      </c>
      <c r="G403" s="196"/>
      <c r="H403" s="548">
        <v>46056</v>
      </c>
      <c r="I403" s="553" t="s">
        <v>454</v>
      </c>
    </row>
    <row r="404" spans="1:10" s="201" customFormat="1" ht="20.100000000000001" customHeight="1" x14ac:dyDescent="0.4">
      <c r="A404" s="559"/>
      <c r="B404" s="370"/>
      <c r="C404" s="370"/>
      <c r="D404" s="370"/>
      <c r="E404" s="564"/>
      <c r="F404" s="90" t="s">
        <v>897</v>
      </c>
      <c r="G404" s="90"/>
      <c r="H404" s="550"/>
      <c r="I404" s="554"/>
    </row>
    <row r="405" spans="1:10" s="201" customFormat="1" ht="20.100000000000001" customHeight="1" x14ac:dyDescent="0.4">
      <c r="A405" s="559"/>
      <c r="B405" s="370"/>
      <c r="C405" s="370"/>
      <c r="D405" s="370"/>
      <c r="E405" s="564"/>
      <c r="F405" s="204" t="s">
        <v>461</v>
      </c>
      <c r="G405" s="204"/>
      <c r="H405" s="548">
        <v>46072</v>
      </c>
      <c r="I405" s="554"/>
    </row>
    <row r="406" spans="1:10" s="201" customFormat="1" ht="20.100000000000001" customHeight="1" x14ac:dyDescent="0.4">
      <c r="A406" s="559"/>
      <c r="B406" s="370"/>
      <c r="C406" s="370"/>
      <c r="D406" s="370"/>
      <c r="E406" s="564"/>
      <c r="F406" s="204" t="s">
        <v>401</v>
      </c>
      <c r="G406" s="204"/>
      <c r="H406" s="556"/>
      <c r="I406" s="554"/>
    </row>
    <row r="407" spans="1:10" s="201" customFormat="1" ht="20.100000000000001" customHeight="1" x14ac:dyDescent="0.4">
      <c r="A407" s="559"/>
      <c r="B407" s="370"/>
      <c r="C407" s="370"/>
      <c r="D407" s="370"/>
      <c r="E407" s="564"/>
      <c r="F407" s="204" t="s">
        <v>402</v>
      </c>
      <c r="G407" s="204"/>
      <c r="H407" s="556"/>
      <c r="I407" s="554"/>
    </row>
    <row r="408" spans="1:10" s="201" customFormat="1" ht="20.100000000000001" customHeight="1" x14ac:dyDescent="0.4">
      <c r="A408" s="348"/>
      <c r="B408" s="350"/>
      <c r="C408" s="350"/>
      <c r="D408" s="350"/>
      <c r="E408" s="565"/>
      <c r="F408" s="90" t="s">
        <v>403</v>
      </c>
      <c r="G408" s="90"/>
      <c r="H408" s="552"/>
      <c r="I408" s="555"/>
      <c r="J408" s="201" t="s">
        <v>774</v>
      </c>
    </row>
    <row r="409" spans="1:10" s="201" customFormat="1" ht="20.100000000000001" customHeight="1" x14ac:dyDescent="0.4">
      <c r="A409" s="347">
        <v>50</v>
      </c>
      <c r="B409" s="349" t="s">
        <v>348</v>
      </c>
      <c r="C409" s="349" t="s">
        <v>904</v>
      </c>
      <c r="D409" s="349" t="s">
        <v>386</v>
      </c>
      <c r="E409" s="563" t="s">
        <v>902</v>
      </c>
      <c r="F409" s="196" t="s">
        <v>909</v>
      </c>
      <c r="G409" s="196"/>
      <c r="H409" s="548">
        <v>46057</v>
      </c>
      <c r="I409" s="553" t="s">
        <v>454</v>
      </c>
    </row>
    <row r="410" spans="1:10" s="201" customFormat="1" ht="20.100000000000001" customHeight="1" x14ac:dyDescent="0.4">
      <c r="A410" s="559"/>
      <c r="B410" s="370"/>
      <c r="C410" s="370"/>
      <c r="D410" s="370"/>
      <c r="E410" s="564"/>
      <c r="F410" s="90" t="s">
        <v>913</v>
      </c>
      <c r="G410" s="90"/>
      <c r="H410" s="550"/>
      <c r="I410" s="554"/>
    </row>
    <row r="411" spans="1:10" s="201" customFormat="1" ht="20.100000000000001" customHeight="1" x14ac:dyDescent="0.4">
      <c r="A411" s="559"/>
      <c r="B411" s="370"/>
      <c r="C411" s="370"/>
      <c r="D411" s="370"/>
      <c r="E411" s="564"/>
      <c r="F411" s="204" t="s">
        <v>461</v>
      </c>
      <c r="G411" s="204"/>
      <c r="H411" s="548">
        <v>46072</v>
      </c>
      <c r="I411" s="554"/>
    </row>
    <row r="412" spans="1:10" s="201" customFormat="1" ht="20.100000000000001" customHeight="1" x14ac:dyDescent="0.4">
      <c r="A412" s="559"/>
      <c r="B412" s="370"/>
      <c r="C412" s="370"/>
      <c r="D412" s="370"/>
      <c r="E412" s="564"/>
      <c r="F412" s="204" t="s">
        <v>401</v>
      </c>
      <c r="G412" s="204"/>
      <c r="H412" s="556"/>
      <c r="I412" s="554"/>
    </row>
    <row r="413" spans="1:10" s="201" customFormat="1" ht="20.100000000000001" customHeight="1" x14ac:dyDescent="0.4">
      <c r="A413" s="559"/>
      <c r="B413" s="370"/>
      <c r="C413" s="370"/>
      <c r="D413" s="370"/>
      <c r="E413" s="564"/>
      <c r="F413" s="204" t="s">
        <v>402</v>
      </c>
      <c r="G413" s="204"/>
      <c r="H413" s="556"/>
      <c r="I413" s="554"/>
    </row>
    <row r="414" spans="1:10" s="201" customFormat="1" ht="20.100000000000001" customHeight="1" x14ac:dyDescent="0.4">
      <c r="A414" s="559"/>
      <c r="B414" s="370"/>
      <c r="C414" s="370"/>
      <c r="D414" s="370"/>
      <c r="E414" s="564"/>
      <c r="F414" s="204" t="s">
        <v>403</v>
      </c>
      <c r="G414" s="204"/>
      <c r="H414" s="556"/>
      <c r="I414" s="554"/>
    </row>
    <row r="415" spans="1:10" s="201" customFormat="1" ht="20.100000000000001" customHeight="1" x14ac:dyDescent="0.4">
      <c r="A415" s="348"/>
      <c r="B415" s="350"/>
      <c r="C415" s="350"/>
      <c r="D415" s="350"/>
      <c r="E415" s="565"/>
      <c r="F415" s="90" t="s">
        <v>931</v>
      </c>
      <c r="G415" s="90"/>
      <c r="H415" s="552"/>
      <c r="I415" s="555"/>
      <c r="J415" s="201" t="s">
        <v>773</v>
      </c>
    </row>
    <row r="416" spans="1:10" s="201" customFormat="1" ht="20.100000000000001" customHeight="1" x14ac:dyDescent="0.4">
      <c r="A416" s="347">
        <v>51</v>
      </c>
      <c r="B416" s="349" t="s">
        <v>384</v>
      </c>
      <c r="C416" s="349" t="s">
        <v>899</v>
      </c>
      <c r="D416" s="349"/>
      <c r="E416" s="563" t="s">
        <v>901</v>
      </c>
      <c r="F416" s="204" t="s">
        <v>544</v>
      </c>
      <c r="G416" s="204"/>
      <c r="H416" s="548">
        <v>46064</v>
      </c>
      <c r="I416" s="553" t="s">
        <v>949</v>
      </c>
    </row>
    <row r="417" spans="1:10" s="201" customFormat="1" ht="20.100000000000001" customHeight="1" x14ac:dyDescent="0.4">
      <c r="A417" s="559"/>
      <c r="B417" s="370"/>
      <c r="C417" s="370"/>
      <c r="D417" s="370"/>
      <c r="E417" s="564"/>
      <c r="F417" s="204" t="s">
        <v>553</v>
      </c>
      <c r="G417" s="204"/>
      <c r="H417" s="549"/>
      <c r="I417" s="557"/>
    </row>
    <row r="418" spans="1:10" s="201" customFormat="1" ht="20.100000000000001" customHeight="1" x14ac:dyDescent="0.4">
      <c r="A418" s="559"/>
      <c r="B418" s="370"/>
      <c r="C418" s="370"/>
      <c r="D418" s="370"/>
      <c r="E418" s="564"/>
      <c r="F418" s="204" t="s">
        <v>545</v>
      </c>
      <c r="G418" s="204"/>
      <c r="H418" s="549"/>
      <c r="I418" s="557"/>
    </row>
    <row r="419" spans="1:10" s="201" customFormat="1" ht="20.100000000000001" customHeight="1" x14ac:dyDescent="0.4">
      <c r="A419" s="559"/>
      <c r="B419" s="370"/>
      <c r="C419" s="370"/>
      <c r="D419" s="370"/>
      <c r="E419" s="564"/>
      <c r="F419" s="204" t="s">
        <v>546</v>
      </c>
      <c r="G419" s="204"/>
      <c r="H419" s="550"/>
      <c r="I419" s="558"/>
    </row>
    <row r="420" spans="1:10" s="201" customFormat="1" ht="20.100000000000001" customHeight="1" x14ac:dyDescent="0.4">
      <c r="A420" s="348"/>
      <c r="B420" s="350"/>
      <c r="C420" s="350"/>
      <c r="D420" s="350"/>
      <c r="E420" s="565"/>
      <c r="F420" s="297" t="s">
        <v>900</v>
      </c>
      <c r="G420" s="297" t="s">
        <v>943</v>
      </c>
      <c r="H420" s="320" t="s">
        <v>382</v>
      </c>
      <c r="I420" s="321"/>
      <c r="J420" s="201" t="s">
        <v>482</v>
      </c>
    </row>
    <row r="421" spans="1:10" s="201" customFormat="1" ht="20.100000000000001" customHeight="1" x14ac:dyDescent="0.4">
      <c r="A421" s="347">
        <v>52</v>
      </c>
      <c r="B421" s="349" t="s">
        <v>779</v>
      </c>
      <c r="C421" s="349" t="s">
        <v>908</v>
      </c>
      <c r="D421" s="349" t="s">
        <v>911</v>
      </c>
      <c r="E421" s="563" t="s">
        <v>910</v>
      </c>
      <c r="F421" s="196" t="s">
        <v>444</v>
      </c>
      <c r="G421" s="196"/>
      <c r="H421" s="561">
        <v>46081</v>
      </c>
      <c r="I421" s="566"/>
    </row>
    <row r="422" spans="1:10" s="201" customFormat="1" ht="20.100000000000001" customHeight="1" x14ac:dyDescent="0.4">
      <c r="A422" s="559"/>
      <c r="B422" s="370"/>
      <c r="C422" s="370"/>
      <c r="D422" s="370"/>
      <c r="E422" s="564"/>
      <c r="F422" s="204" t="s">
        <v>461</v>
      </c>
      <c r="G422" s="204"/>
      <c r="H422" s="562"/>
      <c r="I422" s="557"/>
    </row>
    <row r="423" spans="1:10" s="201" customFormat="1" ht="20.100000000000001" customHeight="1" x14ac:dyDescent="0.4">
      <c r="A423" s="559"/>
      <c r="B423" s="370"/>
      <c r="C423" s="370"/>
      <c r="D423" s="370"/>
      <c r="E423" s="564"/>
      <c r="F423" s="204" t="s">
        <v>401</v>
      </c>
      <c r="G423" s="204"/>
      <c r="H423" s="562"/>
      <c r="I423" s="557"/>
    </row>
    <row r="424" spans="1:10" s="201" customFormat="1" ht="20.100000000000001" customHeight="1" x14ac:dyDescent="0.4">
      <c r="A424" s="559"/>
      <c r="B424" s="370"/>
      <c r="C424" s="370"/>
      <c r="D424" s="370"/>
      <c r="E424" s="564"/>
      <c r="F424" s="204" t="s">
        <v>402</v>
      </c>
      <c r="G424" s="204"/>
      <c r="H424" s="562"/>
      <c r="I424" s="557"/>
    </row>
    <row r="425" spans="1:10" s="201" customFormat="1" ht="20.100000000000001" customHeight="1" x14ac:dyDescent="0.4">
      <c r="A425" s="559"/>
      <c r="B425" s="370"/>
      <c r="C425" s="370"/>
      <c r="D425" s="370"/>
      <c r="E425" s="564"/>
      <c r="F425" s="204" t="s">
        <v>403</v>
      </c>
      <c r="G425" s="204"/>
      <c r="H425" s="562"/>
      <c r="I425" s="557"/>
    </row>
    <row r="426" spans="1:10" s="201" customFormat="1" ht="20.100000000000001" customHeight="1" x14ac:dyDescent="0.4">
      <c r="A426" s="348"/>
      <c r="B426" s="350"/>
      <c r="C426" s="350"/>
      <c r="D426" s="350"/>
      <c r="E426" s="565"/>
      <c r="F426" s="90" t="s">
        <v>945</v>
      </c>
      <c r="G426" s="90" t="s">
        <v>916</v>
      </c>
      <c r="H426" s="562"/>
      <c r="I426" s="558"/>
      <c r="J426" s="201" t="s">
        <v>585</v>
      </c>
    </row>
    <row r="427" spans="1:10" s="201" customFormat="1" ht="20.100000000000001" customHeight="1" x14ac:dyDescent="0.4">
      <c r="A427" s="347">
        <v>53</v>
      </c>
      <c r="B427" s="349" t="s">
        <v>576</v>
      </c>
      <c r="C427" s="349" t="s">
        <v>917</v>
      </c>
      <c r="D427" s="349" t="s">
        <v>386</v>
      </c>
      <c r="E427" s="563" t="s">
        <v>918</v>
      </c>
      <c r="F427" s="196" t="s">
        <v>932</v>
      </c>
      <c r="G427" s="196"/>
      <c r="H427" s="548">
        <v>46092</v>
      </c>
      <c r="I427" s="567" t="s">
        <v>947</v>
      </c>
    </row>
    <row r="428" spans="1:10" s="201" customFormat="1" ht="20.100000000000001" customHeight="1" x14ac:dyDescent="0.4">
      <c r="A428" s="559"/>
      <c r="B428" s="370"/>
      <c r="C428" s="370"/>
      <c r="D428" s="370"/>
      <c r="E428" s="564"/>
      <c r="F428" s="204" t="s">
        <v>933</v>
      </c>
      <c r="G428" s="204"/>
      <c r="H428" s="556"/>
      <c r="I428" s="568"/>
    </row>
    <row r="429" spans="1:10" s="201" customFormat="1" ht="20.100000000000001" customHeight="1" x14ac:dyDescent="0.4">
      <c r="A429" s="559"/>
      <c r="B429" s="370"/>
      <c r="C429" s="370"/>
      <c r="D429" s="370"/>
      <c r="E429" s="564"/>
      <c r="F429" s="204" t="s">
        <v>946</v>
      </c>
      <c r="G429" s="204"/>
      <c r="H429" s="556"/>
      <c r="I429" s="568"/>
    </row>
    <row r="430" spans="1:10" s="201" customFormat="1" ht="20.100000000000001" customHeight="1" x14ac:dyDescent="0.4">
      <c r="A430" s="559"/>
      <c r="B430" s="370"/>
      <c r="C430" s="370"/>
      <c r="D430" s="370"/>
      <c r="E430" s="564"/>
      <c r="F430" s="204" t="s">
        <v>926</v>
      </c>
      <c r="G430" s="204" t="s">
        <v>927</v>
      </c>
      <c r="H430" s="556"/>
      <c r="I430" s="568"/>
    </row>
    <row r="431" spans="1:10" s="201" customFormat="1" ht="20.100000000000001" customHeight="1" x14ac:dyDescent="0.4">
      <c r="A431" s="348"/>
      <c r="B431" s="350"/>
      <c r="C431" s="350"/>
      <c r="D431" s="350"/>
      <c r="E431" s="565"/>
      <c r="F431" s="90" t="s">
        <v>867</v>
      </c>
      <c r="G431" s="90"/>
      <c r="H431" s="552"/>
      <c r="I431" s="568"/>
      <c r="J431" s="201" t="s">
        <v>934</v>
      </c>
    </row>
    <row r="432" spans="1:10" s="201" customFormat="1" ht="20.100000000000001" hidden="1" customHeight="1" outlineLevel="1" x14ac:dyDescent="0.4">
      <c r="A432" s="347">
        <v>54</v>
      </c>
      <c r="B432" s="349"/>
      <c r="C432" s="349"/>
      <c r="D432" s="349"/>
      <c r="E432" s="351"/>
      <c r="F432" s="196"/>
      <c r="G432" s="196"/>
      <c r="H432" s="561"/>
      <c r="I432" s="561"/>
    </row>
    <row r="433" spans="1:9" s="201" customFormat="1" ht="20.100000000000001" hidden="1" customHeight="1" outlineLevel="1" x14ac:dyDescent="0.4">
      <c r="A433" s="559"/>
      <c r="B433" s="370"/>
      <c r="C433" s="370"/>
      <c r="D433" s="370"/>
      <c r="E433" s="560"/>
      <c r="F433" s="204"/>
      <c r="G433" s="204"/>
      <c r="H433" s="562"/>
      <c r="I433" s="562"/>
    </row>
    <row r="434" spans="1:9" s="201" customFormat="1" ht="20.100000000000001" hidden="1" customHeight="1" outlineLevel="1" x14ac:dyDescent="0.4">
      <c r="A434" s="559"/>
      <c r="B434" s="370"/>
      <c r="C434" s="370"/>
      <c r="D434" s="370"/>
      <c r="E434" s="560"/>
      <c r="F434" s="204"/>
      <c r="G434" s="204"/>
      <c r="H434" s="562"/>
      <c r="I434" s="562"/>
    </row>
    <row r="435" spans="1:9" s="201" customFormat="1" ht="20.100000000000001" hidden="1" customHeight="1" outlineLevel="1" x14ac:dyDescent="0.4">
      <c r="A435" s="559"/>
      <c r="B435" s="370"/>
      <c r="C435" s="370"/>
      <c r="D435" s="370"/>
      <c r="E435" s="560"/>
      <c r="F435" s="204"/>
      <c r="G435" s="204"/>
      <c r="H435" s="562"/>
      <c r="I435" s="562"/>
    </row>
    <row r="436" spans="1:9" s="201" customFormat="1" ht="20.100000000000001" hidden="1" customHeight="1" outlineLevel="1" x14ac:dyDescent="0.4">
      <c r="A436" s="348"/>
      <c r="B436" s="350"/>
      <c r="C436" s="350"/>
      <c r="D436" s="350"/>
      <c r="E436" s="352"/>
      <c r="F436" s="90"/>
      <c r="G436" s="90"/>
      <c r="H436" s="562"/>
      <c r="I436" s="562"/>
    </row>
    <row r="437" spans="1:9" s="201" customFormat="1" ht="20.100000000000001" hidden="1" customHeight="1" outlineLevel="1" x14ac:dyDescent="0.4">
      <c r="A437" s="347">
        <v>55</v>
      </c>
      <c r="B437" s="349"/>
      <c r="C437" s="349"/>
      <c r="D437" s="349"/>
      <c r="E437" s="351"/>
      <c r="F437" s="196"/>
      <c r="G437" s="196"/>
      <c r="H437" s="561"/>
      <c r="I437" s="561"/>
    </row>
    <row r="438" spans="1:9" s="201" customFormat="1" ht="20.100000000000001" hidden="1" customHeight="1" outlineLevel="1" x14ac:dyDescent="0.4">
      <c r="A438" s="559"/>
      <c r="B438" s="370"/>
      <c r="C438" s="370"/>
      <c r="D438" s="370"/>
      <c r="E438" s="560"/>
      <c r="F438" s="204"/>
      <c r="G438" s="204"/>
      <c r="H438" s="562"/>
      <c r="I438" s="562"/>
    </row>
    <row r="439" spans="1:9" s="201" customFormat="1" ht="20.100000000000001" hidden="1" customHeight="1" outlineLevel="1" x14ac:dyDescent="0.4">
      <c r="A439" s="559"/>
      <c r="B439" s="370"/>
      <c r="C439" s="370"/>
      <c r="D439" s="370"/>
      <c r="E439" s="560"/>
      <c r="F439" s="204"/>
      <c r="G439" s="204"/>
      <c r="H439" s="562"/>
      <c r="I439" s="562"/>
    </row>
    <row r="440" spans="1:9" s="201" customFormat="1" ht="20.100000000000001" hidden="1" customHeight="1" outlineLevel="1" x14ac:dyDescent="0.4">
      <c r="A440" s="559"/>
      <c r="B440" s="370"/>
      <c r="C440" s="370"/>
      <c r="D440" s="370"/>
      <c r="E440" s="560"/>
      <c r="F440" s="204"/>
      <c r="G440" s="204"/>
      <c r="H440" s="562"/>
      <c r="I440" s="562"/>
    </row>
    <row r="441" spans="1:9" s="201" customFormat="1" ht="20.100000000000001" hidden="1" customHeight="1" outlineLevel="1" x14ac:dyDescent="0.4">
      <c r="A441" s="348"/>
      <c r="B441" s="350"/>
      <c r="C441" s="350"/>
      <c r="D441" s="350"/>
      <c r="E441" s="352"/>
      <c r="F441" s="90"/>
      <c r="G441" s="90"/>
      <c r="H441" s="562"/>
      <c r="I441" s="562"/>
    </row>
    <row r="442" spans="1:9" ht="20.100000000000001" customHeight="1" collapsed="1" x14ac:dyDescent="0.4"/>
  </sheetData>
  <mergeCells count="436">
    <mergeCell ref="H340:H343"/>
    <mergeCell ref="B336:B339"/>
    <mergeCell ref="C336:C339"/>
    <mergeCell ref="D336:D339"/>
    <mergeCell ref="E336:E339"/>
    <mergeCell ref="H336:H339"/>
    <mergeCell ref="I232:I235"/>
    <mergeCell ref="H221:H224"/>
    <mergeCell ref="H212:H216"/>
    <mergeCell ref="I340:I343"/>
    <mergeCell ref="B340:B343"/>
    <mergeCell ref="C340:C343"/>
    <mergeCell ref="D340:D343"/>
    <mergeCell ref="E340:E343"/>
    <mergeCell ref="C269:C273"/>
    <mergeCell ref="H288:H291"/>
    <mergeCell ref="I279:I287"/>
    <mergeCell ref="E269:E273"/>
    <mergeCell ref="H269:H273"/>
    <mergeCell ref="H292:H296"/>
    <mergeCell ref="C236:C247"/>
    <mergeCell ref="H263:H268"/>
    <mergeCell ref="H258:H262"/>
    <mergeCell ref="H310:H314"/>
    <mergeCell ref="I336:I339"/>
    <mergeCell ref="B332:B335"/>
    <mergeCell ref="C332:C335"/>
    <mergeCell ref="B307:B309"/>
    <mergeCell ref="C307:C309"/>
    <mergeCell ref="C302:C306"/>
    <mergeCell ref="D302:D306"/>
    <mergeCell ref="B274:B278"/>
    <mergeCell ref="C274:C278"/>
    <mergeCell ref="D274:D278"/>
    <mergeCell ref="E274:E278"/>
    <mergeCell ref="I274:I278"/>
    <mergeCell ref="I297:I301"/>
    <mergeCell ref="B297:B301"/>
    <mergeCell ref="C297:C301"/>
    <mergeCell ref="D297:D301"/>
    <mergeCell ref="E297:E301"/>
    <mergeCell ref="H302:H306"/>
    <mergeCell ref="H318:H331"/>
    <mergeCell ref="H315:H317"/>
    <mergeCell ref="A302:A306"/>
    <mergeCell ref="A307:A309"/>
    <mergeCell ref="A310:A331"/>
    <mergeCell ref="A297:A301"/>
    <mergeCell ref="A279:A296"/>
    <mergeCell ref="B279:B296"/>
    <mergeCell ref="C279:C296"/>
    <mergeCell ref="D279:D296"/>
    <mergeCell ref="E279:E296"/>
    <mergeCell ref="B310:B331"/>
    <mergeCell ref="C310:C331"/>
    <mergeCell ref="D310:D331"/>
    <mergeCell ref="E310:E331"/>
    <mergeCell ref="E302:E306"/>
    <mergeCell ref="B302:B306"/>
    <mergeCell ref="I145:I150"/>
    <mergeCell ref="A274:A278"/>
    <mergeCell ref="H274:H278"/>
    <mergeCell ref="A269:A273"/>
    <mergeCell ref="I253:I257"/>
    <mergeCell ref="I258:I262"/>
    <mergeCell ref="I212:I216"/>
    <mergeCell ref="I269:I273"/>
    <mergeCell ref="B269:B273"/>
    <mergeCell ref="H242:H243"/>
    <mergeCell ref="A263:A268"/>
    <mergeCell ref="A253:A257"/>
    <mergeCell ref="A236:A247"/>
    <mergeCell ref="A248:A252"/>
    <mergeCell ref="B236:B247"/>
    <mergeCell ref="A258:A262"/>
    <mergeCell ref="B258:B262"/>
    <mergeCell ref="C258:C262"/>
    <mergeCell ref="A225:A235"/>
    <mergeCell ref="B221:B224"/>
    <mergeCell ref="C221:C224"/>
    <mergeCell ref="D221:D224"/>
    <mergeCell ref="E221:E224"/>
    <mergeCell ref="A221:A224"/>
    <mergeCell ref="A212:A216"/>
    <mergeCell ref="B212:B216"/>
    <mergeCell ref="C212:C216"/>
    <mergeCell ref="A217:A220"/>
    <mergeCell ref="B217:B220"/>
    <mergeCell ref="C217:C220"/>
    <mergeCell ref="D217:D220"/>
    <mergeCell ref="A54:A79"/>
    <mergeCell ref="B54:B79"/>
    <mergeCell ref="C54:C79"/>
    <mergeCell ref="B182:B190"/>
    <mergeCell ref="B191:B211"/>
    <mergeCell ref="C191:C211"/>
    <mergeCell ref="D191:D211"/>
    <mergeCell ref="B80:B84"/>
    <mergeCell ref="C80:C84"/>
    <mergeCell ref="C145:C150"/>
    <mergeCell ref="D145:D150"/>
    <mergeCell ref="D182:D190"/>
    <mergeCell ref="C157:C166"/>
    <mergeCell ref="D157:D166"/>
    <mergeCell ref="C135:C144"/>
    <mergeCell ref="D119:D127"/>
    <mergeCell ref="C114:C118"/>
    <mergeCell ref="A157:A166"/>
    <mergeCell ref="B157:B166"/>
    <mergeCell ref="A109:A113"/>
    <mergeCell ref="B109:B113"/>
    <mergeCell ref="A119:A127"/>
    <mergeCell ref="D109:D113"/>
    <mergeCell ref="E191:E211"/>
    <mergeCell ref="B174:B181"/>
    <mergeCell ref="C182:C190"/>
    <mergeCell ref="A191:A211"/>
    <mergeCell ref="A182:A190"/>
    <mergeCell ref="A174:A181"/>
    <mergeCell ref="E157:E166"/>
    <mergeCell ref="B114:B118"/>
    <mergeCell ref="C109:C113"/>
    <mergeCell ref="A151:A156"/>
    <mergeCell ref="B151:B156"/>
    <mergeCell ref="C151:C156"/>
    <mergeCell ref="A145:A150"/>
    <mergeCell ref="B145:B150"/>
    <mergeCell ref="E128:E134"/>
    <mergeCell ref="E145:E150"/>
    <mergeCell ref="E119:E127"/>
    <mergeCell ref="E114:E118"/>
    <mergeCell ref="A135:A144"/>
    <mergeCell ref="B135:B144"/>
    <mergeCell ref="A128:A134"/>
    <mergeCell ref="E151:E156"/>
    <mergeCell ref="D135:D144"/>
    <mergeCell ref="D128:D134"/>
    <mergeCell ref="A106:A108"/>
    <mergeCell ref="B106:B108"/>
    <mergeCell ref="B128:B134"/>
    <mergeCell ref="A3:A4"/>
    <mergeCell ref="B3:B4"/>
    <mergeCell ref="B5:B8"/>
    <mergeCell ref="C5:C8"/>
    <mergeCell ref="D5:D8"/>
    <mergeCell ref="A5:A8"/>
    <mergeCell ref="C3:C4"/>
    <mergeCell ref="D3:D4"/>
    <mergeCell ref="C49:C53"/>
    <mergeCell ref="D49:D53"/>
    <mergeCell ref="A13:A48"/>
    <mergeCell ref="B13:B48"/>
    <mergeCell ref="C13:C48"/>
    <mergeCell ref="D13:D48"/>
    <mergeCell ref="A49:A53"/>
    <mergeCell ref="B49:B53"/>
    <mergeCell ref="A80:A84"/>
    <mergeCell ref="A101:A105"/>
    <mergeCell ref="B101:B105"/>
    <mergeCell ref="B95:B100"/>
    <mergeCell ref="I3:I4"/>
    <mergeCell ref="I5:I8"/>
    <mergeCell ref="I109:I113"/>
    <mergeCell ref="I119:I127"/>
    <mergeCell ref="I128:I134"/>
    <mergeCell ref="H3:H4"/>
    <mergeCell ref="H5:H8"/>
    <mergeCell ref="G3:G4"/>
    <mergeCell ref="F3:F4"/>
    <mergeCell ref="H72:H74"/>
    <mergeCell ref="I72:I74"/>
    <mergeCell ref="H75:H79"/>
    <mergeCell ref="H80:H84"/>
    <mergeCell ref="H114:H118"/>
    <mergeCell ref="H65:H68"/>
    <mergeCell ref="H69:H71"/>
    <mergeCell ref="H60:H64"/>
    <mergeCell ref="H54:H59"/>
    <mergeCell ref="H49:H53"/>
    <mergeCell ref="H85:H89"/>
    <mergeCell ref="H13:H48"/>
    <mergeCell ref="C106:C108"/>
    <mergeCell ref="H106:H108"/>
    <mergeCell ref="D80:D84"/>
    <mergeCell ref="D106:D108"/>
    <mergeCell ref="E106:E108"/>
    <mergeCell ref="I13:I48"/>
    <mergeCell ref="I106:I108"/>
    <mergeCell ref="I49:I53"/>
    <mergeCell ref="E3:E4"/>
    <mergeCell ref="E5:E8"/>
    <mergeCell ref="E49:E53"/>
    <mergeCell ref="E85:E89"/>
    <mergeCell ref="C101:C105"/>
    <mergeCell ref="E101:E105"/>
    <mergeCell ref="C95:C100"/>
    <mergeCell ref="D95:D100"/>
    <mergeCell ref="C90:C94"/>
    <mergeCell ref="D90:D94"/>
    <mergeCell ref="E54:E79"/>
    <mergeCell ref="E90:E94"/>
    <mergeCell ref="C85:C89"/>
    <mergeCell ref="D85:D89"/>
    <mergeCell ref="D54:D79"/>
    <mergeCell ref="E95:E100"/>
    <mergeCell ref="E13:E48"/>
    <mergeCell ref="H109:H113"/>
    <mergeCell ref="H119:H127"/>
    <mergeCell ref="H128:H134"/>
    <mergeCell ref="H174:H181"/>
    <mergeCell ref="H167:H171"/>
    <mergeCell ref="H172:H173"/>
    <mergeCell ref="H157:H166"/>
    <mergeCell ref="H151:H156"/>
    <mergeCell ref="E80:E84"/>
    <mergeCell ref="H145:H150"/>
    <mergeCell ref="H135:H140"/>
    <mergeCell ref="H141:H144"/>
    <mergeCell ref="E135:E144"/>
    <mergeCell ref="E109:E113"/>
    <mergeCell ref="H90:H94"/>
    <mergeCell ref="H101:H105"/>
    <mergeCell ref="H95:H100"/>
    <mergeCell ref="I114:I118"/>
    <mergeCell ref="I54:I59"/>
    <mergeCell ref="I80:I84"/>
    <mergeCell ref="I85:I89"/>
    <mergeCell ref="I141:I144"/>
    <mergeCell ref="I135:I140"/>
    <mergeCell ref="I95:I100"/>
    <mergeCell ref="I101:I105"/>
    <mergeCell ref="I90:I94"/>
    <mergeCell ref="I75:I79"/>
    <mergeCell ref="A372:A378"/>
    <mergeCell ref="B372:B378"/>
    <mergeCell ref="C372:C378"/>
    <mergeCell ref="D372:D378"/>
    <mergeCell ref="E372:E378"/>
    <mergeCell ref="I372:I378"/>
    <mergeCell ref="D353:D359"/>
    <mergeCell ref="E353:E359"/>
    <mergeCell ref="A366:A371"/>
    <mergeCell ref="B366:B371"/>
    <mergeCell ref="C366:C371"/>
    <mergeCell ref="D366:D371"/>
    <mergeCell ref="E366:E371"/>
    <mergeCell ref="A360:A365"/>
    <mergeCell ref="B360:B365"/>
    <mergeCell ref="C360:C365"/>
    <mergeCell ref="D360:D365"/>
    <mergeCell ref="I353:I359"/>
    <mergeCell ref="E360:E365"/>
    <mergeCell ref="H360:H365"/>
    <mergeCell ref="I360:I365"/>
    <mergeCell ref="B353:B359"/>
    <mergeCell ref="C353:C359"/>
    <mergeCell ref="I157:I166"/>
    <mergeCell ref="I151:I156"/>
    <mergeCell ref="I332:I335"/>
    <mergeCell ref="D307:D309"/>
    <mergeCell ref="E307:E309"/>
    <mergeCell ref="H307:H309"/>
    <mergeCell ref="I307:I309"/>
    <mergeCell ref="D269:D273"/>
    <mergeCell ref="I302:I306"/>
    <mergeCell ref="D332:D335"/>
    <mergeCell ref="I319:I320"/>
    <mergeCell ref="E332:E335"/>
    <mergeCell ref="H332:H335"/>
    <mergeCell ref="I167:I173"/>
    <mergeCell ref="I174:I181"/>
    <mergeCell ref="E258:E262"/>
    <mergeCell ref="D212:D216"/>
    <mergeCell ref="E212:E216"/>
    <mergeCell ref="E236:E247"/>
    <mergeCell ref="H279:H287"/>
    <mergeCell ref="D253:D257"/>
    <mergeCell ref="D248:D252"/>
    <mergeCell ref="I263:I268"/>
    <mergeCell ref="H240:H241"/>
    <mergeCell ref="B263:B268"/>
    <mergeCell ref="C263:C268"/>
    <mergeCell ref="D263:D268"/>
    <mergeCell ref="E253:E257"/>
    <mergeCell ref="E248:E252"/>
    <mergeCell ref="E263:E268"/>
    <mergeCell ref="B225:B235"/>
    <mergeCell ref="C225:C235"/>
    <mergeCell ref="D225:D235"/>
    <mergeCell ref="E225:E235"/>
    <mergeCell ref="D258:D262"/>
    <mergeCell ref="B253:B257"/>
    <mergeCell ref="C253:C257"/>
    <mergeCell ref="B248:B252"/>
    <mergeCell ref="C248:C252"/>
    <mergeCell ref="I217:I220"/>
    <mergeCell ref="C174:C181"/>
    <mergeCell ref="D174:D181"/>
    <mergeCell ref="E174:E181"/>
    <mergeCell ref="I185:I190"/>
    <mergeCell ref="I221:I224"/>
    <mergeCell ref="E217:E220"/>
    <mergeCell ref="H217:H220"/>
    <mergeCell ref="I191:I196"/>
    <mergeCell ref="H191:H196"/>
    <mergeCell ref="H185:H190"/>
    <mergeCell ref="H182:H184"/>
    <mergeCell ref="H197:H200"/>
    <mergeCell ref="I197:I200"/>
    <mergeCell ref="E182:E190"/>
    <mergeCell ref="H208:H211"/>
    <mergeCell ref="I201:I203"/>
    <mergeCell ref="H201:H203"/>
    <mergeCell ref="I182:I184"/>
    <mergeCell ref="H204:H207"/>
    <mergeCell ref="I208:I211"/>
    <mergeCell ref="H388:H393"/>
    <mergeCell ref="I388:I393"/>
    <mergeCell ref="H379:H383"/>
    <mergeCell ref="H384:H387"/>
    <mergeCell ref="I379:I383"/>
    <mergeCell ref="I384:I387"/>
    <mergeCell ref="I236:I243"/>
    <mergeCell ref="A85:A89"/>
    <mergeCell ref="D151:D156"/>
    <mergeCell ref="C128:C134"/>
    <mergeCell ref="I225:I230"/>
    <mergeCell ref="H225:H230"/>
    <mergeCell ref="C119:C127"/>
    <mergeCell ref="B85:B89"/>
    <mergeCell ref="A95:A100"/>
    <mergeCell ref="B119:B127"/>
    <mergeCell ref="A114:A118"/>
    <mergeCell ref="A167:A173"/>
    <mergeCell ref="B167:B173"/>
    <mergeCell ref="C167:C173"/>
    <mergeCell ref="D167:D173"/>
    <mergeCell ref="E167:E173"/>
    <mergeCell ref="A90:A94"/>
    <mergeCell ref="B90:B94"/>
    <mergeCell ref="A379:A387"/>
    <mergeCell ref="B379:B387"/>
    <mergeCell ref="C379:C387"/>
    <mergeCell ref="D379:D387"/>
    <mergeCell ref="E379:E387"/>
    <mergeCell ref="A388:A393"/>
    <mergeCell ref="B388:B393"/>
    <mergeCell ref="C388:C393"/>
    <mergeCell ref="D388:D393"/>
    <mergeCell ref="E388:E393"/>
    <mergeCell ref="H248:H252"/>
    <mergeCell ref="I248:I252"/>
    <mergeCell ref="H253:H257"/>
    <mergeCell ref="A348:A352"/>
    <mergeCell ref="A353:A359"/>
    <mergeCell ref="A344:A347"/>
    <mergeCell ref="A340:A343"/>
    <mergeCell ref="H236:H239"/>
    <mergeCell ref="D236:D247"/>
    <mergeCell ref="H244:H247"/>
    <mergeCell ref="B344:B347"/>
    <mergeCell ref="C344:C347"/>
    <mergeCell ref="D344:D347"/>
    <mergeCell ref="E344:E347"/>
    <mergeCell ref="H344:H347"/>
    <mergeCell ref="I344:I347"/>
    <mergeCell ref="B348:B352"/>
    <mergeCell ref="C348:C352"/>
    <mergeCell ref="D348:D352"/>
    <mergeCell ref="E348:E352"/>
    <mergeCell ref="I348:I352"/>
    <mergeCell ref="H348:H352"/>
    <mergeCell ref="H353:H357"/>
    <mergeCell ref="H358:H359"/>
    <mergeCell ref="A394:A402"/>
    <mergeCell ref="B394:B402"/>
    <mergeCell ref="C394:C402"/>
    <mergeCell ref="D394:D402"/>
    <mergeCell ref="E394:E402"/>
    <mergeCell ref="H394:H402"/>
    <mergeCell ref="I394:I402"/>
    <mergeCell ref="A403:A408"/>
    <mergeCell ref="B403:B408"/>
    <mergeCell ref="C403:C408"/>
    <mergeCell ref="D403:D408"/>
    <mergeCell ref="E403:E408"/>
    <mergeCell ref="H403:H404"/>
    <mergeCell ref="H405:H408"/>
    <mergeCell ref="H366:H371"/>
    <mergeCell ref="I366:I371"/>
    <mergeCell ref="A427:A431"/>
    <mergeCell ref="B427:B431"/>
    <mergeCell ref="C427:C431"/>
    <mergeCell ref="D427:D431"/>
    <mergeCell ref="E427:E431"/>
    <mergeCell ref="H427:H431"/>
    <mergeCell ref="I427:I431"/>
    <mergeCell ref="A416:A420"/>
    <mergeCell ref="B416:B420"/>
    <mergeCell ref="C416:C420"/>
    <mergeCell ref="D416:D420"/>
    <mergeCell ref="E416:E420"/>
    <mergeCell ref="A421:A426"/>
    <mergeCell ref="B421:B426"/>
    <mergeCell ref="C421:C426"/>
    <mergeCell ref="D421:D426"/>
    <mergeCell ref="E421:E426"/>
    <mergeCell ref="H421:H426"/>
    <mergeCell ref="I421:I426"/>
    <mergeCell ref="A409:A415"/>
    <mergeCell ref="B409:B415"/>
    <mergeCell ref="C409:C415"/>
    <mergeCell ref="H372:H376"/>
    <mergeCell ref="H377:H378"/>
    <mergeCell ref="I403:I408"/>
    <mergeCell ref="I409:I415"/>
    <mergeCell ref="H409:H410"/>
    <mergeCell ref="H411:H415"/>
    <mergeCell ref="H416:H419"/>
    <mergeCell ref="I416:I419"/>
    <mergeCell ref="A437:A441"/>
    <mergeCell ref="B437:B441"/>
    <mergeCell ref="C437:C441"/>
    <mergeCell ref="D437:D441"/>
    <mergeCell ref="E437:E441"/>
    <mergeCell ref="H437:H441"/>
    <mergeCell ref="I437:I441"/>
    <mergeCell ref="A432:A436"/>
    <mergeCell ref="B432:B436"/>
    <mergeCell ref="C432:C436"/>
    <mergeCell ref="D432:D436"/>
    <mergeCell ref="E432:E436"/>
    <mergeCell ref="H432:H436"/>
    <mergeCell ref="I432:I436"/>
    <mergeCell ref="D409:D415"/>
    <mergeCell ref="E409:E415"/>
  </mergeCells>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1:AJ200"/>
  <sheetViews>
    <sheetView topLeftCell="A12" zoomScale="80" zoomScaleNormal="80" zoomScaleSheetLayoutView="85" workbookViewId="0">
      <selection activeCell="A12" sqref="A12"/>
    </sheetView>
  </sheetViews>
  <sheetFormatPr defaultColWidth="9" defaultRowHeight="20.100000000000001" customHeight="1" outlineLevelRow="1" x14ac:dyDescent="0.4"/>
  <cols>
    <col min="1" max="1" width="4.5" style="1" customWidth="1"/>
    <col min="2" max="2" width="12.25" style="1" customWidth="1"/>
    <col min="3" max="31" width="3.625" style="2" customWidth="1"/>
    <col min="32" max="33" width="3.625" style="1" customWidth="1"/>
    <col min="34" max="34" width="9" style="1"/>
    <col min="35" max="35" width="10.875" style="1" customWidth="1"/>
    <col min="36" max="16384" width="9" style="1"/>
  </cols>
  <sheetData>
    <row r="1" spans="2:36" ht="20.100000000000001" hidden="1" customHeight="1" x14ac:dyDescent="0.4"/>
    <row r="2" spans="2:36" ht="20.100000000000001" hidden="1" customHeight="1" x14ac:dyDescent="0.4">
      <c r="B2" s="473" t="s">
        <v>30</v>
      </c>
      <c r="C2" s="6">
        <v>1</v>
      </c>
      <c r="D2" s="6">
        <v>2</v>
      </c>
      <c r="E2" s="6">
        <v>3</v>
      </c>
      <c r="F2" s="6">
        <v>4</v>
      </c>
      <c r="G2" s="6">
        <v>5</v>
      </c>
      <c r="H2" s="6">
        <v>6</v>
      </c>
      <c r="I2" s="6">
        <v>7</v>
      </c>
      <c r="J2" s="6">
        <v>8</v>
      </c>
      <c r="K2" s="6">
        <v>9</v>
      </c>
      <c r="L2" s="6">
        <v>10</v>
      </c>
      <c r="M2" s="6">
        <v>11</v>
      </c>
      <c r="N2" s="6">
        <v>12</v>
      </c>
      <c r="O2" s="6">
        <v>13</v>
      </c>
      <c r="P2" s="6">
        <v>14</v>
      </c>
      <c r="Q2" s="6">
        <v>15</v>
      </c>
      <c r="R2" s="6">
        <v>16</v>
      </c>
      <c r="S2" s="6">
        <v>17</v>
      </c>
      <c r="T2" s="6">
        <v>18</v>
      </c>
      <c r="U2" s="6">
        <v>19</v>
      </c>
      <c r="V2" s="6">
        <v>20</v>
      </c>
      <c r="W2" s="6">
        <v>21</v>
      </c>
      <c r="X2" s="6">
        <v>22</v>
      </c>
      <c r="Y2" s="6">
        <v>23</v>
      </c>
      <c r="Z2" s="6">
        <v>24</v>
      </c>
      <c r="AA2" s="6">
        <v>25</v>
      </c>
      <c r="AB2" s="6">
        <v>26</v>
      </c>
      <c r="AC2" s="6">
        <v>27</v>
      </c>
      <c r="AD2" s="6">
        <v>28</v>
      </c>
      <c r="AE2" s="6">
        <v>29</v>
      </c>
    </row>
    <row r="3" spans="2:36" ht="20.100000000000001" hidden="1" customHeight="1" x14ac:dyDescent="0.4">
      <c r="B3" s="475"/>
      <c r="C3" s="6" t="s">
        <v>69</v>
      </c>
      <c r="D3" s="6" t="s">
        <v>68</v>
      </c>
      <c r="E3" s="6" t="s">
        <v>71</v>
      </c>
      <c r="F3" s="6" t="s">
        <v>73</v>
      </c>
      <c r="G3" s="6" t="s">
        <v>74</v>
      </c>
      <c r="H3" s="6" t="s">
        <v>75</v>
      </c>
      <c r="I3" s="6" t="s">
        <v>76</v>
      </c>
      <c r="J3" s="6" t="s">
        <v>69</v>
      </c>
      <c r="K3" s="6" t="s">
        <v>68</v>
      </c>
      <c r="L3" s="6" t="s">
        <v>71</v>
      </c>
      <c r="M3" s="6" t="s">
        <v>73</v>
      </c>
      <c r="N3" s="6" t="s">
        <v>74</v>
      </c>
      <c r="O3" s="6" t="s">
        <v>75</v>
      </c>
      <c r="P3" s="6" t="s">
        <v>76</v>
      </c>
      <c r="Q3" s="6" t="s">
        <v>69</v>
      </c>
      <c r="R3" s="6" t="s">
        <v>68</v>
      </c>
      <c r="S3" s="6" t="s">
        <v>71</v>
      </c>
      <c r="T3" s="6" t="s">
        <v>73</v>
      </c>
      <c r="U3" s="6" t="s">
        <v>74</v>
      </c>
      <c r="V3" s="6" t="s">
        <v>75</v>
      </c>
      <c r="W3" s="6" t="s">
        <v>76</v>
      </c>
      <c r="X3" s="6" t="s">
        <v>69</v>
      </c>
      <c r="Y3" s="6" t="s">
        <v>68</v>
      </c>
      <c r="Z3" s="6" t="s">
        <v>71</v>
      </c>
      <c r="AA3" s="6" t="s">
        <v>73</v>
      </c>
      <c r="AB3" s="6" t="s">
        <v>74</v>
      </c>
      <c r="AC3" s="6" t="s">
        <v>75</v>
      </c>
      <c r="AD3" s="6" t="s">
        <v>76</v>
      </c>
      <c r="AE3" s="6" t="s">
        <v>69</v>
      </c>
    </row>
    <row r="4" spans="2:36" ht="20.100000000000001" hidden="1" customHeight="1" x14ac:dyDescent="0.4">
      <c r="B4" s="4" t="s">
        <v>61</v>
      </c>
      <c r="C4" s="3"/>
      <c r="D4" s="3"/>
      <c r="E4" s="3"/>
      <c r="F4" s="3"/>
      <c r="G4" s="3"/>
      <c r="H4" s="3"/>
      <c r="I4" s="3"/>
      <c r="J4" s="3"/>
      <c r="K4" s="3"/>
      <c r="L4" s="3"/>
      <c r="M4" s="3"/>
      <c r="N4" s="3"/>
      <c r="O4" s="3"/>
      <c r="P4" s="3"/>
      <c r="Q4" s="3"/>
      <c r="R4" s="3"/>
      <c r="S4" s="3"/>
      <c r="T4" s="3"/>
      <c r="U4" s="3"/>
      <c r="V4" s="3"/>
      <c r="W4" s="3"/>
      <c r="X4" s="3"/>
      <c r="Y4" s="3"/>
      <c r="Z4" s="3"/>
      <c r="AA4" s="3"/>
      <c r="AB4" s="3"/>
      <c r="AC4" s="3"/>
      <c r="AD4" s="3"/>
      <c r="AE4" s="3"/>
    </row>
    <row r="5" spans="2:36" ht="20.100000000000001" hidden="1" customHeight="1" x14ac:dyDescent="0.4">
      <c r="B5" s="4" t="s">
        <v>62</v>
      </c>
      <c r="C5" s="3"/>
      <c r="D5" s="3"/>
      <c r="E5" s="3"/>
      <c r="F5" s="3"/>
      <c r="G5" s="3"/>
      <c r="H5" s="3"/>
      <c r="I5" s="3"/>
      <c r="J5" s="3"/>
      <c r="K5" s="3"/>
      <c r="L5" s="3"/>
      <c r="M5" s="3"/>
      <c r="N5" s="3"/>
      <c r="O5" s="3" t="s">
        <v>78</v>
      </c>
      <c r="P5" s="3"/>
      <c r="Q5" s="3"/>
      <c r="R5" s="3"/>
      <c r="S5" s="3"/>
      <c r="T5" s="3"/>
      <c r="U5" s="3"/>
      <c r="V5" s="3"/>
      <c r="W5" s="3"/>
      <c r="X5" s="3"/>
      <c r="Y5" s="3"/>
      <c r="Z5" s="3"/>
      <c r="AA5" s="3"/>
      <c r="AB5" s="3"/>
      <c r="AC5" s="3"/>
      <c r="AD5" s="3"/>
      <c r="AE5" s="3"/>
    </row>
    <row r="6" spans="2:36" ht="20.100000000000001" hidden="1" customHeight="1" x14ac:dyDescent="0.4">
      <c r="B6" s="4" t="s">
        <v>63</v>
      </c>
      <c r="C6" s="3"/>
      <c r="D6" s="3"/>
      <c r="E6" s="3"/>
      <c r="F6" s="3"/>
      <c r="G6" s="3"/>
      <c r="H6" s="3"/>
      <c r="I6" s="3"/>
      <c r="J6" s="3"/>
      <c r="K6" s="3"/>
      <c r="L6" s="3"/>
      <c r="M6" s="3"/>
      <c r="N6" s="3"/>
      <c r="O6" s="3"/>
      <c r="P6" s="3"/>
      <c r="Q6" s="3"/>
      <c r="R6" s="3"/>
      <c r="S6" s="3" t="s">
        <v>77</v>
      </c>
      <c r="T6" s="3"/>
      <c r="U6" s="3"/>
      <c r="V6" s="3"/>
      <c r="W6" s="3"/>
      <c r="X6" s="3"/>
      <c r="Y6" s="3"/>
      <c r="Z6" s="3"/>
      <c r="AA6" s="3"/>
      <c r="AB6" s="3"/>
      <c r="AC6" s="3"/>
      <c r="AD6" s="3"/>
      <c r="AE6" s="3"/>
    </row>
    <row r="7" spans="2:36" ht="20.100000000000001" hidden="1" customHeight="1" x14ac:dyDescent="0.4">
      <c r="B7" s="4" t="s">
        <v>64</v>
      </c>
      <c r="C7" s="3"/>
      <c r="D7" s="3"/>
      <c r="E7" s="3"/>
      <c r="F7" s="3"/>
      <c r="G7" s="3"/>
      <c r="H7" s="3"/>
      <c r="I7" s="3" t="s">
        <v>79</v>
      </c>
      <c r="J7" s="3"/>
      <c r="K7" s="3"/>
      <c r="L7" s="3"/>
      <c r="M7" s="3"/>
      <c r="N7" s="3"/>
      <c r="O7" s="3"/>
      <c r="P7" s="3"/>
      <c r="Q7" s="3"/>
      <c r="R7" s="3"/>
      <c r="S7" s="3"/>
      <c r="T7" s="3"/>
      <c r="U7" s="3" t="s">
        <v>78</v>
      </c>
      <c r="V7" s="3" t="s">
        <v>77</v>
      </c>
      <c r="W7" s="3"/>
      <c r="X7" s="3"/>
      <c r="Y7" s="3"/>
      <c r="Z7" s="3"/>
      <c r="AA7" s="3"/>
      <c r="AB7" s="3"/>
      <c r="AC7" s="3"/>
      <c r="AD7" s="3"/>
      <c r="AE7" s="3"/>
    </row>
    <row r="8" spans="2:36" ht="20.100000000000001" hidden="1" customHeight="1" x14ac:dyDescent="0.4">
      <c r="B8" s="4" t="s">
        <v>65</v>
      </c>
      <c r="C8" s="3"/>
      <c r="D8" s="3"/>
      <c r="E8" s="3"/>
      <c r="F8" s="3"/>
      <c r="G8" s="3"/>
      <c r="H8" s="3"/>
      <c r="I8" s="3"/>
      <c r="J8" s="3"/>
      <c r="K8" s="3"/>
      <c r="L8" s="3"/>
      <c r="M8" s="3"/>
      <c r="N8" s="3"/>
      <c r="O8" s="3"/>
      <c r="P8" s="3"/>
      <c r="Q8" s="3"/>
      <c r="R8" s="3"/>
      <c r="S8" s="3"/>
      <c r="T8" s="3"/>
      <c r="U8" s="3"/>
      <c r="V8" s="3"/>
      <c r="W8" s="3"/>
      <c r="X8" s="3"/>
      <c r="Y8" s="3"/>
      <c r="Z8" s="3"/>
      <c r="AA8" s="3"/>
      <c r="AB8" s="3"/>
      <c r="AC8" s="3"/>
      <c r="AD8" s="3"/>
      <c r="AE8" s="3"/>
    </row>
    <row r="9" spans="2:36" ht="20.100000000000001" hidden="1" customHeight="1" x14ac:dyDescent="0.4">
      <c r="B9" s="4" t="s">
        <v>66</v>
      </c>
      <c r="C9" s="3"/>
      <c r="D9" s="3"/>
      <c r="E9" s="3"/>
      <c r="F9" s="3"/>
      <c r="G9" s="3"/>
      <c r="H9" s="3"/>
      <c r="I9" s="3"/>
      <c r="J9" s="3"/>
      <c r="K9" s="3"/>
      <c r="L9" s="3"/>
      <c r="M9" s="3"/>
      <c r="N9" s="3"/>
      <c r="O9" s="3"/>
      <c r="P9" s="3"/>
      <c r="Q9" s="3"/>
      <c r="R9" s="3"/>
      <c r="S9" s="3"/>
      <c r="T9" s="3"/>
      <c r="U9" s="3"/>
      <c r="V9" s="3"/>
      <c r="W9" s="3"/>
      <c r="X9" s="3"/>
      <c r="Y9" s="3"/>
      <c r="Z9" s="3"/>
      <c r="AA9" s="3"/>
      <c r="AB9" s="3"/>
      <c r="AC9" s="3"/>
      <c r="AD9" s="3"/>
      <c r="AE9" s="3"/>
    </row>
    <row r="10" spans="2:36" ht="20.100000000000001" hidden="1" customHeight="1" x14ac:dyDescent="0.4">
      <c r="B10" s="4" t="s">
        <v>67</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spans="2:36" ht="20.100000000000001" hidden="1" customHeight="1" x14ac:dyDescent="0.4"/>
    <row r="13" spans="2:36" ht="20.100000000000001" customHeight="1" x14ac:dyDescent="0.4">
      <c r="B13" s="51" t="s">
        <v>101</v>
      </c>
    </row>
    <row r="14" spans="2:36" ht="20.100000000000001" customHeight="1" x14ac:dyDescent="0.4">
      <c r="B14" s="51" t="s">
        <v>102</v>
      </c>
    </row>
    <row r="15" spans="2:36" ht="20.100000000000001" hidden="1" customHeight="1" outlineLevel="1" x14ac:dyDescent="0.4">
      <c r="AI15" s="1">
        <f>AI18*7.5</f>
        <v>120</v>
      </c>
    </row>
    <row r="16" spans="2:36" ht="20.100000000000001" hidden="1" customHeight="1" outlineLevel="1" x14ac:dyDescent="0.4">
      <c r="B16" s="607">
        <v>45748</v>
      </c>
      <c r="C16" s="6">
        <v>1</v>
      </c>
      <c r="D16" s="6">
        <v>2</v>
      </c>
      <c r="E16" s="6">
        <v>3</v>
      </c>
      <c r="F16" s="6">
        <v>4</v>
      </c>
      <c r="G16" s="6">
        <v>5</v>
      </c>
      <c r="H16" s="6">
        <v>6</v>
      </c>
      <c r="I16" s="6">
        <v>7</v>
      </c>
      <c r="J16" s="6">
        <v>8</v>
      </c>
      <c r="K16" s="6">
        <v>9</v>
      </c>
      <c r="L16" s="6">
        <v>10</v>
      </c>
      <c r="M16" s="6">
        <v>11</v>
      </c>
      <c r="N16" s="6">
        <v>12</v>
      </c>
      <c r="O16" s="6">
        <v>13</v>
      </c>
      <c r="P16" s="6">
        <v>14</v>
      </c>
      <c r="Q16" s="6">
        <v>15</v>
      </c>
      <c r="R16" s="6">
        <v>16</v>
      </c>
      <c r="S16" s="6">
        <v>17</v>
      </c>
      <c r="T16" s="6">
        <v>18</v>
      </c>
      <c r="U16" s="6">
        <v>19</v>
      </c>
      <c r="V16" s="6">
        <v>20</v>
      </c>
      <c r="W16" s="6">
        <v>21</v>
      </c>
      <c r="X16" s="6">
        <v>22</v>
      </c>
      <c r="Y16" s="6">
        <v>23</v>
      </c>
      <c r="Z16" s="6">
        <v>24</v>
      </c>
      <c r="AA16" s="6">
        <v>25</v>
      </c>
      <c r="AB16" s="6">
        <v>26</v>
      </c>
      <c r="AC16" s="6">
        <v>27</v>
      </c>
      <c r="AD16" s="6">
        <v>28</v>
      </c>
      <c r="AE16" s="6">
        <v>29</v>
      </c>
      <c r="AF16" s="6">
        <v>30</v>
      </c>
      <c r="AG16" s="6"/>
      <c r="AH16" s="473" t="s">
        <v>106</v>
      </c>
      <c r="AI16" s="478" t="s">
        <v>107</v>
      </c>
      <c r="AJ16" s="189" t="s">
        <v>361</v>
      </c>
    </row>
    <row r="17" spans="2:36" ht="20.100000000000001" hidden="1" customHeight="1" outlineLevel="1" x14ac:dyDescent="0.4">
      <c r="B17" s="608"/>
      <c r="C17" s="6" t="s">
        <v>72</v>
      </c>
      <c r="D17" s="6" t="s">
        <v>108</v>
      </c>
      <c r="E17" s="6" t="s">
        <v>109</v>
      </c>
      <c r="F17" s="6" t="s">
        <v>110</v>
      </c>
      <c r="G17" s="6" t="s">
        <v>111</v>
      </c>
      <c r="H17" s="6" t="s">
        <v>112</v>
      </c>
      <c r="I17" s="6" t="s">
        <v>70</v>
      </c>
      <c r="J17" s="6" t="s">
        <v>72</v>
      </c>
      <c r="K17" s="6" t="s">
        <v>108</v>
      </c>
      <c r="L17" s="6" t="s">
        <v>364</v>
      </c>
      <c r="M17" s="6" t="s">
        <v>365</v>
      </c>
      <c r="N17" s="6" t="s">
        <v>111</v>
      </c>
      <c r="O17" s="6" t="s">
        <v>366</v>
      </c>
      <c r="P17" s="6" t="s">
        <v>70</v>
      </c>
      <c r="Q17" s="6" t="s">
        <v>72</v>
      </c>
      <c r="R17" s="6" t="s">
        <v>108</v>
      </c>
      <c r="S17" s="6" t="s">
        <v>364</v>
      </c>
      <c r="T17" s="6" t="s">
        <v>110</v>
      </c>
      <c r="U17" s="6" t="s">
        <v>111</v>
      </c>
      <c r="V17" s="6" t="s">
        <v>112</v>
      </c>
      <c r="W17" s="6" t="s">
        <v>367</v>
      </c>
      <c r="X17" s="6" t="s">
        <v>72</v>
      </c>
      <c r="Y17" s="6" t="s">
        <v>449</v>
      </c>
      <c r="Z17" s="6" t="s">
        <v>109</v>
      </c>
      <c r="AA17" s="6" t="s">
        <v>110</v>
      </c>
      <c r="AB17" s="6" t="s">
        <v>111</v>
      </c>
      <c r="AC17" s="6" t="s">
        <v>112</v>
      </c>
      <c r="AD17" s="6" t="s">
        <v>367</v>
      </c>
      <c r="AE17" s="6" t="s">
        <v>72</v>
      </c>
      <c r="AF17" s="6" t="s">
        <v>108</v>
      </c>
      <c r="AG17" s="6"/>
      <c r="AH17" s="475"/>
      <c r="AI17" s="480"/>
      <c r="AJ17" s="189" t="s">
        <v>476</v>
      </c>
    </row>
    <row r="18" spans="2:36" ht="20.100000000000001" hidden="1" customHeight="1" outlineLevel="1" x14ac:dyDescent="0.4">
      <c r="B18" s="4" t="s">
        <v>163</v>
      </c>
      <c r="C18" s="3" t="s">
        <v>105</v>
      </c>
      <c r="D18" s="3" t="s">
        <v>105</v>
      </c>
      <c r="E18" s="3" t="s">
        <v>105</v>
      </c>
      <c r="F18" s="3" t="s">
        <v>105</v>
      </c>
      <c r="G18" s="3" t="s">
        <v>103</v>
      </c>
      <c r="H18" s="3" t="s">
        <v>103</v>
      </c>
      <c r="I18" s="3" t="s">
        <v>105</v>
      </c>
      <c r="J18" s="3" t="s">
        <v>105</v>
      </c>
      <c r="K18" s="3" t="s">
        <v>105</v>
      </c>
      <c r="L18" s="3" t="s">
        <v>105</v>
      </c>
      <c r="M18" s="3" t="s">
        <v>105</v>
      </c>
      <c r="N18" s="3" t="s">
        <v>103</v>
      </c>
      <c r="O18" s="3" t="s">
        <v>103</v>
      </c>
      <c r="P18" s="3" t="s">
        <v>104</v>
      </c>
      <c r="Q18" s="3" t="s">
        <v>104</v>
      </c>
      <c r="R18" s="3" t="s">
        <v>104</v>
      </c>
      <c r="S18" s="3" t="s">
        <v>104</v>
      </c>
      <c r="T18" s="3" t="s">
        <v>104</v>
      </c>
      <c r="U18" s="3" t="s">
        <v>103</v>
      </c>
      <c r="V18" s="3" t="s">
        <v>103</v>
      </c>
      <c r="W18" s="3" t="s">
        <v>104</v>
      </c>
      <c r="X18" s="3" t="s">
        <v>105</v>
      </c>
      <c r="Y18" s="3" t="s">
        <v>105</v>
      </c>
      <c r="Z18" s="3" t="s">
        <v>105</v>
      </c>
      <c r="AA18" s="3" t="s">
        <v>105</v>
      </c>
      <c r="AB18" s="3" t="s">
        <v>103</v>
      </c>
      <c r="AC18" s="3" t="s">
        <v>103</v>
      </c>
      <c r="AD18" s="3" t="s">
        <v>105</v>
      </c>
      <c r="AE18" s="3" t="s">
        <v>105</v>
      </c>
      <c r="AF18" s="3" t="s">
        <v>105</v>
      </c>
      <c r="AG18" s="3"/>
      <c r="AH18" s="4">
        <f>COUNTIF(C18:AG18,"L")</f>
        <v>0</v>
      </c>
      <c r="AI18" s="4">
        <f>COUNTIF(C18:AG18,"A")</f>
        <v>16</v>
      </c>
      <c r="AJ18" s="189" t="s">
        <v>362</v>
      </c>
    </row>
    <row r="19" spans="2:36" ht="20.100000000000001" hidden="1" customHeight="1" outlineLevel="1" x14ac:dyDescent="0.4">
      <c r="B19" s="4" t="s">
        <v>368</v>
      </c>
      <c r="C19" s="3" t="s">
        <v>105</v>
      </c>
      <c r="D19" s="3" t="s">
        <v>105</v>
      </c>
      <c r="E19" s="3" t="s">
        <v>105</v>
      </c>
      <c r="F19" s="3" t="s">
        <v>105</v>
      </c>
      <c r="G19" s="3" t="s">
        <v>103</v>
      </c>
      <c r="H19" s="3" t="s">
        <v>103</v>
      </c>
      <c r="I19" s="3" t="s">
        <v>105</v>
      </c>
      <c r="J19" s="3" t="s">
        <v>105</v>
      </c>
      <c r="K19" s="3" t="s">
        <v>105</v>
      </c>
      <c r="L19" s="3" t="s">
        <v>105</v>
      </c>
      <c r="M19" s="3" t="s">
        <v>105</v>
      </c>
      <c r="N19" s="3" t="s">
        <v>103</v>
      </c>
      <c r="O19" s="3" t="s">
        <v>103</v>
      </c>
      <c r="P19" s="3" t="s">
        <v>104</v>
      </c>
      <c r="Q19" s="3" t="s">
        <v>104</v>
      </c>
      <c r="R19" s="3" t="s">
        <v>104</v>
      </c>
      <c r="S19" s="3" t="s">
        <v>104</v>
      </c>
      <c r="T19" s="3" t="s">
        <v>104</v>
      </c>
      <c r="U19" s="3" t="s">
        <v>103</v>
      </c>
      <c r="V19" s="3" t="s">
        <v>103</v>
      </c>
      <c r="W19" s="3" t="s">
        <v>104</v>
      </c>
      <c r="X19" s="3" t="s">
        <v>105</v>
      </c>
      <c r="Y19" s="3" t="s">
        <v>105</v>
      </c>
      <c r="Z19" s="3" t="s">
        <v>105</v>
      </c>
      <c r="AA19" s="3" t="s">
        <v>105</v>
      </c>
      <c r="AB19" s="3" t="s">
        <v>103</v>
      </c>
      <c r="AC19" s="3" t="s">
        <v>103</v>
      </c>
      <c r="AD19" s="3" t="s">
        <v>105</v>
      </c>
      <c r="AE19" s="3" t="s">
        <v>105</v>
      </c>
      <c r="AF19" s="3" t="s">
        <v>105</v>
      </c>
      <c r="AG19" s="3"/>
      <c r="AH19" s="4">
        <f t="shared" ref="AH19:AH27" si="0">COUNTIF(C19:AG19,"L")</f>
        <v>0</v>
      </c>
      <c r="AI19" s="4">
        <f t="shared" ref="AI19:AI27" si="1">COUNTIF(C19:AG19,"A")</f>
        <v>16</v>
      </c>
      <c r="AJ19" s="189" t="s">
        <v>468</v>
      </c>
    </row>
    <row r="20" spans="2:36" ht="20.100000000000001" hidden="1" customHeight="1" outlineLevel="1" x14ac:dyDescent="0.4">
      <c r="B20" s="4" t="s">
        <v>172</v>
      </c>
      <c r="C20" s="3" t="s">
        <v>105</v>
      </c>
      <c r="D20" s="3" t="s">
        <v>105</v>
      </c>
      <c r="E20" s="3" t="s">
        <v>105</v>
      </c>
      <c r="F20" s="3" t="s">
        <v>105</v>
      </c>
      <c r="G20" s="3" t="s">
        <v>103</v>
      </c>
      <c r="H20" s="3" t="s">
        <v>103</v>
      </c>
      <c r="I20" s="3" t="s">
        <v>105</v>
      </c>
      <c r="J20" s="3" t="s">
        <v>105</v>
      </c>
      <c r="K20" s="3" t="s">
        <v>105</v>
      </c>
      <c r="L20" s="3" t="s">
        <v>105</v>
      </c>
      <c r="M20" s="3" t="s">
        <v>105</v>
      </c>
      <c r="N20" s="3" t="s">
        <v>103</v>
      </c>
      <c r="O20" s="3" t="s">
        <v>103</v>
      </c>
      <c r="P20" s="3" t="s">
        <v>104</v>
      </c>
      <c r="Q20" s="3" t="s">
        <v>104</v>
      </c>
      <c r="R20" s="3" t="s">
        <v>104</v>
      </c>
      <c r="S20" s="3" t="s">
        <v>104</v>
      </c>
      <c r="T20" s="3" t="s">
        <v>104</v>
      </c>
      <c r="U20" s="3" t="s">
        <v>103</v>
      </c>
      <c r="V20" s="3" t="s">
        <v>103</v>
      </c>
      <c r="W20" s="3" t="s">
        <v>104</v>
      </c>
      <c r="X20" s="3" t="s">
        <v>105</v>
      </c>
      <c r="Y20" s="3" t="s">
        <v>105</v>
      </c>
      <c r="Z20" s="3" t="s">
        <v>105</v>
      </c>
      <c r="AA20" s="3" t="s">
        <v>105</v>
      </c>
      <c r="AB20" s="3" t="s">
        <v>103</v>
      </c>
      <c r="AC20" s="3" t="s">
        <v>103</v>
      </c>
      <c r="AD20" s="3" t="s">
        <v>105</v>
      </c>
      <c r="AE20" s="3" t="s">
        <v>105</v>
      </c>
      <c r="AF20" s="3" t="s">
        <v>105</v>
      </c>
      <c r="AG20" s="3"/>
      <c r="AH20" s="4">
        <f t="shared" si="0"/>
        <v>0</v>
      </c>
      <c r="AI20" s="4">
        <f t="shared" si="1"/>
        <v>16</v>
      </c>
      <c r="AJ20" s="189"/>
    </row>
    <row r="21" spans="2:36" ht="20.100000000000001" hidden="1" customHeight="1" outlineLevel="1" x14ac:dyDescent="0.4">
      <c r="B21" s="4" t="s">
        <v>331</v>
      </c>
      <c r="C21" s="3" t="s">
        <v>105</v>
      </c>
      <c r="D21" s="3" t="s">
        <v>105</v>
      </c>
      <c r="E21" s="3" t="s">
        <v>105</v>
      </c>
      <c r="F21" s="3" t="s">
        <v>105</v>
      </c>
      <c r="G21" s="3" t="s">
        <v>103</v>
      </c>
      <c r="H21" s="3" t="s">
        <v>103</v>
      </c>
      <c r="I21" s="3" t="s">
        <v>105</v>
      </c>
      <c r="J21" s="3" t="s">
        <v>105</v>
      </c>
      <c r="K21" s="3" t="s">
        <v>105</v>
      </c>
      <c r="L21" s="3" t="s">
        <v>105</v>
      </c>
      <c r="M21" s="3" t="s">
        <v>105</v>
      </c>
      <c r="N21" s="3" t="s">
        <v>103</v>
      </c>
      <c r="O21" s="3" t="s">
        <v>103</v>
      </c>
      <c r="P21" s="3" t="s">
        <v>104</v>
      </c>
      <c r="Q21" s="3" t="s">
        <v>104</v>
      </c>
      <c r="R21" s="3" t="s">
        <v>104</v>
      </c>
      <c r="S21" s="3" t="s">
        <v>104</v>
      </c>
      <c r="T21" s="3" t="s">
        <v>104</v>
      </c>
      <c r="U21" s="3" t="s">
        <v>103</v>
      </c>
      <c r="V21" s="3" t="s">
        <v>103</v>
      </c>
      <c r="W21" s="3" t="s">
        <v>104</v>
      </c>
      <c r="X21" s="3" t="s">
        <v>105</v>
      </c>
      <c r="Y21" s="3" t="s">
        <v>105</v>
      </c>
      <c r="Z21" s="3" t="s">
        <v>105</v>
      </c>
      <c r="AA21" s="3" t="s">
        <v>105</v>
      </c>
      <c r="AB21" s="3" t="s">
        <v>103</v>
      </c>
      <c r="AC21" s="3" t="s">
        <v>103</v>
      </c>
      <c r="AD21" s="3" t="s">
        <v>105</v>
      </c>
      <c r="AE21" s="3" t="s">
        <v>105</v>
      </c>
      <c r="AF21" s="3" t="s">
        <v>105</v>
      </c>
      <c r="AG21" s="3"/>
      <c r="AH21" s="4">
        <f t="shared" si="0"/>
        <v>0</v>
      </c>
      <c r="AI21" s="4">
        <f t="shared" si="1"/>
        <v>16</v>
      </c>
      <c r="AJ21" s="189" t="s">
        <v>483</v>
      </c>
    </row>
    <row r="22" spans="2:36" ht="20.100000000000001" hidden="1" customHeight="1" outlineLevel="1" x14ac:dyDescent="0.4">
      <c r="B22" s="4" t="s">
        <v>369</v>
      </c>
      <c r="C22" s="3" t="s">
        <v>105</v>
      </c>
      <c r="D22" s="3" t="s">
        <v>105</v>
      </c>
      <c r="E22" s="3" t="s">
        <v>105</v>
      </c>
      <c r="F22" s="3" t="s">
        <v>105</v>
      </c>
      <c r="G22" s="3" t="s">
        <v>103</v>
      </c>
      <c r="H22" s="3" t="s">
        <v>103</v>
      </c>
      <c r="I22" s="3" t="s">
        <v>105</v>
      </c>
      <c r="J22" s="3" t="s">
        <v>105</v>
      </c>
      <c r="K22" s="3" t="s">
        <v>105</v>
      </c>
      <c r="L22" s="3" t="s">
        <v>105</v>
      </c>
      <c r="M22" s="3" t="s">
        <v>105</v>
      </c>
      <c r="N22" s="3" t="s">
        <v>103</v>
      </c>
      <c r="O22" s="3" t="s">
        <v>103</v>
      </c>
      <c r="P22" s="3" t="s">
        <v>104</v>
      </c>
      <c r="Q22" s="3" t="s">
        <v>104</v>
      </c>
      <c r="R22" s="3" t="s">
        <v>104</v>
      </c>
      <c r="S22" s="3" t="s">
        <v>104</v>
      </c>
      <c r="T22" s="3" t="s">
        <v>104</v>
      </c>
      <c r="U22" s="3" t="s">
        <v>103</v>
      </c>
      <c r="V22" s="3" t="s">
        <v>103</v>
      </c>
      <c r="W22" s="3" t="s">
        <v>104</v>
      </c>
      <c r="X22" s="3" t="s">
        <v>105</v>
      </c>
      <c r="Y22" s="3" t="s">
        <v>105</v>
      </c>
      <c r="Z22" s="3" t="s">
        <v>105</v>
      </c>
      <c r="AA22" s="3" t="s">
        <v>105</v>
      </c>
      <c r="AB22" s="3" t="s">
        <v>103</v>
      </c>
      <c r="AC22" s="3" t="s">
        <v>103</v>
      </c>
      <c r="AD22" s="3" t="s">
        <v>105</v>
      </c>
      <c r="AE22" s="3" t="s">
        <v>105</v>
      </c>
      <c r="AF22" s="3" t="s">
        <v>105</v>
      </c>
      <c r="AG22" s="3"/>
      <c r="AH22" s="4">
        <f t="shared" si="0"/>
        <v>0</v>
      </c>
      <c r="AI22" s="4">
        <f t="shared" si="1"/>
        <v>16</v>
      </c>
      <c r="AJ22" s="189"/>
    </row>
    <row r="23" spans="2:36" ht="20.100000000000001" hidden="1" customHeight="1" outlineLevel="1" x14ac:dyDescent="0.4">
      <c r="B23" s="4" t="s">
        <v>370</v>
      </c>
      <c r="C23" s="3" t="s">
        <v>105</v>
      </c>
      <c r="D23" s="3" t="s">
        <v>105</v>
      </c>
      <c r="E23" s="3" t="s">
        <v>105</v>
      </c>
      <c r="F23" s="3" t="s">
        <v>105</v>
      </c>
      <c r="G23" s="3" t="s">
        <v>103</v>
      </c>
      <c r="H23" s="3" t="s">
        <v>103</v>
      </c>
      <c r="I23" s="3" t="s">
        <v>105</v>
      </c>
      <c r="J23" s="3" t="s">
        <v>105</v>
      </c>
      <c r="K23" s="3" t="s">
        <v>105</v>
      </c>
      <c r="L23" s="3" t="s">
        <v>105</v>
      </c>
      <c r="M23" s="3" t="s">
        <v>105</v>
      </c>
      <c r="N23" s="3" t="s">
        <v>103</v>
      </c>
      <c r="O23" s="3" t="s">
        <v>103</v>
      </c>
      <c r="P23" s="3" t="s">
        <v>104</v>
      </c>
      <c r="Q23" s="3" t="s">
        <v>104</v>
      </c>
      <c r="R23" s="3" t="s">
        <v>104</v>
      </c>
      <c r="S23" s="3" t="s">
        <v>104</v>
      </c>
      <c r="T23" s="3" t="s">
        <v>104</v>
      </c>
      <c r="U23" s="3" t="s">
        <v>103</v>
      </c>
      <c r="V23" s="3" t="s">
        <v>103</v>
      </c>
      <c r="W23" s="3" t="s">
        <v>104</v>
      </c>
      <c r="X23" s="3" t="s">
        <v>105</v>
      </c>
      <c r="Y23" s="3" t="s">
        <v>105</v>
      </c>
      <c r="Z23" s="3" t="s">
        <v>105</v>
      </c>
      <c r="AA23" s="3" t="s">
        <v>105</v>
      </c>
      <c r="AB23" s="3" t="s">
        <v>103</v>
      </c>
      <c r="AC23" s="3" t="s">
        <v>103</v>
      </c>
      <c r="AD23" s="3" t="s">
        <v>105</v>
      </c>
      <c r="AE23" s="3" t="s">
        <v>105</v>
      </c>
      <c r="AF23" s="3" t="s">
        <v>105</v>
      </c>
      <c r="AG23" s="3"/>
      <c r="AH23" s="4">
        <f t="shared" si="0"/>
        <v>0</v>
      </c>
      <c r="AI23" s="4">
        <f t="shared" si="1"/>
        <v>16</v>
      </c>
    </row>
    <row r="24" spans="2:36" ht="20.100000000000001" hidden="1" customHeight="1" outlineLevel="1" x14ac:dyDescent="0.4">
      <c r="B24" s="4" t="s">
        <v>371</v>
      </c>
      <c r="C24" s="3" t="s">
        <v>105</v>
      </c>
      <c r="D24" s="3" t="s">
        <v>105</v>
      </c>
      <c r="E24" s="3" t="s">
        <v>105</v>
      </c>
      <c r="F24" s="3" t="s">
        <v>105</v>
      </c>
      <c r="G24" s="3" t="s">
        <v>103</v>
      </c>
      <c r="H24" s="3" t="s">
        <v>103</v>
      </c>
      <c r="I24" s="3" t="s">
        <v>105</v>
      </c>
      <c r="J24" s="3" t="s">
        <v>105</v>
      </c>
      <c r="K24" s="3" t="s">
        <v>105</v>
      </c>
      <c r="L24" s="3" t="s">
        <v>105</v>
      </c>
      <c r="M24" s="3" t="s">
        <v>105</v>
      </c>
      <c r="N24" s="3" t="s">
        <v>103</v>
      </c>
      <c r="O24" s="3" t="s">
        <v>103</v>
      </c>
      <c r="P24" s="3" t="s">
        <v>104</v>
      </c>
      <c r="Q24" s="3" t="s">
        <v>104</v>
      </c>
      <c r="R24" s="3" t="s">
        <v>104</v>
      </c>
      <c r="S24" s="3" t="s">
        <v>104</v>
      </c>
      <c r="T24" s="3" t="s">
        <v>104</v>
      </c>
      <c r="U24" s="3" t="s">
        <v>103</v>
      </c>
      <c r="V24" s="3" t="s">
        <v>103</v>
      </c>
      <c r="W24" s="3" t="s">
        <v>104</v>
      </c>
      <c r="X24" s="3" t="s">
        <v>105</v>
      </c>
      <c r="Y24" s="3" t="s">
        <v>105</v>
      </c>
      <c r="Z24" s="3" t="s">
        <v>105</v>
      </c>
      <c r="AA24" s="3" t="s">
        <v>105</v>
      </c>
      <c r="AB24" s="3" t="s">
        <v>103</v>
      </c>
      <c r="AC24" s="3" t="s">
        <v>103</v>
      </c>
      <c r="AD24" s="3" t="s">
        <v>105</v>
      </c>
      <c r="AE24" s="3" t="s">
        <v>105</v>
      </c>
      <c r="AF24" s="3" t="s">
        <v>105</v>
      </c>
      <c r="AG24" s="3"/>
      <c r="AH24" s="4">
        <f t="shared" si="0"/>
        <v>0</v>
      </c>
      <c r="AI24" s="4">
        <f t="shared" si="1"/>
        <v>16</v>
      </c>
      <c r="AJ24" s="201"/>
    </row>
    <row r="25" spans="2:36" s="201" customFormat="1" ht="20.100000000000001" hidden="1" customHeight="1" outlineLevel="1" x14ac:dyDescent="0.4">
      <c r="B25" s="4" t="s">
        <v>349</v>
      </c>
      <c r="C25" s="3" t="s">
        <v>105</v>
      </c>
      <c r="D25" s="3" t="s">
        <v>105</v>
      </c>
      <c r="E25" s="3" t="s">
        <v>105</v>
      </c>
      <c r="F25" s="3" t="s">
        <v>105</v>
      </c>
      <c r="G25" s="3" t="s">
        <v>103</v>
      </c>
      <c r="H25" s="3" t="s">
        <v>103</v>
      </c>
      <c r="I25" s="3" t="s">
        <v>105</v>
      </c>
      <c r="J25" s="3" t="s">
        <v>105</v>
      </c>
      <c r="K25" s="3" t="s">
        <v>105</v>
      </c>
      <c r="L25" s="3" t="s">
        <v>105</v>
      </c>
      <c r="M25" s="3" t="s">
        <v>105</v>
      </c>
      <c r="N25" s="3" t="s">
        <v>103</v>
      </c>
      <c r="O25" s="3" t="s">
        <v>103</v>
      </c>
      <c r="P25" s="3" t="s">
        <v>104</v>
      </c>
      <c r="Q25" s="3" t="s">
        <v>104</v>
      </c>
      <c r="R25" s="3" t="s">
        <v>104</v>
      </c>
      <c r="S25" s="3" t="s">
        <v>104</v>
      </c>
      <c r="T25" s="3" t="s">
        <v>104</v>
      </c>
      <c r="U25" s="3" t="s">
        <v>103</v>
      </c>
      <c r="V25" s="3" t="s">
        <v>103</v>
      </c>
      <c r="W25" s="3" t="s">
        <v>104</v>
      </c>
      <c r="X25" s="3" t="s">
        <v>105</v>
      </c>
      <c r="Y25" s="3" t="s">
        <v>105</v>
      </c>
      <c r="Z25" s="3" t="s">
        <v>105</v>
      </c>
      <c r="AA25" s="3" t="s">
        <v>105</v>
      </c>
      <c r="AB25" s="3" t="s">
        <v>103</v>
      </c>
      <c r="AC25" s="3" t="s">
        <v>103</v>
      </c>
      <c r="AD25" s="3" t="s">
        <v>105</v>
      </c>
      <c r="AE25" s="3" t="s">
        <v>105</v>
      </c>
      <c r="AF25" s="3" t="s">
        <v>105</v>
      </c>
      <c r="AG25" s="3"/>
      <c r="AH25" s="4">
        <f t="shared" si="0"/>
        <v>0</v>
      </c>
      <c r="AI25" s="4">
        <f t="shared" si="1"/>
        <v>16</v>
      </c>
    </row>
    <row r="26" spans="2:36" s="201" customFormat="1" ht="20.100000000000001" hidden="1" customHeight="1" outlineLevel="1" x14ac:dyDescent="0.4">
      <c r="B26" s="4" t="s">
        <v>372</v>
      </c>
      <c r="C26" s="3" t="s">
        <v>105</v>
      </c>
      <c r="D26" s="3" t="s">
        <v>105</v>
      </c>
      <c r="E26" s="3" t="s">
        <v>105</v>
      </c>
      <c r="F26" s="3" t="s">
        <v>105</v>
      </c>
      <c r="G26" s="3" t="s">
        <v>103</v>
      </c>
      <c r="H26" s="3" t="s">
        <v>103</v>
      </c>
      <c r="I26" s="3" t="s">
        <v>105</v>
      </c>
      <c r="J26" s="3" t="s">
        <v>105</v>
      </c>
      <c r="K26" s="3" t="s">
        <v>105</v>
      </c>
      <c r="L26" s="3" t="s">
        <v>105</v>
      </c>
      <c r="M26" s="3" t="s">
        <v>105</v>
      </c>
      <c r="N26" s="3" t="s">
        <v>103</v>
      </c>
      <c r="O26" s="3" t="s">
        <v>103</v>
      </c>
      <c r="P26" s="3" t="s">
        <v>104</v>
      </c>
      <c r="Q26" s="3" t="s">
        <v>104</v>
      </c>
      <c r="R26" s="3" t="s">
        <v>104</v>
      </c>
      <c r="S26" s="3" t="s">
        <v>104</v>
      </c>
      <c r="T26" s="3" t="s">
        <v>104</v>
      </c>
      <c r="U26" s="3" t="s">
        <v>103</v>
      </c>
      <c r="V26" s="3" t="s">
        <v>103</v>
      </c>
      <c r="W26" s="3" t="s">
        <v>104</v>
      </c>
      <c r="X26" s="3" t="s">
        <v>105</v>
      </c>
      <c r="Y26" s="3" t="s">
        <v>105</v>
      </c>
      <c r="Z26" s="3" t="s">
        <v>105</v>
      </c>
      <c r="AA26" s="3" t="s">
        <v>105</v>
      </c>
      <c r="AB26" s="3" t="s">
        <v>103</v>
      </c>
      <c r="AC26" s="3" t="s">
        <v>103</v>
      </c>
      <c r="AD26" s="3" t="s">
        <v>105</v>
      </c>
      <c r="AE26" s="3" t="s">
        <v>105</v>
      </c>
      <c r="AF26" s="3" t="s">
        <v>105</v>
      </c>
      <c r="AG26" s="3"/>
      <c r="AH26" s="4">
        <f t="shared" si="0"/>
        <v>0</v>
      </c>
      <c r="AI26" s="4">
        <f t="shared" si="1"/>
        <v>16</v>
      </c>
    </row>
    <row r="27" spans="2:36" ht="20.100000000000001" hidden="1" customHeight="1" outlineLevel="1" x14ac:dyDescent="0.4">
      <c r="B27" s="4" t="s">
        <v>373</v>
      </c>
      <c r="C27" s="3" t="s">
        <v>105</v>
      </c>
      <c r="D27" s="3" t="s">
        <v>105</v>
      </c>
      <c r="E27" s="3" t="s">
        <v>105</v>
      </c>
      <c r="F27" s="3" t="s">
        <v>105</v>
      </c>
      <c r="G27" s="3" t="s">
        <v>103</v>
      </c>
      <c r="H27" s="3" t="s">
        <v>103</v>
      </c>
      <c r="I27" s="3" t="s">
        <v>105</v>
      </c>
      <c r="J27" s="3" t="s">
        <v>105</v>
      </c>
      <c r="K27" s="3" t="s">
        <v>105</v>
      </c>
      <c r="L27" s="3" t="s">
        <v>105</v>
      </c>
      <c r="M27" s="3" t="s">
        <v>105</v>
      </c>
      <c r="N27" s="3" t="s">
        <v>103</v>
      </c>
      <c r="O27" s="3" t="s">
        <v>103</v>
      </c>
      <c r="P27" s="3" t="s">
        <v>104</v>
      </c>
      <c r="Q27" s="3" t="s">
        <v>104</v>
      </c>
      <c r="R27" s="3" t="s">
        <v>104</v>
      </c>
      <c r="S27" s="3" t="s">
        <v>104</v>
      </c>
      <c r="T27" s="3" t="s">
        <v>104</v>
      </c>
      <c r="U27" s="3" t="s">
        <v>103</v>
      </c>
      <c r="V27" s="3" t="s">
        <v>103</v>
      </c>
      <c r="W27" s="3" t="s">
        <v>104</v>
      </c>
      <c r="X27" s="3" t="s">
        <v>105</v>
      </c>
      <c r="Y27" s="3" t="s">
        <v>105</v>
      </c>
      <c r="Z27" s="3" t="s">
        <v>105</v>
      </c>
      <c r="AA27" s="3" t="s">
        <v>105</v>
      </c>
      <c r="AB27" s="3" t="s">
        <v>103</v>
      </c>
      <c r="AC27" s="3" t="s">
        <v>103</v>
      </c>
      <c r="AD27" s="3" t="s">
        <v>105</v>
      </c>
      <c r="AE27" s="3" t="s">
        <v>105</v>
      </c>
      <c r="AF27" s="3" t="s">
        <v>105</v>
      </c>
      <c r="AG27" s="3"/>
      <c r="AH27" s="4">
        <f t="shared" si="0"/>
        <v>0</v>
      </c>
      <c r="AI27" s="4">
        <f t="shared" si="1"/>
        <v>16</v>
      </c>
      <c r="AJ27" s="201"/>
    </row>
    <row r="28" spans="2:36" s="203" customFormat="1" ht="20.100000000000001" hidden="1" customHeight="1" outlineLevel="1" x14ac:dyDescent="0.4">
      <c r="C28" s="229"/>
      <c r="D28" s="229"/>
      <c r="E28" s="229"/>
      <c r="F28" s="229"/>
      <c r="G28" s="229"/>
      <c r="H28" s="229"/>
      <c r="I28" s="229"/>
      <c r="J28" s="229"/>
      <c r="K28" s="229"/>
      <c r="L28" s="229"/>
      <c r="M28" s="229"/>
      <c r="N28" s="609" t="s">
        <v>363</v>
      </c>
      <c r="O28" s="609"/>
      <c r="P28" s="609"/>
      <c r="Q28" s="609"/>
      <c r="R28" s="609"/>
      <c r="S28" s="609"/>
      <c r="T28" s="609"/>
      <c r="U28" s="609"/>
      <c r="V28" s="609"/>
      <c r="W28" s="609"/>
      <c r="X28" s="229"/>
      <c r="Y28" s="229"/>
      <c r="Z28" s="229"/>
      <c r="AA28" s="229"/>
      <c r="AB28" s="229"/>
      <c r="AC28" s="229"/>
      <c r="AD28" s="229"/>
      <c r="AE28" s="229"/>
      <c r="AF28" s="229"/>
      <c r="AG28" s="229"/>
    </row>
    <row r="29" spans="2:36" s="203" customFormat="1" ht="20.100000000000001" hidden="1" customHeight="1" outlineLevel="1" collapsed="1" x14ac:dyDescent="0.4">
      <c r="C29" s="229"/>
      <c r="D29" s="229"/>
      <c r="E29" s="229"/>
      <c r="F29" s="229"/>
      <c r="G29" s="229"/>
      <c r="H29" s="229"/>
      <c r="I29" s="229"/>
      <c r="J29" s="229"/>
      <c r="K29" s="229"/>
      <c r="L29" s="229"/>
      <c r="M29" s="229"/>
      <c r="O29" s="229"/>
      <c r="P29" s="229"/>
      <c r="Q29" s="229"/>
      <c r="R29" s="229"/>
      <c r="S29" s="229"/>
      <c r="T29" s="229"/>
      <c r="U29" s="229"/>
      <c r="V29" s="229"/>
      <c r="W29" s="229"/>
      <c r="X29" s="229"/>
      <c r="Y29" s="229"/>
      <c r="Z29" s="229"/>
      <c r="AA29" s="229"/>
      <c r="AB29" s="229"/>
      <c r="AC29" s="229"/>
      <c r="AD29" s="229"/>
      <c r="AE29" s="229"/>
      <c r="AF29" s="229"/>
      <c r="AG29" s="229"/>
      <c r="AI29" s="201">
        <f>AI32*7.5</f>
        <v>157.5</v>
      </c>
    </row>
    <row r="30" spans="2:36" s="203" customFormat="1" ht="20.100000000000001" hidden="1" customHeight="1" outlineLevel="1" x14ac:dyDescent="0.4">
      <c r="B30" s="607">
        <v>45778</v>
      </c>
      <c r="C30" s="6">
        <v>1</v>
      </c>
      <c r="D30" s="6">
        <v>2</v>
      </c>
      <c r="E30" s="6">
        <v>3</v>
      </c>
      <c r="F30" s="6">
        <v>4</v>
      </c>
      <c r="G30" s="6">
        <v>5</v>
      </c>
      <c r="H30" s="6">
        <v>6</v>
      </c>
      <c r="I30" s="6">
        <v>7</v>
      </c>
      <c r="J30" s="6">
        <v>8</v>
      </c>
      <c r="K30" s="6">
        <v>9</v>
      </c>
      <c r="L30" s="6">
        <v>10</v>
      </c>
      <c r="M30" s="6">
        <v>11</v>
      </c>
      <c r="N30" s="6">
        <v>12</v>
      </c>
      <c r="O30" s="6">
        <v>13</v>
      </c>
      <c r="P30" s="6">
        <v>14</v>
      </c>
      <c r="Q30" s="6">
        <v>15</v>
      </c>
      <c r="R30" s="6">
        <v>16</v>
      </c>
      <c r="S30" s="6">
        <v>17</v>
      </c>
      <c r="T30" s="6">
        <v>18</v>
      </c>
      <c r="U30" s="6">
        <v>19</v>
      </c>
      <c r="V30" s="6">
        <v>20</v>
      </c>
      <c r="W30" s="6">
        <v>21</v>
      </c>
      <c r="X30" s="6">
        <v>22</v>
      </c>
      <c r="Y30" s="6">
        <v>23</v>
      </c>
      <c r="Z30" s="6">
        <v>24</v>
      </c>
      <c r="AA30" s="6">
        <v>25</v>
      </c>
      <c r="AB30" s="6">
        <v>26</v>
      </c>
      <c r="AC30" s="6">
        <v>27</v>
      </c>
      <c r="AD30" s="6">
        <v>28</v>
      </c>
      <c r="AE30" s="6">
        <v>29</v>
      </c>
      <c r="AF30" s="6">
        <v>30</v>
      </c>
      <c r="AG30" s="6">
        <v>31</v>
      </c>
      <c r="AH30" s="473" t="s">
        <v>106</v>
      </c>
      <c r="AI30" s="478" t="s">
        <v>107</v>
      </c>
      <c r="AJ30" s="189" t="s">
        <v>361</v>
      </c>
    </row>
    <row r="31" spans="2:36" ht="20.100000000000001" hidden="1" customHeight="1" outlineLevel="1" x14ac:dyDescent="0.4">
      <c r="B31" s="608"/>
      <c r="C31" s="6" t="s">
        <v>364</v>
      </c>
      <c r="D31" s="6" t="s">
        <v>365</v>
      </c>
      <c r="E31" s="6" t="s">
        <v>111</v>
      </c>
      <c r="F31" s="6" t="s">
        <v>366</v>
      </c>
      <c r="G31" s="6" t="s">
        <v>70</v>
      </c>
      <c r="H31" s="6" t="s">
        <v>72</v>
      </c>
      <c r="I31" s="6" t="s">
        <v>108</v>
      </c>
      <c r="J31" s="6" t="s">
        <v>364</v>
      </c>
      <c r="K31" s="6" t="s">
        <v>110</v>
      </c>
      <c r="L31" s="6" t="s">
        <v>111</v>
      </c>
      <c r="M31" s="6" t="s">
        <v>366</v>
      </c>
      <c r="N31" s="6" t="s">
        <v>70</v>
      </c>
      <c r="O31" s="6" t="s">
        <v>72</v>
      </c>
      <c r="P31" s="6" t="s">
        <v>108</v>
      </c>
      <c r="Q31" s="6" t="s">
        <v>364</v>
      </c>
      <c r="R31" s="6" t="s">
        <v>110</v>
      </c>
      <c r="S31" s="6" t="s">
        <v>111</v>
      </c>
      <c r="T31" s="6" t="s">
        <v>366</v>
      </c>
      <c r="U31" s="6" t="s">
        <v>70</v>
      </c>
      <c r="V31" s="6" t="s">
        <v>72</v>
      </c>
      <c r="W31" s="6" t="s">
        <v>108</v>
      </c>
      <c r="X31" s="6" t="s">
        <v>364</v>
      </c>
      <c r="Y31" s="6" t="s">
        <v>110</v>
      </c>
      <c r="Z31" s="6" t="s">
        <v>111</v>
      </c>
      <c r="AA31" s="6" t="s">
        <v>366</v>
      </c>
      <c r="AB31" s="6" t="s">
        <v>70</v>
      </c>
      <c r="AC31" s="6" t="s">
        <v>72</v>
      </c>
      <c r="AD31" s="6" t="s">
        <v>108</v>
      </c>
      <c r="AE31" s="6" t="s">
        <v>364</v>
      </c>
      <c r="AF31" s="6" t="s">
        <v>110</v>
      </c>
      <c r="AG31" s="6" t="s">
        <v>111</v>
      </c>
      <c r="AH31" s="475"/>
      <c r="AI31" s="480"/>
      <c r="AJ31" s="189" t="s">
        <v>476</v>
      </c>
    </row>
    <row r="32" spans="2:36" ht="20.100000000000001" hidden="1" customHeight="1" outlineLevel="1" x14ac:dyDescent="0.4">
      <c r="B32" s="4" t="s">
        <v>163</v>
      </c>
      <c r="C32" s="3" t="s">
        <v>104</v>
      </c>
      <c r="D32" s="3" t="s">
        <v>105</v>
      </c>
      <c r="E32" s="3" t="s">
        <v>103</v>
      </c>
      <c r="F32" s="3" t="s">
        <v>103</v>
      </c>
      <c r="G32" s="3" t="s">
        <v>105</v>
      </c>
      <c r="H32" s="3" t="s">
        <v>105</v>
      </c>
      <c r="I32" s="3" t="s">
        <v>105</v>
      </c>
      <c r="J32" s="3" t="s">
        <v>105</v>
      </c>
      <c r="K32" s="3" t="s">
        <v>105</v>
      </c>
      <c r="L32" s="3" t="s">
        <v>103</v>
      </c>
      <c r="M32" s="3" t="s">
        <v>103</v>
      </c>
      <c r="N32" s="3" t="s">
        <v>105</v>
      </c>
      <c r="O32" s="3" t="s">
        <v>105</v>
      </c>
      <c r="P32" s="3" t="s">
        <v>105</v>
      </c>
      <c r="Q32" s="3" t="s">
        <v>105</v>
      </c>
      <c r="R32" s="3" t="s">
        <v>105</v>
      </c>
      <c r="S32" s="3" t="s">
        <v>103</v>
      </c>
      <c r="T32" s="3" t="s">
        <v>103</v>
      </c>
      <c r="U32" s="3" t="s">
        <v>105</v>
      </c>
      <c r="V32" s="3" t="s">
        <v>105</v>
      </c>
      <c r="W32" s="3" t="s">
        <v>105</v>
      </c>
      <c r="X32" s="3" t="s">
        <v>105</v>
      </c>
      <c r="Y32" s="3" t="s">
        <v>105</v>
      </c>
      <c r="Z32" s="3" t="s">
        <v>103</v>
      </c>
      <c r="AA32" s="3" t="s">
        <v>103</v>
      </c>
      <c r="AB32" s="3" t="s">
        <v>105</v>
      </c>
      <c r="AC32" s="3" t="s">
        <v>105</v>
      </c>
      <c r="AD32" s="3" t="s">
        <v>105</v>
      </c>
      <c r="AE32" s="3" t="s">
        <v>105</v>
      </c>
      <c r="AF32" s="3" t="s">
        <v>105</v>
      </c>
      <c r="AG32" s="3" t="s">
        <v>103</v>
      </c>
      <c r="AH32" s="4">
        <f>COUNTIF(C32:AG32,"L")</f>
        <v>0</v>
      </c>
      <c r="AI32" s="4">
        <f>COUNTIF(C32:AG32,"A")</f>
        <v>21</v>
      </c>
      <c r="AJ32" s="189" t="s">
        <v>362</v>
      </c>
    </row>
    <row r="33" spans="2:36" ht="20.100000000000001" hidden="1" customHeight="1" outlineLevel="1" x14ac:dyDescent="0.4">
      <c r="B33" s="4" t="s">
        <v>368</v>
      </c>
      <c r="C33" s="3" t="s">
        <v>104</v>
      </c>
      <c r="D33" s="3" t="s">
        <v>105</v>
      </c>
      <c r="E33" s="3" t="s">
        <v>103</v>
      </c>
      <c r="F33" s="3" t="s">
        <v>103</v>
      </c>
      <c r="G33" s="3" t="s">
        <v>105</v>
      </c>
      <c r="H33" s="3" t="s">
        <v>105</v>
      </c>
      <c r="I33" s="3" t="s">
        <v>105</v>
      </c>
      <c r="J33" s="3" t="s">
        <v>105</v>
      </c>
      <c r="K33" s="3" t="s">
        <v>105</v>
      </c>
      <c r="L33" s="3" t="s">
        <v>103</v>
      </c>
      <c r="M33" s="3" t="s">
        <v>103</v>
      </c>
      <c r="N33" s="3" t="s">
        <v>105</v>
      </c>
      <c r="O33" s="3" t="s">
        <v>105</v>
      </c>
      <c r="P33" s="3" t="s">
        <v>105</v>
      </c>
      <c r="Q33" s="3" t="s">
        <v>105</v>
      </c>
      <c r="R33" s="3" t="s">
        <v>105</v>
      </c>
      <c r="S33" s="3" t="s">
        <v>103</v>
      </c>
      <c r="T33" s="3" t="s">
        <v>103</v>
      </c>
      <c r="U33" s="3" t="s">
        <v>105</v>
      </c>
      <c r="V33" s="3" t="s">
        <v>105</v>
      </c>
      <c r="W33" s="3" t="s">
        <v>105</v>
      </c>
      <c r="X33" s="3" t="s">
        <v>105</v>
      </c>
      <c r="Y33" s="3" t="s">
        <v>105</v>
      </c>
      <c r="Z33" s="3" t="s">
        <v>103</v>
      </c>
      <c r="AA33" s="3" t="s">
        <v>103</v>
      </c>
      <c r="AB33" s="3" t="s">
        <v>105</v>
      </c>
      <c r="AC33" s="3" t="s">
        <v>105</v>
      </c>
      <c r="AD33" s="3" t="s">
        <v>105</v>
      </c>
      <c r="AE33" s="3" t="s">
        <v>105</v>
      </c>
      <c r="AF33" s="3" t="s">
        <v>105</v>
      </c>
      <c r="AG33" s="3" t="s">
        <v>103</v>
      </c>
      <c r="AH33" s="4">
        <f t="shared" ref="AH33:AH41" si="2">COUNTIF(C33:AG33,"L")</f>
        <v>0</v>
      </c>
      <c r="AI33" s="4">
        <f t="shared" ref="AI33:AI41" si="3">COUNTIF(C33:AG33,"A")</f>
        <v>21</v>
      </c>
      <c r="AJ33" s="189" t="s">
        <v>468</v>
      </c>
    </row>
    <row r="34" spans="2:36" ht="20.100000000000001" hidden="1" customHeight="1" outlineLevel="1" x14ac:dyDescent="0.4">
      <c r="B34" s="4" t="s">
        <v>172</v>
      </c>
      <c r="C34" s="3" t="s">
        <v>104</v>
      </c>
      <c r="D34" s="3" t="s">
        <v>105</v>
      </c>
      <c r="E34" s="3" t="s">
        <v>103</v>
      </c>
      <c r="F34" s="3" t="s">
        <v>103</v>
      </c>
      <c r="G34" s="3" t="s">
        <v>105</v>
      </c>
      <c r="H34" s="3" t="s">
        <v>105</v>
      </c>
      <c r="I34" s="3" t="s">
        <v>105</v>
      </c>
      <c r="J34" s="3" t="s">
        <v>105</v>
      </c>
      <c r="K34" s="3" t="s">
        <v>105</v>
      </c>
      <c r="L34" s="3" t="s">
        <v>103</v>
      </c>
      <c r="M34" s="3" t="s">
        <v>103</v>
      </c>
      <c r="N34" s="3" t="s">
        <v>105</v>
      </c>
      <c r="O34" s="3" t="s">
        <v>105</v>
      </c>
      <c r="P34" s="3" t="s">
        <v>105</v>
      </c>
      <c r="Q34" s="3" t="s">
        <v>105</v>
      </c>
      <c r="R34" s="3" t="s">
        <v>105</v>
      </c>
      <c r="S34" s="3" t="s">
        <v>103</v>
      </c>
      <c r="T34" s="3" t="s">
        <v>103</v>
      </c>
      <c r="U34" s="3" t="s">
        <v>105</v>
      </c>
      <c r="V34" s="3" t="s">
        <v>105</v>
      </c>
      <c r="W34" s="3" t="s">
        <v>105</v>
      </c>
      <c r="X34" s="3" t="s">
        <v>105</v>
      </c>
      <c r="Y34" s="3" t="s">
        <v>105</v>
      </c>
      <c r="Z34" s="3" t="s">
        <v>103</v>
      </c>
      <c r="AA34" s="3" t="s">
        <v>103</v>
      </c>
      <c r="AB34" s="3" t="s">
        <v>105</v>
      </c>
      <c r="AC34" s="3" t="s">
        <v>105</v>
      </c>
      <c r="AD34" s="3" t="s">
        <v>105</v>
      </c>
      <c r="AE34" s="3" t="s">
        <v>105</v>
      </c>
      <c r="AF34" s="3" t="s">
        <v>105</v>
      </c>
      <c r="AG34" s="3" t="s">
        <v>103</v>
      </c>
      <c r="AH34" s="4">
        <f t="shared" si="2"/>
        <v>0</v>
      </c>
      <c r="AI34" s="4">
        <f t="shared" si="3"/>
        <v>21</v>
      </c>
      <c r="AJ34" s="189"/>
    </row>
    <row r="35" spans="2:36" ht="20.100000000000001" hidden="1" customHeight="1" outlineLevel="1" x14ac:dyDescent="0.4">
      <c r="B35" s="4" t="s">
        <v>331</v>
      </c>
      <c r="C35" s="3" t="s">
        <v>104</v>
      </c>
      <c r="D35" s="3" t="s">
        <v>105</v>
      </c>
      <c r="E35" s="3" t="s">
        <v>103</v>
      </c>
      <c r="F35" s="3" t="s">
        <v>103</v>
      </c>
      <c r="G35" s="3" t="s">
        <v>105</v>
      </c>
      <c r="H35" s="3" t="s">
        <v>105</v>
      </c>
      <c r="I35" s="3" t="s">
        <v>105</v>
      </c>
      <c r="J35" s="3" t="s">
        <v>105</v>
      </c>
      <c r="K35" s="3" t="s">
        <v>105</v>
      </c>
      <c r="L35" s="3" t="s">
        <v>103</v>
      </c>
      <c r="M35" s="3" t="s">
        <v>103</v>
      </c>
      <c r="N35" s="3" t="s">
        <v>105</v>
      </c>
      <c r="O35" s="3" t="s">
        <v>105</v>
      </c>
      <c r="P35" s="3" t="s">
        <v>105</v>
      </c>
      <c r="Q35" s="3" t="s">
        <v>105</v>
      </c>
      <c r="R35" s="3" t="s">
        <v>105</v>
      </c>
      <c r="S35" s="3" t="s">
        <v>103</v>
      </c>
      <c r="T35" s="3" t="s">
        <v>103</v>
      </c>
      <c r="U35" s="3" t="s">
        <v>105</v>
      </c>
      <c r="V35" s="3" t="s">
        <v>105</v>
      </c>
      <c r="W35" s="3" t="s">
        <v>105</v>
      </c>
      <c r="X35" s="3" t="s">
        <v>105</v>
      </c>
      <c r="Y35" s="3" t="s">
        <v>105</v>
      </c>
      <c r="Z35" s="3" t="s">
        <v>103</v>
      </c>
      <c r="AA35" s="3" t="s">
        <v>103</v>
      </c>
      <c r="AB35" s="3" t="s">
        <v>105</v>
      </c>
      <c r="AC35" s="3" t="s">
        <v>105</v>
      </c>
      <c r="AD35" s="3" t="s">
        <v>105</v>
      </c>
      <c r="AE35" s="3" t="s">
        <v>105</v>
      </c>
      <c r="AF35" s="3" t="s">
        <v>105</v>
      </c>
      <c r="AG35" s="3" t="s">
        <v>103</v>
      </c>
      <c r="AH35" s="4">
        <f t="shared" si="2"/>
        <v>0</v>
      </c>
      <c r="AI35" s="4">
        <f t="shared" si="3"/>
        <v>21</v>
      </c>
      <c r="AJ35" s="79"/>
    </row>
    <row r="36" spans="2:36" ht="20.100000000000001" hidden="1" customHeight="1" outlineLevel="1" x14ac:dyDescent="0.4">
      <c r="B36" s="4" t="s">
        <v>369</v>
      </c>
      <c r="C36" s="3" t="s">
        <v>104</v>
      </c>
      <c r="D36" s="3" t="s">
        <v>105</v>
      </c>
      <c r="E36" s="3" t="s">
        <v>103</v>
      </c>
      <c r="F36" s="3" t="s">
        <v>103</v>
      </c>
      <c r="G36" s="3" t="s">
        <v>105</v>
      </c>
      <c r="H36" s="3" t="s">
        <v>105</v>
      </c>
      <c r="I36" s="3" t="s">
        <v>105</v>
      </c>
      <c r="J36" s="3" t="s">
        <v>105</v>
      </c>
      <c r="K36" s="3" t="s">
        <v>105</v>
      </c>
      <c r="L36" s="3" t="s">
        <v>103</v>
      </c>
      <c r="M36" s="3" t="s">
        <v>103</v>
      </c>
      <c r="N36" s="3" t="s">
        <v>105</v>
      </c>
      <c r="O36" s="3" t="s">
        <v>105</v>
      </c>
      <c r="P36" s="3" t="s">
        <v>105</v>
      </c>
      <c r="Q36" s="3" t="s">
        <v>105</v>
      </c>
      <c r="R36" s="3" t="s">
        <v>105</v>
      </c>
      <c r="S36" s="3" t="s">
        <v>103</v>
      </c>
      <c r="T36" s="3" t="s">
        <v>103</v>
      </c>
      <c r="U36" s="3" t="s">
        <v>105</v>
      </c>
      <c r="V36" s="3" t="s">
        <v>105</v>
      </c>
      <c r="W36" s="3" t="s">
        <v>105</v>
      </c>
      <c r="X36" s="3" t="s">
        <v>105</v>
      </c>
      <c r="Y36" s="3" t="s">
        <v>105</v>
      </c>
      <c r="Z36" s="3" t="s">
        <v>103</v>
      </c>
      <c r="AA36" s="3" t="s">
        <v>103</v>
      </c>
      <c r="AB36" s="3" t="s">
        <v>105</v>
      </c>
      <c r="AC36" s="3" t="s">
        <v>105</v>
      </c>
      <c r="AD36" s="3" t="s">
        <v>105</v>
      </c>
      <c r="AE36" s="3" t="s">
        <v>105</v>
      </c>
      <c r="AF36" s="3" t="s">
        <v>105</v>
      </c>
      <c r="AG36" s="3" t="s">
        <v>103</v>
      </c>
      <c r="AH36" s="4">
        <f t="shared" si="2"/>
        <v>0</v>
      </c>
      <c r="AI36" s="4">
        <f t="shared" si="3"/>
        <v>21</v>
      </c>
      <c r="AJ36" s="189"/>
    </row>
    <row r="37" spans="2:36" ht="20.100000000000001" hidden="1" customHeight="1" outlineLevel="1" x14ac:dyDescent="0.4">
      <c r="B37" s="4" t="s">
        <v>370</v>
      </c>
      <c r="C37" s="3" t="s">
        <v>104</v>
      </c>
      <c r="D37" s="3" t="s">
        <v>105</v>
      </c>
      <c r="E37" s="3" t="s">
        <v>103</v>
      </c>
      <c r="F37" s="3" t="s">
        <v>103</v>
      </c>
      <c r="G37" s="3" t="s">
        <v>105</v>
      </c>
      <c r="H37" s="3" t="s">
        <v>105</v>
      </c>
      <c r="I37" s="3" t="s">
        <v>105</v>
      </c>
      <c r="J37" s="3" t="s">
        <v>105</v>
      </c>
      <c r="K37" s="3" t="s">
        <v>105</v>
      </c>
      <c r="L37" s="3" t="s">
        <v>103</v>
      </c>
      <c r="M37" s="3" t="s">
        <v>103</v>
      </c>
      <c r="N37" s="3" t="s">
        <v>105</v>
      </c>
      <c r="O37" s="3" t="s">
        <v>105</v>
      </c>
      <c r="P37" s="3" t="s">
        <v>105</v>
      </c>
      <c r="Q37" s="3" t="s">
        <v>105</v>
      </c>
      <c r="R37" s="3" t="s">
        <v>105</v>
      </c>
      <c r="S37" s="3" t="s">
        <v>103</v>
      </c>
      <c r="T37" s="3" t="s">
        <v>103</v>
      </c>
      <c r="U37" s="3" t="s">
        <v>105</v>
      </c>
      <c r="V37" s="3" t="s">
        <v>105</v>
      </c>
      <c r="W37" s="3" t="s">
        <v>105</v>
      </c>
      <c r="X37" s="3" t="s">
        <v>105</v>
      </c>
      <c r="Y37" s="3" t="s">
        <v>105</v>
      </c>
      <c r="Z37" s="3" t="s">
        <v>103</v>
      </c>
      <c r="AA37" s="3" t="s">
        <v>103</v>
      </c>
      <c r="AB37" s="3" t="s">
        <v>105</v>
      </c>
      <c r="AC37" s="3" t="s">
        <v>105</v>
      </c>
      <c r="AD37" s="3" t="s">
        <v>105</v>
      </c>
      <c r="AE37" s="3" t="s">
        <v>105</v>
      </c>
      <c r="AF37" s="3" t="s">
        <v>105</v>
      </c>
      <c r="AG37" s="3" t="s">
        <v>103</v>
      </c>
      <c r="AH37" s="4">
        <f t="shared" si="2"/>
        <v>0</v>
      </c>
      <c r="AI37" s="4">
        <f t="shared" si="3"/>
        <v>21</v>
      </c>
    </row>
    <row r="38" spans="2:36" ht="20.100000000000001" hidden="1" customHeight="1" outlineLevel="1" x14ac:dyDescent="0.4">
      <c r="B38" s="4" t="s">
        <v>371</v>
      </c>
      <c r="C38" s="3" t="s">
        <v>104</v>
      </c>
      <c r="D38" s="3" t="s">
        <v>105</v>
      </c>
      <c r="E38" s="3" t="s">
        <v>103</v>
      </c>
      <c r="F38" s="3" t="s">
        <v>103</v>
      </c>
      <c r="G38" s="3" t="s">
        <v>105</v>
      </c>
      <c r="H38" s="3" t="s">
        <v>105</v>
      </c>
      <c r="I38" s="3" t="s">
        <v>105</v>
      </c>
      <c r="J38" s="3" t="s">
        <v>105</v>
      </c>
      <c r="K38" s="3" t="s">
        <v>105</v>
      </c>
      <c r="L38" s="3" t="s">
        <v>103</v>
      </c>
      <c r="M38" s="3" t="s">
        <v>103</v>
      </c>
      <c r="N38" s="3" t="s">
        <v>105</v>
      </c>
      <c r="O38" s="3" t="s">
        <v>105</v>
      </c>
      <c r="P38" s="3" t="s">
        <v>105</v>
      </c>
      <c r="Q38" s="3" t="s">
        <v>105</v>
      </c>
      <c r="R38" s="3" t="s">
        <v>105</v>
      </c>
      <c r="S38" s="3" t="s">
        <v>103</v>
      </c>
      <c r="T38" s="3" t="s">
        <v>103</v>
      </c>
      <c r="U38" s="3" t="s">
        <v>105</v>
      </c>
      <c r="V38" s="3" t="s">
        <v>105</v>
      </c>
      <c r="W38" s="3" t="s">
        <v>105</v>
      </c>
      <c r="X38" s="3" t="s">
        <v>105</v>
      </c>
      <c r="Y38" s="3" t="s">
        <v>105</v>
      </c>
      <c r="Z38" s="3" t="s">
        <v>103</v>
      </c>
      <c r="AA38" s="3" t="s">
        <v>103</v>
      </c>
      <c r="AB38" s="3" t="s">
        <v>105</v>
      </c>
      <c r="AC38" s="3" t="s">
        <v>105</v>
      </c>
      <c r="AD38" s="3" t="s">
        <v>105</v>
      </c>
      <c r="AE38" s="3" t="s">
        <v>105</v>
      </c>
      <c r="AF38" s="3" t="s">
        <v>105</v>
      </c>
      <c r="AG38" s="3" t="s">
        <v>103</v>
      </c>
      <c r="AH38" s="4">
        <f t="shared" si="2"/>
        <v>0</v>
      </c>
      <c r="AI38" s="4">
        <f t="shared" si="3"/>
        <v>21</v>
      </c>
    </row>
    <row r="39" spans="2:36" ht="20.100000000000001" hidden="1" customHeight="1" outlineLevel="1" x14ac:dyDescent="0.4">
      <c r="B39" s="4" t="s">
        <v>349</v>
      </c>
      <c r="C39" s="3" t="s">
        <v>104</v>
      </c>
      <c r="D39" s="3" t="s">
        <v>105</v>
      </c>
      <c r="E39" s="3" t="s">
        <v>103</v>
      </c>
      <c r="F39" s="3" t="s">
        <v>103</v>
      </c>
      <c r="G39" s="3" t="s">
        <v>105</v>
      </c>
      <c r="H39" s="3" t="s">
        <v>105</v>
      </c>
      <c r="I39" s="3" t="s">
        <v>105</v>
      </c>
      <c r="J39" s="3" t="s">
        <v>105</v>
      </c>
      <c r="K39" s="3" t="s">
        <v>105</v>
      </c>
      <c r="L39" s="3" t="s">
        <v>103</v>
      </c>
      <c r="M39" s="3" t="s">
        <v>103</v>
      </c>
      <c r="N39" s="3" t="s">
        <v>105</v>
      </c>
      <c r="O39" s="3" t="s">
        <v>105</v>
      </c>
      <c r="P39" s="3" t="s">
        <v>105</v>
      </c>
      <c r="Q39" s="3" t="s">
        <v>105</v>
      </c>
      <c r="R39" s="3" t="s">
        <v>105</v>
      </c>
      <c r="S39" s="3" t="s">
        <v>103</v>
      </c>
      <c r="T39" s="3" t="s">
        <v>103</v>
      </c>
      <c r="U39" s="3" t="s">
        <v>105</v>
      </c>
      <c r="V39" s="3" t="s">
        <v>105</v>
      </c>
      <c r="W39" s="3" t="s">
        <v>105</v>
      </c>
      <c r="X39" s="3" t="s">
        <v>105</v>
      </c>
      <c r="Y39" s="3" t="s">
        <v>105</v>
      </c>
      <c r="Z39" s="3" t="s">
        <v>103</v>
      </c>
      <c r="AA39" s="3" t="s">
        <v>103</v>
      </c>
      <c r="AB39" s="3" t="s">
        <v>105</v>
      </c>
      <c r="AC39" s="3" t="s">
        <v>105</v>
      </c>
      <c r="AD39" s="3" t="s">
        <v>105</v>
      </c>
      <c r="AE39" s="3" t="s">
        <v>105</v>
      </c>
      <c r="AF39" s="3" t="s">
        <v>105</v>
      </c>
      <c r="AG39" s="3" t="s">
        <v>103</v>
      </c>
      <c r="AH39" s="4">
        <f t="shared" si="2"/>
        <v>0</v>
      </c>
      <c r="AI39" s="4">
        <f t="shared" si="3"/>
        <v>21</v>
      </c>
    </row>
    <row r="40" spans="2:36" ht="20.100000000000001" hidden="1" customHeight="1" outlineLevel="1" x14ac:dyDescent="0.4">
      <c r="B40" s="4" t="s">
        <v>372</v>
      </c>
      <c r="C40" s="3" t="s">
        <v>104</v>
      </c>
      <c r="D40" s="3" t="s">
        <v>105</v>
      </c>
      <c r="E40" s="3" t="s">
        <v>103</v>
      </c>
      <c r="F40" s="3" t="s">
        <v>103</v>
      </c>
      <c r="G40" s="3" t="s">
        <v>105</v>
      </c>
      <c r="H40" s="3" t="s">
        <v>105</v>
      </c>
      <c r="I40" s="3" t="s">
        <v>105</v>
      </c>
      <c r="J40" s="3" t="s">
        <v>105</v>
      </c>
      <c r="K40" s="3" t="s">
        <v>105</v>
      </c>
      <c r="L40" s="3" t="s">
        <v>103</v>
      </c>
      <c r="M40" s="3" t="s">
        <v>103</v>
      </c>
      <c r="N40" s="3" t="s">
        <v>105</v>
      </c>
      <c r="O40" s="3" t="s">
        <v>105</v>
      </c>
      <c r="P40" s="3" t="s">
        <v>105</v>
      </c>
      <c r="Q40" s="3" t="s">
        <v>105</v>
      </c>
      <c r="R40" s="3" t="s">
        <v>105</v>
      </c>
      <c r="S40" s="3" t="s">
        <v>103</v>
      </c>
      <c r="T40" s="3" t="s">
        <v>103</v>
      </c>
      <c r="U40" s="3" t="s">
        <v>105</v>
      </c>
      <c r="V40" s="3" t="s">
        <v>105</v>
      </c>
      <c r="W40" s="3" t="s">
        <v>105</v>
      </c>
      <c r="X40" s="3" t="s">
        <v>105</v>
      </c>
      <c r="Y40" s="3" t="s">
        <v>105</v>
      </c>
      <c r="Z40" s="3" t="s">
        <v>103</v>
      </c>
      <c r="AA40" s="3" t="s">
        <v>103</v>
      </c>
      <c r="AB40" s="3" t="s">
        <v>105</v>
      </c>
      <c r="AC40" s="3" t="s">
        <v>105</v>
      </c>
      <c r="AD40" s="3" t="s">
        <v>105</v>
      </c>
      <c r="AE40" s="3" t="s">
        <v>105</v>
      </c>
      <c r="AF40" s="3" t="s">
        <v>105</v>
      </c>
      <c r="AG40" s="3" t="s">
        <v>103</v>
      </c>
      <c r="AH40" s="4">
        <f t="shared" si="2"/>
        <v>0</v>
      </c>
      <c r="AI40" s="4">
        <f t="shared" si="3"/>
        <v>21</v>
      </c>
    </row>
    <row r="41" spans="2:36" ht="20.100000000000001" hidden="1" customHeight="1" outlineLevel="1" x14ac:dyDescent="0.4">
      <c r="B41" s="4" t="s">
        <v>373</v>
      </c>
      <c r="C41" s="3" t="s">
        <v>104</v>
      </c>
      <c r="D41" s="3" t="s">
        <v>105</v>
      </c>
      <c r="E41" s="3" t="s">
        <v>103</v>
      </c>
      <c r="F41" s="3" t="s">
        <v>103</v>
      </c>
      <c r="G41" s="3" t="s">
        <v>105</v>
      </c>
      <c r="H41" s="3" t="s">
        <v>105</v>
      </c>
      <c r="I41" s="3" t="s">
        <v>105</v>
      </c>
      <c r="J41" s="3" t="s">
        <v>105</v>
      </c>
      <c r="K41" s="3" t="s">
        <v>105</v>
      </c>
      <c r="L41" s="3" t="s">
        <v>103</v>
      </c>
      <c r="M41" s="3" t="s">
        <v>103</v>
      </c>
      <c r="N41" s="3" t="s">
        <v>105</v>
      </c>
      <c r="O41" s="3" t="s">
        <v>105</v>
      </c>
      <c r="P41" s="3" t="s">
        <v>105</v>
      </c>
      <c r="Q41" s="3" t="s">
        <v>105</v>
      </c>
      <c r="R41" s="3" t="s">
        <v>105</v>
      </c>
      <c r="S41" s="3" t="s">
        <v>103</v>
      </c>
      <c r="T41" s="3" t="s">
        <v>103</v>
      </c>
      <c r="U41" s="3" t="s">
        <v>105</v>
      </c>
      <c r="V41" s="3" t="s">
        <v>105</v>
      </c>
      <c r="W41" s="3" t="s">
        <v>105</v>
      </c>
      <c r="X41" s="3" t="s">
        <v>105</v>
      </c>
      <c r="Y41" s="3" t="s">
        <v>105</v>
      </c>
      <c r="Z41" s="3" t="s">
        <v>103</v>
      </c>
      <c r="AA41" s="3" t="s">
        <v>103</v>
      </c>
      <c r="AB41" s="3" t="s">
        <v>105</v>
      </c>
      <c r="AC41" s="3" t="s">
        <v>105</v>
      </c>
      <c r="AD41" s="3" t="s">
        <v>105</v>
      </c>
      <c r="AE41" s="3" t="s">
        <v>105</v>
      </c>
      <c r="AF41" s="3" t="s">
        <v>105</v>
      </c>
      <c r="AG41" s="3" t="s">
        <v>103</v>
      </c>
      <c r="AH41" s="4">
        <f t="shared" si="2"/>
        <v>0</v>
      </c>
      <c r="AI41" s="4">
        <f t="shared" si="3"/>
        <v>21</v>
      </c>
    </row>
    <row r="42" spans="2:36" s="203" customFormat="1" ht="20.100000000000001" hidden="1" customHeight="1" outlineLevel="1" collapsed="1" x14ac:dyDescent="0.4">
      <c r="C42" s="229"/>
      <c r="D42" s="229"/>
      <c r="E42" s="229"/>
      <c r="F42" s="229"/>
      <c r="G42" s="229"/>
      <c r="H42" s="229"/>
      <c r="I42" s="229"/>
      <c r="J42" s="229"/>
      <c r="K42" s="229"/>
      <c r="L42" s="229"/>
      <c r="M42" s="229"/>
      <c r="O42" s="229"/>
      <c r="P42" s="229"/>
      <c r="Q42" s="229"/>
      <c r="R42" s="229"/>
      <c r="S42" s="229"/>
      <c r="T42" s="229"/>
      <c r="U42" s="229"/>
      <c r="V42" s="229"/>
      <c r="W42" s="229"/>
      <c r="X42" s="229"/>
      <c r="Y42" s="229"/>
      <c r="Z42" s="229"/>
      <c r="AA42" s="229"/>
      <c r="AB42" s="229"/>
      <c r="AC42" s="229"/>
      <c r="AD42" s="229"/>
      <c r="AE42" s="229"/>
      <c r="AF42" s="229"/>
      <c r="AG42" s="229"/>
      <c r="AI42" s="201">
        <f>AI45*7.5</f>
        <v>157.5</v>
      </c>
    </row>
    <row r="43" spans="2:36" ht="20.100000000000001" hidden="1" customHeight="1" outlineLevel="1" x14ac:dyDescent="0.4">
      <c r="B43" s="607">
        <v>45809</v>
      </c>
      <c r="C43" s="6">
        <v>1</v>
      </c>
      <c r="D43" s="6">
        <v>2</v>
      </c>
      <c r="E43" s="6">
        <v>3</v>
      </c>
      <c r="F43" s="6">
        <v>4</v>
      </c>
      <c r="G43" s="6">
        <v>5</v>
      </c>
      <c r="H43" s="6">
        <v>6</v>
      </c>
      <c r="I43" s="6">
        <v>7</v>
      </c>
      <c r="J43" s="6">
        <v>8</v>
      </c>
      <c r="K43" s="6">
        <v>9</v>
      </c>
      <c r="L43" s="6">
        <v>10</v>
      </c>
      <c r="M43" s="6">
        <v>11</v>
      </c>
      <c r="N43" s="6">
        <v>12</v>
      </c>
      <c r="O43" s="6">
        <v>13</v>
      </c>
      <c r="P43" s="6">
        <v>14</v>
      </c>
      <c r="Q43" s="6">
        <v>15</v>
      </c>
      <c r="R43" s="6">
        <v>16</v>
      </c>
      <c r="S43" s="6">
        <v>17</v>
      </c>
      <c r="T43" s="6">
        <v>18</v>
      </c>
      <c r="U43" s="6">
        <v>19</v>
      </c>
      <c r="V43" s="6">
        <v>20</v>
      </c>
      <c r="W43" s="6">
        <v>21</v>
      </c>
      <c r="X43" s="6">
        <v>22</v>
      </c>
      <c r="Y43" s="6">
        <v>23</v>
      </c>
      <c r="Z43" s="6">
        <v>24</v>
      </c>
      <c r="AA43" s="6">
        <v>25</v>
      </c>
      <c r="AB43" s="6">
        <v>26</v>
      </c>
      <c r="AC43" s="6">
        <v>27</v>
      </c>
      <c r="AD43" s="6">
        <v>28</v>
      </c>
      <c r="AE43" s="6">
        <v>29</v>
      </c>
      <c r="AF43" s="6">
        <v>30</v>
      </c>
      <c r="AG43" s="6"/>
      <c r="AH43" s="473" t="s">
        <v>106</v>
      </c>
      <c r="AI43" s="478" t="s">
        <v>107</v>
      </c>
      <c r="AJ43" s="189" t="s">
        <v>533</v>
      </c>
    </row>
    <row r="44" spans="2:36" ht="20.100000000000001" hidden="1" customHeight="1" outlineLevel="1" x14ac:dyDescent="0.4">
      <c r="B44" s="608"/>
      <c r="C44" s="6" t="s">
        <v>112</v>
      </c>
      <c r="D44" s="6" t="s">
        <v>70</v>
      </c>
      <c r="E44" s="6" t="s">
        <v>72</v>
      </c>
      <c r="F44" s="6" t="s">
        <v>108</v>
      </c>
      <c r="G44" s="6" t="s">
        <v>109</v>
      </c>
      <c r="H44" s="6" t="s">
        <v>110</v>
      </c>
      <c r="I44" s="6" t="s">
        <v>111</v>
      </c>
      <c r="J44" s="6" t="s">
        <v>112</v>
      </c>
      <c r="K44" s="6" t="s">
        <v>70</v>
      </c>
      <c r="L44" s="6" t="s">
        <v>72</v>
      </c>
      <c r="M44" s="6" t="s">
        <v>108</v>
      </c>
      <c r="N44" s="6" t="s">
        <v>109</v>
      </c>
      <c r="O44" s="6" t="s">
        <v>110</v>
      </c>
      <c r="P44" s="6" t="s">
        <v>111</v>
      </c>
      <c r="Q44" s="6" t="s">
        <v>112</v>
      </c>
      <c r="R44" s="6" t="s">
        <v>70</v>
      </c>
      <c r="S44" s="6" t="s">
        <v>72</v>
      </c>
      <c r="T44" s="6" t="s">
        <v>108</v>
      </c>
      <c r="U44" s="6" t="s">
        <v>109</v>
      </c>
      <c r="V44" s="6" t="s">
        <v>110</v>
      </c>
      <c r="W44" s="6" t="s">
        <v>111</v>
      </c>
      <c r="X44" s="6" t="s">
        <v>112</v>
      </c>
      <c r="Y44" s="6" t="s">
        <v>70</v>
      </c>
      <c r="Z44" s="6" t="s">
        <v>72</v>
      </c>
      <c r="AA44" s="6" t="s">
        <v>108</v>
      </c>
      <c r="AB44" s="6" t="s">
        <v>109</v>
      </c>
      <c r="AC44" s="6" t="s">
        <v>110</v>
      </c>
      <c r="AD44" s="6" t="s">
        <v>111</v>
      </c>
      <c r="AE44" s="6" t="s">
        <v>112</v>
      </c>
      <c r="AF44" s="6" t="s">
        <v>70</v>
      </c>
      <c r="AG44" s="6"/>
      <c r="AH44" s="475"/>
      <c r="AI44" s="480"/>
      <c r="AJ44" s="189" t="s">
        <v>534</v>
      </c>
    </row>
    <row r="45" spans="2:36" s="201" customFormat="1" ht="20.100000000000001" hidden="1" customHeight="1" outlineLevel="1" x14ac:dyDescent="0.4">
      <c r="B45" s="4" t="s">
        <v>163</v>
      </c>
      <c r="C45" s="3" t="s">
        <v>103</v>
      </c>
      <c r="D45" s="3" t="s">
        <v>105</v>
      </c>
      <c r="E45" s="3" t="s">
        <v>105</v>
      </c>
      <c r="F45" s="3" t="s">
        <v>105</v>
      </c>
      <c r="G45" s="3" t="s">
        <v>105</v>
      </c>
      <c r="H45" s="3" t="s">
        <v>105</v>
      </c>
      <c r="I45" s="3" t="s">
        <v>103</v>
      </c>
      <c r="J45" s="3" t="s">
        <v>103</v>
      </c>
      <c r="K45" s="3" t="s">
        <v>105</v>
      </c>
      <c r="L45" s="3" t="s">
        <v>105</v>
      </c>
      <c r="M45" s="3" t="s">
        <v>105</v>
      </c>
      <c r="N45" s="3" t="s">
        <v>105</v>
      </c>
      <c r="O45" s="3" t="s">
        <v>105</v>
      </c>
      <c r="P45" s="3" t="s">
        <v>103</v>
      </c>
      <c r="Q45" s="3" t="s">
        <v>103</v>
      </c>
      <c r="R45" s="3" t="s">
        <v>105</v>
      </c>
      <c r="S45" s="3" t="s">
        <v>105</v>
      </c>
      <c r="T45" s="3" t="s">
        <v>105</v>
      </c>
      <c r="U45" s="3" t="s">
        <v>105</v>
      </c>
      <c r="V45" s="3" t="s">
        <v>105</v>
      </c>
      <c r="W45" s="3" t="s">
        <v>103</v>
      </c>
      <c r="X45" s="3" t="s">
        <v>103</v>
      </c>
      <c r="Y45" s="3" t="s">
        <v>105</v>
      </c>
      <c r="Z45" s="3" t="s">
        <v>105</v>
      </c>
      <c r="AA45" s="3" t="s">
        <v>105</v>
      </c>
      <c r="AB45" s="3" t="s">
        <v>105</v>
      </c>
      <c r="AC45" s="3" t="s">
        <v>105</v>
      </c>
      <c r="AD45" s="3" t="s">
        <v>103</v>
      </c>
      <c r="AE45" s="3" t="s">
        <v>103</v>
      </c>
      <c r="AF45" s="3" t="s">
        <v>105</v>
      </c>
      <c r="AG45" s="3"/>
      <c r="AH45" s="4">
        <f>COUNTIF(C45:AG45,"L")</f>
        <v>0</v>
      </c>
      <c r="AI45" s="4">
        <f>COUNTIF(C45:AG45,"A")</f>
        <v>21</v>
      </c>
      <c r="AJ45" s="189" t="s">
        <v>535</v>
      </c>
    </row>
    <row r="46" spans="2:36" s="201" customFormat="1" ht="20.100000000000001" hidden="1" customHeight="1" outlineLevel="1" x14ac:dyDescent="0.4">
      <c r="B46" s="4" t="s">
        <v>368</v>
      </c>
      <c r="C46" s="3" t="s">
        <v>103</v>
      </c>
      <c r="D46" s="3" t="s">
        <v>105</v>
      </c>
      <c r="E46" s="3" t="s">
        <v>105</v>
      </c>
      <c r="F46" s="3" t="s">
        <v>105</v>
      </c>
      <c r="G46" s="3" t="s">
        <v>105</v>
      </c>
      <c r="H46" s="3" t="s">
        <v>105</v>
      </c>
      <c r="I46" s="3" t="s">
        <v>103</v>
      </c>
      <c r="J46" s="3" t="s">
        <v>103</v>
      </c>
      <c r="K46" s="3" t="s">
        <v>105</v>
      </c>
      <c r="L46" s="3" t="s">
        <v>105</v>
      </c>
      <c r="M46" s="3" t="s">
        <v>105</v>
      </c>
      <c r="N46" s="3" t="s">
        <v>105</v>
      </c>
      <c r="O46" s="3" t="s">
        <v>105</v>
      </c>
      <c r="P46" s="3" t="s">
        <v>103</v>
      </c>
      <c r="Q46" s="3" t="s">
        <v>103</v>
      </c>
      <c r="R46" s="3" t="s">
        <v>105</v>
      </c>
      <c r="S46" s="3" t="s">
        <v>105</v>
      </c>
      <c r="T46" s="3" t="s">
        <v>105</v>
      </c>
      <c r="U46" s="3" t="s">
        <v>105</v>
      </c>
      <c r="V46" s="3" t="s">
        <v>105</v>
      </c>
      <c r="W46" s="3" t="s">
        <v>103</v>
      </c>
      <c r="X46" s="3" t="s">
        <v>103</v>
      </c>
      <c r="Y46" s="3" t="s">
        <v>105</v>
      </c>
      <c r="Z46" s="3" t="s">
        <v>105</v>
      </c>
      <c r="AA46" s="3" t="s">
        <v>105</v>
      </c>
      <c r="AB46" s="3" t="s">
        <v>105</v>
      </c>
      <c r="AC46" s="3" t="s">
        <v>105</v>
      </c>
      <c r="AD46" s="3" t="s">
        <v>103</v>
      </c>
      <c r="AE46" s="3" t="s">
        <v>103</v>
      </c>
      <c r="AF46" s="3" t="s">
        <v>105</v>
      </c>
      <c r="AG46" s="3"/>
      <c r="AH46" s="4">
        <f t="shared" ref="AH46:AH54" si="4">COUNTIF(C46:AG46,"L")</f>
        <v>0</v>
      </c>
      <c r="AI46" s="4">
        <f t="shared" ref="AI46:AI54" si="5">COUNTIF(C46:AG46,"A")</f>
        <v>21</v>
      </c>
      <c r="AJ46" s="189" t="s">
        <v>536</v>
      </c>
    </row>
    <row r="47" spans="2:36" s="201" customFormat="1" ht="20.100000000000001" hidden="1" customHeight="1" outlineLevel="1" x14ac:dyDescent="0.4">
      <c r="B47" s="4" t="s">
        <v>172</v>
      </c>
      <c r="C47" s="3" t="s">
        <v>103</v>
      </c>
      <c r="D47" s="3" t="s">
        <v>105</v>
      </c>
      <c r="E47" s="3" t="s">
        <v>105</v>
      </c>
      <c r="F47" s="3" t="s">
        <v>105</v>
      </c>
      <c r="G47" s="3" t="s">
        <v>105</v>
      </c>
      <c r="H47" s="3" t="s">
        <v>105</v>
      </c>
      <c r="I47" s="3" t="s">
        <v>103</v>
      </c>
      <c r="J47" s="3" t="s">
        <v>103</v>
      </c>
      <c r="K47" s="3" t="s">
        <v>105</v>
      </c>
      <c r="L47" s="3" t="s">
        <v>105</v>
      </c>
      <c r="M47" s="3" t="s">
        <v>105</v>
      </c>
      <c r="N47" s="3" t="s">
        <v>105</v>
      </c>
      <c r="O47" s="3" t="s">
        <v>105</v>
      </c>
      <c r="P47" s="3" t="s">
        <v>103</v>
      </c>
      <c r="Q47" s="3" t="s">
        <v>103</v>
      </c>
      <c r="R47" s="3" t="s">
        <v>105</v>
      </c>
      <c r="S47" s="3" t="s">
        <v>105</v>
      </c>
      <c r="T47" s="3" t="s">
        <v>105</v>
      </c>
      <c r="U47" s="3" t="s">
        <v>105</v>
      </c>
      <c r="V47" s="3" t="s">
        <v>105</v>
      </c>
      <c r="W47" s="3" t="s">
        <v>103</v>
      </c>
      <c r="X47" s="3" t="s">
        <v>103</v>
      </c>
      <c r="Y47" s="3" t="s">
        <v>105</v>
      </c>
      <c r="Z47" s="3" t="s">
        <v>105</v>
      </c>
      <c r="AA47" s="3" t="s">
        <v>105</v>
      </c>
      <c r="AB47" s="3" t="s">
        <v>105</v>
      </c>
      <c r="AC47" s="3" t="s">
        <v>105</v>
      </c>
      <c r="AD47" s="3" t="s">
        <v>103</v>
      </c>
      <c r="AE47" s="3" t="s">
        <v>103</v>
      </c>
      <c r="AF47" s="3" t="s">
        <v>105</v>
      </c>
      <c r="AG47" s="3"/>
      <c r="AH47" s="4">
        <f t="shared" si="4"/>
        <v>0</v>
      </c>
      <c r="AI47" s="4">
        <f t="shared" si="5"/>
        <v>21</v>
      </c>
      <c r="AJ47" s="189"/>
    </row>
    <row r="48" spans="2:36" s="201" customFormat="1" ht="20.100000000000001" hidden="1" customHeight="1" outlineLevel="1" x14ac:dyDescent="0.4">
      <c r="B48" s="4" t="s">
        <v>331</v>
      </c>
      <c r="C48" s="3" t="s">
        <v>103</v>
      </c>
      <c r="D48" s="3" t="s">
        <v>105</v>
      </c>
      <c r="E48" s="3" t="s">
        <v>105</v>
      </c>
      <c r="F48" s="3" t="s">
        <v>105</v>
      </c>
      <c r="G48" s="3" t="s">
        <v>105</v>
      </c>
      <c r="H48" s="3" t="s">
        <v>105</v>
      </c>
      <c r="I48" s="3" t="s">
        <v>103</v>
      </c>
      <c r="J48" s="3" t="s">
        <v>103</v>
      </c>
      <c r="K48" s="3" t="s">
        <v>105</v>
      </c>
      <c r="L48" s="3" t="s">
        <v>105</v>
      </c>
      <c r="M48" s="3" t="s">
        <v>105</v>
      </c>
      <c r="N48" s="3" t="s">
        <v>105</v>
      </c>
      <c r="O48" s="3" t="s">
        <v>105</v>
      </c>
      <c r="P48" s="3" t="s">
        <v>103</v>
      </c>
      <c r="Q48" s="3" t="s">
        <v>103</v>
      </c>
      <c r="R48" s="3" t="s">
        <v>105</v>
      </c>
      <c r="S48" s="3" t="s">
        <v>105</v>
      </c>
      <c r="T48" s="3" t="s">
        <v>105</v>
      </c>
      <c r="U48" s="3" t="s">
        <v>105</v>
      </c>
      <c r="V48" s="3" t="s">
        <v>105</v>
      </c>
      <c r="W48" s="3" t="s">
        <v>103</v>
      </c>
      <c r="X48" s="3" t="s">
        <v>103</v>
      </c>
      <c r="Y48" s="3" t="s">
        <v>105</v>
      </c>
      <c r="Z48" s="3" t="s">
        <v>105</v>
      </c>
      <c r="AA48" s="3" t="s">
        <v>105</v>
      </c>
      <c r="AB48" s="3" t="s">
        <v>105</v>
      </c>
      <c r="AC48" s="3" t="s">
        <v>105</v>
      </c>
      <c r="AD48" s="3" t="s">
        <v>103</v>
      </c>
      <c r="AE48" s="3" t="s">
        <v>103</v>
      </c>
      <c r="AF48" s="3" t="s">
        <v>105</v>
      </c>
      <c r="AG48" s="3"/>
      <c r="AH48" s="4">
        <f t="shared" si="4"/>
        <v>0</v>
      </c>
      <c r="AI48" s="4">
        <f t="shared" si="5"/>
        <v>21</v>
      </c>
      <c r="AJ48" s="189"/>
    </row>
    <row r="49" spans="2:36" s="201" customFormat="1" ht="20.100000000000001" hidden="1" customHeight="1" outlineLevel="1" x14ac:dyDescent="0.4">
      <c r="B49" s="4" t="s">
        <v>369</v>
      </c>
      <c r="C49" s="3" t="s">
        <v>103</v>
      </c>
      <c r="D49" s="3" t="s">
        <v>105</v>
      </c>
      <c r="E49" s="3" t="s">
        <v>105</v>
      </c>
      <c r="F49" s="3" t="s">
        <v>105</v>
      </c>
      <c r="G49" s="3" t="s">
        <v>105</v>
      </c>
      <c r="H49" s="3" t="s">
        <v>105</v>
      </c>
      <c r="I49" s="3" t="s">
        <v>103</v>
      </c>
      <c r="J49" s="3" t="s">
        <v>103</v>
      </c>
      <c r="K49" s="3" t="s">
        <v>105</v>
      </c>
      <c r="L49" s="3" t="s">
        <v>105</v>
      </c>
      <c r="M49" s="3" t="s">
        <v>105</v>
      </c>
      <c r="N49" s="3" t="s">
        <v>105</v>
      </c>
      <c r="O49" s="3" t="s">
        <v>105</v>
      </c>
      <c r="P49" s="3" t="s">
        <v>103</v>
      </c>
      <c r="Q49" s="3" t="s">
        <v>103</v>
      </c>
      <c r="R49" s="3" t="s">
        <v>105</v>
      </c>
      <c r="S49" s="3" t="s">
        <v>105</v>
      </c>
      <c r="T49" s="3" t="s">
        <v>105</v>
      </c>
      <c r="U49" s="3" t="s">
        <v>105</v>
      </c>
      <c r="V49" s="3" t="s">
        <v>105</v>
      </c>
      <c r="W49" s="3" t="s">
        <v>103</v>
      </c>
      <c r="X49" s="3" t="s">
        <v>103</v>
      </c>
      <c r="Y49" s="3" t="s">
        <v>105</v>
      </c>
      <c r="Z49" s="3" t="s">
        <v>105</v>
      </c>
      <c r="AA49" s="3" t="s">
        <v>105</v>
      </c>
      <c r="AB49" s="3" t="s">
        <v>105</v>
      </c>
      <c r="AC49" s="3" t="s">
        <v>105</v>
      </c>
      <c r="AD49" s="3" t="s">
        <v>103</v>
      </c>
      <c r="AE49" s="3" t="s">
        <v>103</v>
      </c>
      <c r="AF49" s="3" t="s">
        <v>105</v>
      </c>
      <c r="AG49" s="3"/>
      <c r="AH49" s="4">
        <f t="shared" si="4"/>
        <v>0</v>
      </c>
      <c r="AI49" s="4">
        <f t="shared" si="5"/>
        <v>21</v>
      </c>
      <c r="AJ49" s="189"/>
    </row>
    <row r="50" spans="2:36" s="201" customFormat="1" ht="20.100000000000001" hidden="1" customHeight="1" outlineLevel="1" x14ac:dyDescent="0.4">
      <c r="B50" s="4" t="s">
        <v>370</v>
      </c>
      <c r="C50" s="3" t="s">
        <v>103</v>
      </c>
      <c r="D50" s="3" t="s">
        <v>105</v>
      </c>
      <c r="E50" s="3" t="s">
        <v>105</v>
      </c>
      <c r="F50" s="3" t="s">
        <v>105</v>
      </c>
      <c r="G50" s="3" t="s">
        <v>105</v>
      </c>
      <c r="H50" s="3" t="s">
        <v>105</v>
      </c>
      <c r="I50" s="3" t="s">
        <v>103</v>
      </c>
      <c r="J50" s="3" t="s">
        <v>103</v>
      </c>
      <c r="K50" s="3" t="s">
        <v>105</v>
      </c>
      <c r="L50" s="3" t="s">
        <v>105</v>
      </c>
      <c r="M50" s="3" t="s">
        <v>105</v>
      </c>
      <c r="N50" s="3" t="s">
        <v>105</v>
      </c>
      <c r="O50" s="3" t="s">
        <v>105</v>
      </c>
      <c r="P50" s="3" t="s">
        <v>103</v>
      </c>
      <c r="Q50" s="3" t="s">
        <v>103</v>
      </c>
      <c r="R50" s="3" t="s">
        <v>105</v>
      </c>
      <c r="S50" s="3" t="s">
        <v>105</v>
      </c>
      <c r="T50" s="3" t="s">
        <v>105</v>
      </c>
      <c r="U50" s="3" t="s">
        <v>105</v>
      </c>
      <c r="V50" s="3" t="s">
        <v>105</v>
      </c>
      <c r="W50" s="3" t="s">
        <v>103</v>
      </c>
      <c r="X50" s="3" t="s">
        <v>103</v>
      </c>
      <c r="Y50" s="3" t="s">
        <v>105</v>
      </c>
      <c r="Z50" s="3" t="s">
        <v>105</v>
      </c>
      <c r="AA50" s="3" t="s">
        <v>105</v>
      </c>
      <c r="AB50" s="3" t="s">
        <v>105</v>
      </c>
      <c r="AC50" s="3" t="s">
        <v>105</v>
      </c>
      <c r="AD50" s="3" t="s">
        <v>103</v>
      </c>
      <c r="AE50" s="3" t="s">
        <v>103</v>
      </c>
      <c r="AF50" s="3" t="s">
        <v>105</v>
      </c>
      <c r="AG50" s="3"/>
      <c r="AH50" s="4">
        <f t="shared" si="4"/>
        <v>0</v>
      </c>
      <c r="AI50" s="4">
        <f t="shared" si="5"/>
        <v>21</v>
      </c>
    </row>
    <row r="51" spans="2:36" s="201" customFormat="1" ht="20.100000000000001" hidden="1" customHeight="1" outlineLevel="1" x14ac:dyDescent="0.4">
      <c r="B51" s="4" t="s">
        <v>371</v>
      </c>
      <c r="C51" s="3" t="s">
        <v>103</v>
      </c>
      <c r="D51" s="3" t="s">
        <v>105</v>
      </c>
      <c r="E51" s="3" t="s">
        <v>105</v>
      </c>
      <c r="F51" s="3" t="s">
        <v>105</v>
      </c>
      <c r="G51" s="3" t="s">
        <v>105</v>
      </c>
      <c r="H51" s="3" t="s">
        <v>105</v>
      </c>
      <c r="I51" s="3" t="s">
        <v>103</v>
      </c>
      <c r="J51" s="3" t="s">
        <v>103</v>
      </c>
      <c r="K51" s="3" t="s">
        <v>105</v>
      </c>
      <c r="L51" s="3" t="s">
        <v>105</v>
      </c>
      <c r="M51" s="3" t="s">
        <v>105</v>
      </c>
      <c r="N51" s="3" t="s">
        <v>105</v>
      </c>
      <c r="O51" s="3" t="s">
        <v>105</v>
      </c>
      <c r="P51" s="3" t="s">
        <v>103</v>
      </c>
      <c r="Q51" s="3" t="s">
        <v>103</v>
      </c>
      <c r="R51" s="3" t="s">
        <v>105</v>
      </c>
      <c r="S51" s="3" t="s">
        <v>105</v>
      </c>
      <c r="T51" s="3" t="s">
        <v>105</v>
      </c>
      <c r="U51" s="3" t="s">
        <v>105</v>
      </c>
      <c r="V51" s="3" t="s">
        <v>105</v>
      </c>
      <c r="W51" s="3" t="s">
        <v>103</v>
      </c>
      <c r="X51" s="3" t="s">
        <v>103</v>
      </c>
      <c r="Y51" s="3" t="s">
        <v>105</v>
      </c>
      <c r="Z51" s="3" t="s">
        <v>105</v>
      </c>
      <c r="AA51" s="3" t="s">
        <v>105</v>
      </c>
      <c r="AB51" s="3" t="s">
        <v>105</v>
      </c>
      <c r="AC51" s="3" t="s">
        <v>105</v>
      </c>
      <c r="AD51" s="3" t="s">
        <v>103</v>
      </c>
      <c r="AE51" s="3" t="s">
        <v>103</v>
      </c>
      <c r="AF51" s="3" t="s">
        <v>105</v>
      </c>
      <c r="AG51" s="3"/>
      <c r="AH51" s="4">
        <f t="shared" si="4"/>
        <v>0</v>
      </c>
      <c r="AI51" s="4">
        <f t="shared" si="5"/>
        <v>21</v>
      </c>
    </row>
    <row r="52" spans="2:36" s="201" customFormat="1" ht="20.100000000000001" hidden="1" customHeight="1" outlineLevel="1" x14ac:dyDescent="0.4">
      <c r="B52" s="4" t="s">
        <v>349</v>
      </c>
      <c r="C52" s="3" t="s">
        <v>103</v>
      </c>
      <c r="D52" s="3" t="s">
        <v>105</v>
      </c>
      <c r="E52" s="3" t="s">
        <v>105</v>
      </c>
      <c r="F52" s="3" t="s">
        <v>105</v>
      </c>
      <c r="G52" s="3" t="s">
        <v>105</v>
      </c>
      <c r="H52" s="3" t="s">
        <v>105</v>
      </c>
      <c r="I52" s="3" t="s">
        <v>103</v>
      </c>
      <c r="J52" s="3" t="s">
        <v>103</v>
      </c>
      <c r="K52" s="3" t="s">
        <v>105</v>
      </c>
      <c r="L52" s="3" t="s">
        <v>105</v>
      </c>
      <c r="M52" s="3" t="s">
        <v>105</v>
      </c>
      <c r="N52" s="3" t="s">
        <v>105</v>
      </c>
      <c r="O52" s="3" t="s">
        <v>105</v>
      </c>
      <c r="P52" s="3" t="s">
        <v>103</v>
      </c>
      <c r="Q52" s="3" t="s">
        <v>103</v>
      </c>
      <c r="R52" s="3" t="s">
        <v>105</v>
      </c>
      <c r="S52" s="3" t="s">
        <v>105</v>
      </c>
      <c r="T52" s="3" t="s">
        <v>105</v>
      </c>
      <c r="U52" s="3" t="s">
        <v>105</v>
      </c>
      <c r="V52" s="3" t="s">
        <v>105</v>
      </c>
      <c r="W52" s="3" t="s">
        <v>103</v>
      </c>
      <c r="X52" s="3" t="s">
        <v>103</v>
      </c>
      <c r="Y52" s="3" t="s">
        <v>105</v>
      </c>
      <c r="Z52" s="3" t="s">
        <v>105</v>
      </c>
      <c r="AA52" s="3" t="s">
        <v>105</v>
      </c>
      <c r="AB52" s="3" t="s">
        <v>105</v>
      </c>
      <c r="AC52" s="3" t="s">
        <v>105</v>
      </c>
      <c r="AD52" s="3" t="s">
        <v>103</v>
      </c>
      <c r="AE52" s="3" t="s">
        <v>103</v>
      </c>
      <c r="AF52" s="3" t="s">
        <v>105</v>
      </c>
      <c r="AG52" s="3"/>
      <c r="AH52" s="4">
        <f t="shared" si="4"/>
        <v>0</v>
      </c>
      <c r="AI52" s="4">
        <f t="shared" si="5"/>
        <v>21</v>
      </c>
    </row>
    <row r="53" spans="2:36" s="201" customFormat="1" ht="20.100000000000001" hidden="1" customHeight="1" outlineLevel="1" x14ac:dyDescent="0.4">
      <c r="B53" s="4" t="s">
        <v>372</v>
      </c>
      <c r="C53" s="3" t="s">
        <v>103</v>
      </c>
      <c r="D53" s="3" t="s">
        <v>105</v>
      </c>
      <c r="E53" s="3" t="s">
        <v>105</v>
      </c>
      <c r="F53" s="3" t="s">
        <v>105</v>
      </c>
      <c r="G53" s="3" t="s">
        <v>105</v>
      </c>
      <c r="H53" s="3" t="s">
        <v>105</v>
      </c>
      <c r="I53" s="3" t="s">
        <v>103</v>
      </c>
      <c r="J53" s="3" t="s">
        <v>103</v>
      </c>
      <c r="K53" s="3" t="s">
        <v>105</v>
      </c>
      <c r="L53" s="3" t="s">
        <v>105</v>
      </c>
      <c r="M53" s="3" t="s">
        <v>105</v>
      </c>
      <c r="N53" s="3" t="s">
        <v>105</v>
      </c>
      <c r="O53" s="3" t="s">
        <v>105</v>
      </c>
      <c r="P53" s="3" t="s">
        <v>103</v>
      </c>
      <c r="Q53" s="3" t="s">
        <v>103</v>
      </c>
      <c r="R53" s="3" t="s">
        <v>105</v>
      </c>
      <c r="S53" s="3" t="s">
        <v>105</v>
      </c>
      <c r="T53" s="3" t="s">
        <v>105</v>
      </c>
      <c r="U53" s="3" t="s">
        <v>105</v>
      </c>
      <c r="V53" s="3" t="s">
        <v>105</v>
      </c>
      <c r="W53" s="3" t="s">
        <v>103</v>
      </c>
      <c r="X53" s="3" t="s">
        <v>103</v>
      </c>
      <c r="Y53" s="3" t="s">
        <v>105</v>
      </c>
      <c r="Z53" s="3" t="s">
        <v>105</v>
      </c>
      <c r="AA53" s="3" t="s">
        <v>105</v>
      </c>
      <c r="AB53" s="3" t="s">
        <v>105</v>
      </c>
      <c r="AC53" s="3" t="s">
        <v>105</v>
      </c>
      <c r="AD53" s="3" t="s">
        <v>103</v>
      </c>
      <c r="AE53" s="3" t="s">
        <v>103</v>
      </c>
      <c r="AF53" s="3" t="s">
        <v>105</v>
      </c>
      <c r="AG53" s="3"/>
      <c r="AH53" s="4">
        <f t="shared" si="4"/>
        <v>0</v>
      </c>
      <c r="AI53" s="4">
        <f t="shared" si="5"/>
        <v>21</v>
      </c>
    </row>
    <row r="54" spans="2:36" s="201" customFormat="1" ht="20.100000000000001" hidden="1" customHeight="1" outlineLevel="1" x14ac:dyDescent="0.4">
      <c r="B54" s="4" t="s">
        <v>373</v>
      </c>
      <c r="C54" s="3" t="s">
        <v>103</v>
      </c>
      <c r="D54" s="3" t="s">
        <v>105</v>
      </c>
      <c r="E54" s="3" t="s">
        <v>105</v>
      </c>
      <c r="F54" s="3" t="s">
        <v>105</v>
      </c>
      <c r="G54" s="3" t="s">
        <v>105</v>
      </c>
      <c r="H54" s="3" t="s">
        <v>105</v>
      </c>
      <c r="I54" s="3" t="s">
        <v>103</v>
      </c>
      <c r="J54" s="3" t="s">
        <v>103</v>
      </c>
      <c r="K54" s="3" t="s">
        <v>105</v>
      </c>
      <c r="L54" s="3" t="s">
        <v>105</v>
      </c>
      <c r="M54" s="3" t="s">
        <v>105</v>
      </c>
      <c r="N54" s="3" t="s">
        <v>105</v>
      </c>
      <c r="O54" s="3" t="s">
        <v>105</v>
      </c>
      <c r="P54" s="3" t="s">
        <v>103</v>
      </c>
      <c r="Q54" s="3" t="s">
        <v>103</v>
      </c>
      <c r="R54" s="3" t="s">
        <v>105</v>
      </c>
      <c r="S54" s="3" t="s">
        <v>105</v>
      </c>
      <c r="T54" s="3" t="s">
        <v>105</v>
      </c>
      <c r="U54" s="3" t="s">
        <v>105</v>
      </c>
      <c r="V54" s="3" t="s">
        <v>105</v>
      </c>
      <c r="W54" s="3" t="s">
        <v>103</v>
      </c>
      <c r="X54" s="3" t="s">
        <v>103</v>
      </c>
      <c r="Y54" s="3" t="s">
        <v>105</v>
      </c>
      <c r="Z54" s="3" t="s">
        <v>105</v>
      </c>
      <c r="AA54" s="3" t="s">
        <v>105</v>
      </c>
      <c r="AB54" s="3" t="s">
        <v>105</v>
      </c>
      <c r="AC54" s="3" t="s">
        <v>105</v>
      </c>
      <c r="AD54" s="3" t="s">
        <v>103</v>
      </c>
      <c r="AE54" s="3" t="s">
        <v>103</v>
      </c>
      <c r="AF54" s="3" t="s">
        <v>105</v>
      </c>
      <c r="AG54" s="3"/>
      <c r="AH54" s="4">
        <f t="shared" si="4"/>
        <v>0</v>
      </c>
      <c r="AI54" s="4">
        <f t="shared" si="5"/>
        <v>21</v>
      </c>
    </row>
    <row r="55" spans="2:36" ht="20.100000000000001" hidden="1" customHeight="1" outlineLevel="1" collapsed="1" x14ac:dyDescent="0.4">
      <c r="AI55" s="201">
        <f>AI58*7.5</f>
        <v>165</v>
      </c>
    </row>
    <row r="56" spans="2:36" ht="20.100000000000001" hidden="1" customHeight="1" outlineLevel="1" x14ac:dyDescent="0.4">
      <c r="B56" s="607">
        <f>DATE(YEAR(B43),MONTH(B43)+1,DAY(B43))</f>
        <v>45839</v>
      </c>
      <c r="C56" s="6">
        <v>1</v>
      </c>
      <c r="D56" s="6">
        <v>2</v>
      </c>
      <c r="E56" s="6">
        <v>3</v>
      </c>
      <c r="F56" s="6">
        <v>4</v>
      </c>
      <c r="G56" s="6">
        <v>5</v>
      </c>
      <c r="H56" s="6">
        <v>6</v>
      </c>
      <c r="I56" s="6">
        <v>7</v>
      </c>
      <c r="J56" s="6">
        <v>8</v>
      </c>
      <c r="K56" s="6">
        <v>9</v>
      </c>
      <c r="L56" s="6">
        <v>10</v>
      </c>
      <c r="M56" s="6">
        <v>11</v>
      </c>
      <c r="N56" s="6">
        <v>12</v>
      </c>
      <c r="O56" s="6">
        <v>13</v>
      </c>
      <c r="P56" s="6">
        <v>14</v>
      </c>
      <c r="Q56" s="6">
        <v>15</v>
      </c>
      <c r="R56" s="6">
        <v>16</v>
      </c>
      <c r="S56" s="6">
        <v>17</v>
      </c>
      <c r="T56" s="6">
        <v>18</v>
      </c>
      <c r="U56" s="6">
        <v>19</v>
      </c>
      <c r="V56" s="6">
        <v>20</v>
      </c>
      <c r="W56" s="6">
        <v>21</v>
      </c>
      <c r="X56" s="6">
        <v>22</v>
      </c>
      <c r="Y56" s="6">
        <v>23</v>
      </c>
      <c r="Z56" s="6">
        <v>24</v>
      </c>
      <c r="AA56" s="6">
        <v>25</v>
      </c>
      <c r="AB56" s="6">
        <v>26</v>
      </c>
      <c r="AC56" s="6">
        <v>27</v>
      </c>
      <c r="AD56" s="6">
        <v>28</v>
      </c>
      <c r="AE56" s="6">
        <v>29</v>
      </c>
      <c r="AF56" s="6">
        <v>30</v>
      </c>
      <c r="AG56" s="6">
        <v>31</v>
      </c>
      <c r="AH56" s="473" t="s">
        <v>106</v>
      </c>
      <c r="AI56" s="478" t="s">
        <v>107</v>
      </c>
      <c r="AJ56" s="189" t="s">
        <v>533</v>
      </c>
    </row>
    <row r="57" spans="2:36" ht="20.100000000000001" hidden="1" customHeight="1" outlineLevel="1" x14ac:dyDescent="0.4">
      <c r="B57" s="608"/>
      <c r="C57" s="6" t="s">
        <v>72</v>
      </c>
      <c r="D57" s="6" t="s">
        <v>108</v>
      </c>
      <c r="E57" s="6" t="s">
        <v>109</v>
      </c>
      <c r="F57" s="6" t="s">
        <v>110</v>
      </c>
      <c r="G57" s="6" t="s">
        <v>111</v>
      </c>
      <c r="H57" s="6" t="s">
        <v>112</v>
      </c>
      <c r="I57" s="6" t="s">
        <v>70</v>
      </c>
      <c r="J57" s="6" t="s">
        <v>72</v>
      </c>
      <c r="K57" s="6" t="s">
        <v>108</v>
      </c>
      <c r="L57" s="6" t="s">
        <v>109</v>
      </c>
      <c r="M57" s="6" t="s">
        <v>110</v>
      </c>
      <c r="N57" s="6" t="s">
        <v>111</v>
      </c>
      <c r="O57" s="6" t="s">
        <v>112</v>
      </c>
      <c r="P57" s="6" t="s">
        <v>70</v>
      </c>
      <c r="Q57" s="6" t="s">
        <v>72</v>
      </c>
      <c r="R57" s="6" t="s">
        <v>449</v>
      </c>
      <c r="S57" s="6" t="s">
        <v>109</v>
      </c>
      <c r="T57" s="6" t="s">
        <v>110</v>
      </c>
      <c r="U57" s="6" t="s">
        <v>111</v>
      </c>
      <c r="V57" s="6" t="s">
        <v>112</v>
      </c>
      <c r="W57" s="6" t="s">
        <v>70</v>
      </c>
      <c r="X57" s="6" t="s">
        <v>72</v>
      </c>
      <c r="Y57" s="6" t="s">
        <v>108</v>
      </c>
      <c r="Z57" s="6" t="s">
        <v>109</v>
      </c>
      <c r="AA57" s="6" t="s">
        <v>110</v>
      </c>
      <c r="AB57" s="6" t="s">
        <v>111</v>
      </c>
      <c r="AC57" s="6" t="s">
        <v>112</v>
      </c>
      <c r="AD57" s="6" t="s">
        <v>70</v>
      </c>
      <c r="AE57" s="6" t="s">
        <v>72</v>
      </c>
      <c r="AF57" s="6" t="s">
        <v>108</v>
      </c>
      <c r="AG57" s="6" t="s">
        <v>109</v>
      </c>
      <c r="AH57" s="475"/>
      <c r="AI57" s="480"/>
      <c r="AJ57" s="189" t="s">
        <v>534</v>
      </c>
    </row>
    <row r="58" spans="2:36" ht="20.100000000000001" hidden="1" customHeight="1" outlineLevel="1" x14ac:dyDescent="0.4">
      <c r="B58" s="4" t="s">
        <v>163</v>
      </c>
      <c r="C58" s="3" t="s">
        <v>105</v>
      </c>
      <c r="D58" s="3" t="s">
        <v>105</v>
      </c>
      <c r="E58" s="3" t="s">
        <v>105</v>
      </c>
      <c r="F58" s="3" t="s">
        <v>105</v>
      </c>
      <c r="G58" s="3" t="s">
        <v>103</v>
      </c>
      <c r="H58" s="3" t="s">
        <v>103</v>
      </c>
      <c r="I58" s="3" t="s">
        <v>105</v>
      </c>
      <c r="J58" s="3" t="s">
        <v>105</v>
      </c>
      <c r="K58" s="3" t="s">
        <v>104</v>
      </c>
      <c r="L58" s="3" t="s">
        <v>105</v>
      </c>
      <c r="M58" s="3" t="s">
        <v>105</v>
      </c>
      <c r="N58" s="3" t="s">
        <v>103</v>
      </c>
      <c r="O58" s="3" t="s">
        <v>103</v>
      </c>
      <c r="P58" s="3" t="s">
        <v>105</v>
      </c>
      <c r="Q58" s="3" t="s">
        <v>105</v>
      </c>
      <c r="R58" s="3" t="s">
        <v>105</v>
      </c>
      <c r="S58" s="3" t="s">
        <v>105</v>
      </c>
      <c r="T58" s="3" t="s">
        <v>105</v>
      </c>
      <c r="U58" s="3" t="s">
        <v>103</v>
      </c>
      <c r="V58" s="3" t="s">
        <v>103</v>
      </c>
      <c r="W58" s="3" t="s">
        <v>105</v>
      </c>
      <c r="X58" s="3" t="s">
        <v>105</v>
      </c>
      <c r="Y58" s="3" t="s">
        <v>105</v>
      </c>
      <c r="Z58" s="3" t="s">
        <v>105</v>
      </c>
      <c r="AA58" s="3" t="s">
        <v>105</v>
      </c>
      <c r="AB58" s="3" t="s">
        <v>103</v>
      </c>
      <c r="AC58" s="3" t="s">
        <v>103</v>
      </c>
      <c r="AD58" s="3" t="s">
        <v>105</v>
      </c>
      <c r="AE58" s="3" t="s">
        <v>105</v>
      </c>
      <c r="AF58" s="3" t="s">
        <v>105</v>
      </c>
      <c r="AG58" s="3" t="s">
        <v>105</v>
      </c>
      <c r="AH58" s="4">
        <f>COUNTIF(C58:AG58,"L")</f>
        <v>0</v>
      </c>
      <c r="AI58" s="4">
        <f>COUNTIF(C58:AG58,"A")</f>
        <v>22</v>
      </c>
      <c r="AJ58" s="189" t="s">
        <v>535</v>
      </c>
    </row>
    <row r="59" spans="2:36" ht="20.100000000000001" hidden="1" customHeight="1" outlineLevel="1" x14ac:dyDescent="0.4">
      <c r="B59" s="4" t="s">
        <v>368</v>
      </c>
      <c r="C59" s="3" t="s">
        <v>105</v>
      </c>
      <c r="D59" s="3" t="s">
        <v>105</v>
      </c>
      <c r="E59" s="3" t="s">
        <v>105</v>
      </c>
      <c r="F59" s="3" t="s">
        <v>105</v>
      </c>
      <c r="G59" s="3" t="s">
        <v>103</v>
      </c>
      <c r="H59" s="3" t="s">
        <v>103</v>
      </c>
      <c r="I59" s="3" t="s">
        <v>105</v>
      </c>
      <c r="J59" s="3" t="s">
        <v>105</v>
      </c>
      <c r="K59" s="3" t="s">
        <v>104</v>
      </c>
      <c r="L59" s="3" t="s">
        <v>105</v>
      </c>
      <c r="M59" s="3" t="s">
        <v>105</v>
      </c>
      <c r="N59" s="3" t="s">
        <v>103</v>
      </c>
      <c r="O59" s="3" t="s">
        <v>103</v>
      </c>
      <c r="P59" s="3" t="s">
        <v>105</v>
      </c>
      <c r="Q59" s="3" t="s">
        <v>105</v>
      </c>
      <c r="R59" s="3" t="s">
        <v>105</v>
      </c>
      <c r="S59" s="3" t="s">
        <v>105</v>
      </c>
      <c r="T59" s="3" t="s">
        <v>105</v>
      </c>
      <c r="U59" s="3" t="s">
        <v>103</v>
      </c>
      <c r="V59" s="3" t="s">
        <v>103</v>
      </c>
      <c r="W59" s="3" t="s">
        <v>105</v>
      </c>
      <c r="X59" s="3" t="s">
        <v>105</v>
      </c>
      <c r="Y59" s="3" t="s">
        <v>105</v>
      </c>
      <c r="Z59" s="3" t="s">
        <v>105</v>
      </c>
      <c r="AA59" s="3" t="s">
        <v>105</v>
      </c>
      <c r="AB59" s="3" t="s">
        <v>103</v>
      </c>
      <c r="AC59" s="3" t="s">
        <v>103</v>
      </c>
      <c r="AD59" s="3" t="s">
        <v>105</v>
      </c>
      <c r="AE59" s="3" t="s">
        <v>105</v>
      </c>
      <c r="AF59" s="3" t="s">
        <v>105</v>
      </c>
      <c r="AG59" s="3" t="s">
        <v>105</v>
      </c>
      <c r="AH59" s="4">
        <f t="shared" ref="AH59:AH61" si="6">COUNTIF(C59:AG59,"L")</f>
        <v>0</v>
      </c>
      <c r="AI59" s="4">
        <f t="shared" ref="AI59:AI61" si="7">COUNTIF(C59:AG59,"A")</f>
        <v>22</v>
      </c>
      <c r="AJ59" s="189" t="s">
        <v>536</v>
      </c>
    </row>
    <row r="60" spans="2:36" ht="20.100000000000001" hidden="1" customHeight="1" outlineLevel="1" x14ac:dyDescent="0.4">
      <c r="B60" s="4" t="s">
        <v>172</v>
      </c>
      <c r="C60" s="3" t="s">
        <v>105</v>
      </c>
      <c r="D60" s="3" t="s">
        <v>105</v>
      </c>
      <c r="E60" s="3" t="s">
        <v>105</v>
      </c>
      <c r="F60" s="3" t="s">
        <v>105</v>
      </c>
      <c r="G60" s="3" t="s">
        <v>103</v>
      </c>
      <c r="H60" s="3" t="s">
        <v>103</v>
      </c>
      <c r="I60" s="3" t="s">
        <v>105</v>
      </c>
      <c r="J60" s="3" t="s">
        <v>105</v>
      </c>
      <c r="K60" s="3" t="s">
        <v>104</v>
      </c>
      <c r="L60" s="3" t="s">
        <v>105</v>
      </c>
      <c r="M60" s="3" t="s">
        <v>105</v>
      </c>
      <c r="N60" s="3" t="s">
        <v>103</v>
      </c>
      <c r="O60" s="3" t="s">
        <v>103</v>
      </c>
      <c r="P60" s="3" t="s">
        <v>105</v>
      </c>
      <c r="Q60" s="3" t="s">
        <v>105</v>
      </c>
      <c r="R60" s="3" t="s">
        <v>105</v>
      </c>
      <c r="S60" s="3" t="s">
        <v>105</v>
      </c>
      <c r="T60" s="3" t="s">
        <v>105</v>
      </c>
      <c r="U60" s="3" t="s">
        <v>103</v>
      </c>
      <c r="V60" s="3" t="s">
        <v>103</v>
      </c>
      <c r="W60" s="3" t="s">
        <v>105</v>
      </c>
      <c r="X60" s="3" t="s">
        <v>105</v>
      </c>
      <c r="Y60" s="3" t="s">
        <v>105</v>
      </c>
      <c r="Z60" s="3" t="s">
        <v>105</v>
      </c>
      <c r="AA60" s="3" t="s">
        <v>105</v>
      </c>
      <c r="AB60" s="3" t="s">
        <v>103</v>
      </c>
      <c r="AC60" s="3" t="s">
        <v>103</v>
      </c>
      <c r="AD60" s="3" t="s">
        <v>105</v>
      </c>
      <c r="AE60" s="3" t="s">
        <v>105</v>
      </c>
      <c r="AF60" s="3" t="s">
        <v>105</v>
      </c>
      <c r="AG60" s="3" t="s">
        <v>105</v>
      </c>
      <c r="AH60" s="4">
        <f t="shared" si="6"/>
        <v>0</v>
      </c>
      <c r="AI60" s="4">
        <f t="shared" si="7"/>
        <v>22</v>
      </c>
    </row>
    <row r="61" spans="2:36" ht="20.100000000000001" hidden="1" customHeight="1" outlineLevel="1" x14ac:dyDescent="0.4">
      <c r="B61" s="4" t="s">
        <v>331</v>
      </c>
      <c r="C61" s="3" t="s">
        <v>105</v>
      </c>
      <c r="D61" s="3" t="s">
        <v>105</v>
      </c>
      <c r="E61" s="3" t="s">
        <v>105</v>
      </c>
      <c r="F61" s="3" t="s">
        <v>105</v>
      </c>
      <c r="G61" s="3" t="s">
        <v>103</v>
      </c>
      <c r="H61" s="3" t="s">
        <v>103</v>
      </c>
      <c r="I61" s="3" t="s">
        <v>105</v>
      </c>
      <c r="J61" s="3" t="s">
        <v>105</v>
      </c>
      <c r="K61" s="3" t="s">
        <v>104</v>
      </c>
      <c r="L61" s="3" t="s">
        <v>105</v>
      </c>
      <c r="M61" s="3" t="s">
        <v>105</v>
      </c>
      <c r="N61" s="3" t="s">
        <v>103</v>
      </c>
      <c r="O61" s="3" t="s">
        <v>103</v>
      </c>
      <c r="P61" s="3" t="s">
        <v>105</v>
      </c>
      <c r="Q61" s="3" t="s">
        <v>105</v>
      </c>
      <c r="R61" s="3" t="s">
        <v>105</v>
      </c>
      <c r="S61" s="3" t="s">
        <v>105</v>
      </c>
      <c r="T61" s="3" t="s">
        <v>105</v>
      </c>
      <c r="U61" s="3" t="s">
        <v>103</v>
      </c>
      <c r="V61" s="3" t="s">
        <v>103</v>
      </c>
      <c r="W61" s="3" t="s">
        <v>105</v>
      </c>
      <c r="X61" s="3" t="s">
        <v>105</v>
      </c>
      <c r="Y61" s="3" t="s">
        <v>105</v>
      </c>
      <c r="Z61" s="3" t="s">
        <v>105</v>
      </c>
      <c r="AA61" s="3" t="s">
        <v>105</v>
      </c>
      <c r="AB61" s="3" t="s">
        <v>103</v>
      </c>
      <c r="AC61" s="3" t="s">
        <v>103</v>
      </c>
      <c r="AD61" s="3" t="s">
        <v>105</v>
      </c>
      <c r="AE61" s="3" t="s">
        <v>105</v>
      </c>
      <c r="AF61" s="3" t="s">
        <v>105</v>
      </c>
      <c r="AG61" s="3" t="s">
        <v>105</v>
      </c>
      <c r="AH61" s="4">
        <f t="shared" si="6"/>
        <v>0</v>
      </c>
      <c r="AI61" s="4">
        <f t="shared" si="7"/>
        <v>22</v>
      </c>
    </row>
    <row r="62" spans="2:36" ht="20.100000000000001" hidden="1" customHeight="1" outlineLevel="1" x14ac:dyDescent="0.4">
      <c r="B62" s="4" t="s">
        <v>369</v>
      </c>
      <c r="C62" s="3" t="s">
        <v>105</v>
      </c>
      <c r="D62" s="3" t="s">
        <v>105</v>
      </c>
      <c r="E62" s="3" t="s">
        <v>105</v>
      </c>
      <c r="F62" s="3" t="s">
        <v>105</v>
      </c>
      <c r="G62" s="3" t="s">
        <v>103</v>
      </c>
      <c r="H62" s="3" t="s">
        <v>103</v>
      </c>
      <c r="I62" s="3" t="s">
        <v>105</v>
      </c>
      <c r="J62" s="3" t="s">
        <v>105</v>
      </c>
      <c r="K62" s="3" t="s">
        <v>104</v>
      </c>
      <c r="L62" s="3" t="s">
        <v>105</v>
      </c>
      <c r="M62" s="3" t="s">
        <v>105</v>
      </c>
      <c r="N62" s="3" t="s">
        <v>103</v>
      </c>
      <c r="O62" s="3" t="s">
        <v>103</v>
      </c>
      <c r="P62" s="3" t="s">
        <v>105</v>
      </c>
      <c r="Q62" s="3" t="s">
        <v>105</v>
      </c>
      <c r="R62" s="3" t="s">
        <v>105</v>
      </c>
      <c r="S62" s="3" t="s">
        <v>105</v>
      </c>
      <c r="T62" s="3" t="s">
        <v>105</v>
      </c>
      <c r="U62" s="3" t="s">
        <v>103</v>
      </c>
      <c r="V62" s="3" t="s">
        <v>103</v>
      </c>
      <c r="W62" s="3" t="s">
        <v>105</v>
      </c>
      <c r="X62" s="3" t="s">
        <v>105</v>
      </c>
      <c r="Y62" s="3" t="s">
        <v>105</v>
      </c>
      <c r="Z62" s="3" t="s">
        <v>105</v>
      </c>
      <c r="AA62" s="3" t="s">
        <v>105</v>
      </c>
      <c r="AB62" s="3" t="s">
        <v>103</v>
      </c>
      <c r="AC62" s="3" t="s">
        <v>103</v>
      </c>
      <c r="AD62" s="3" t="s">
        <v>105</v>
      </c>
      <c r="AE62" s="3" t="s">
        <v>105</v>
      </c>
      <c r="AF62" s="3" t="s">
        <v>105</v>
      </c>
      <c r="AG62" s="3" t="s">
        <v>105</v>
      </c>
      <c r="AH62" s="4">
        <f t="shared" ref="AH62:AH67" si="8">COUNTIF(C62:AG62,"L")</f>
        <v>0</v>
      </c>
      <c r="AI62" s="4">
        <f t="shared" ref="AI62:AI67" si="9">COUNTIF(C62:AG62,"A")</f>
        <v>22</v>
      </c>
    </row>
    <row r="63" spans="2:36" ht="20.100000000000001" hidden="1" customHeight="1" outlineLevel="1" x14ac:dyDescent="0.4">
      <c r="B63" s="4" t="s">
        <v>370</v>
      </c>
      <c r="C63" s="3" t="s">
        <v>105</v>
      </c>
      <c r="D63" s="3" t="s">
        <v>105</v>
      </c>
      <c r="E63" s="3" t="s">
        <v>105</v>
      </c>
      <c r="F63" s="3" t="s">
        <v>105</v>
      </c>
      <c r="G63" s="3" t="s">
        <v>103</v>
      </c>
      <c r="H63" s="3" t="s">
        <v>103</v>
      </c>
      <c r="I63" s="3" t="s">
        <v>105</v>
      </c>
      <c r="J63" s="3" t="s">
        <v>105</v>
      </c>
      <c r="K63" s="3" t="s">
        <v>104</v>
      </c>
      <c r="L63" s="3" t="s">
        <v>105</v>
      </c>
      <c r="M63" s="3" t="s">
        <v>105</v>
      </c>
      <c r="N63" s="3" t="s">
        <v>103</v>
      </c>
      <c r="O63" s="3" t="s">
        <v>103</v>
      </c>
      <c r="P63" s="3" t="s">
        <v>105</v>
      </c>
      <c r="Q63" s="3" t="s">
        <v>105</v>
      </c>
      <c r="R63" s="3" t="s">
        <v>105</v>
      </c>
      <c r="S63" s="3" t="s">
        <v>105</v>
      </c>
      <c r="T63" s="3" t="s">
        <v>105</v>
      </c>
      <c r="U63" s="3" t="s">
        <v>103</v>
      </c>
      <c r="V63" s="3" t="s">
        <v>103</v>
      </c>
      <c r="W63" s="3" t="s">
        <v>105</v>
      </c>
      <c r="X63" s="3" t="s">
        <v>105</v>
      </c>
      <c r="Y63" s="3" t="s">
        <v>105</v>
      </c>
      <c r="Z63" s="3" t="s">
        <v>105</v>
      </c>
      <c r="AA63" s="3" t="s">
        <v>105</v>
      </c>
      <c r="AB63" s="3" t="s">
        <v>103</v>
      </c>
      <c r="AC63" s="3" t="s">
        <v>103</v>
      </c>
      <c r="AD63" s="3" t="s">
        <v>105</v>
      </c>
      <c r="AE63" s="3" t="s">
        <v>105</v>
      </c>
      <c r="AF63" s="3" t="s">
        <v>105</v>
      </c>
      <c r="AG63" s="3" t="s">
        <v>105</v>
      </c>
      <c r="AH63" s="4">
        <f t="shared" si="8"/>
        <v>0</v>
      </c>
      <c r="AI63" s="4">
        <f t="shared" si="9"/>
        <v>22</v>
      </c>
    </row>
    <row r="64" spans="2:36" s="201" customFormat="1" ht="20.100000000000001" hidden="1" customHeight="1" outlineLevel="1" x14ac:dyDescent="0.4">
      <c r="B64" s="4" t="s">
        <v>371</v>
      </c>
      <c r="C64" s="3" t="s">
        <v>105</v>
      </c>
      <c r="D64" s="3" t="s">
        <v>105</v>
      </c>
      <c r="E64" s="3" t="s">
        <v>105</v>
      </c>
      <c r="F64" s="3" t="s">
        <v>105</v>
      </c>
      <c r="G64" s="3" t="s">
        <v>103</v>
      </c>
      <c r="H64" s="3" t="s">
        <v>103</v>
      </c>
      <c r="I64" s="3" t="s">
        <v>105</v>
      </c>
      <c r="J64" s="3" t="s">
        <v>105</v>
      </c>
      <c r="K64" s="3" t="s">
        <v>104</v>
      </c>
      <c r="L64" s="3" t="s">
        <v>105</v>
      </c>
      <c r="M64" s="3" t="s">
        <v>105</v>
      </c>
      <c r="N64" s="3" t="s">
        <v>103</v>
      </c>
      <c r="O64" s="3" t="s">
        <v>103</v>
      </c>
      <c r="P64" s="3" t="s">
        <v>105</v>
      </c>
      <c r="Q64" s="3" t="s">
        <v>105</v>
      </c>
      <c r="R64" s="3" t="s">
        <v>105</v>
      </c>
      <c r="S64" s="3" t="s">
        <v>105</v>
      </c>
      <c r="T64" s="3" t="s">
        <v>105</v>
      </c>
      <c r="U64" s="3" t="s">
        <v>103</v>
      </c>
      <c r="V64" s="3" t="s">
        <v>103</v>
      </c>
      <c r="W64" s="3" t="s">
        <v>105</v>
      </c>
      <c r="X64" s="3" t="s">
        <v>105</v>
      </c>
      <c r="Y64" s="3" t="s">
        <v>105</v>
      </c>
      <c r="Z64" s="3" t="s">
        <v>105</v>
      </c>
      <c r="AA64" s="3" t="s">
        <v>105</v>
      </c>
      <c r="AB64" s="3" t="s">
        <v>103</v>
      </c>
      <c r="AC64" s="3" t="s">
        <v>103</v>
      </c>
      <c r="AD64" s="3" t="s">
        <v>105</v>
      </c>
      <c r="AE64" s="3" t="s">
        <v>105</v>
      </c>
      <c r="AF64" s="3" t="s">
        <v>105</v>
      </c>
      <c r="AG64" s="3" t="s">
        <v>105</v>
      </c>
      <c r="AH64" s="4">
        <f t="shared" ref="AH64:AH66" si="10">COUNTIF(C64:AG64,"L")</f>
        <v>0</v>
      </c>
      <c r="AI64" s="4">
        <f t="shared" ref="AI64:AI66" si="11">COUNTIF(C64:AG64,"A")</f>
        <v>22</v>
      </c>
    </row>
    <row r="65" spans="2:36" s="201" customFormat="1" ht="20.100000000000001" hidden="1" customHeight="1" outlineLevel="1" x14ac:dyDescent="0.4">
      <c r="B65" s="4" t="s">
        <v>349</v>
      </c>
      <c r="C65" s="3" t="s">
        <v>105</v>
      </c>
      <c r="D65" s="3" t="s">
        <v>105</v>
      </c>
      <c r="E65" s="3" t="s">
        <v>105</v>
      </c>
      <c r="F65" s="3" t="s">
        <v>105</v>
      </c>
      <c r="G65" s="3" t="s">
        <v>103</v>
      </c>
      <c r="H65" s="3" t="s">
        <v>103</v>
      </c>
      <c r="I65" s="3" t="s">
        <v>105</v>
      </c>
      <c r="J65" s="3" t="s">
        <v>105</v>
      </c>
      <c r="K65" s="3" t="s">
        <v>104</v>
      </c>
      <c r="L65" s="3" t="s">
        <v>105</v>
      </c>
      <c r="M65" s="3" t="s">
        <v>105</v>
      </c>
      <c r="N65" s="3" t="s">
        <v>103</v>
      </c>
      <c r="O65" s="3" t="s">
        <v>103</v>
      </c>
      <c r="P65" s="3" t="s">
        <v>105</v>
      </c>
      <c r="Q65" s="3" t="s">
        <v>105</v>
      </c>
      <c r="R65" s="3" t="s">
        <v>105</v>
      </c>
      <c r="S65" s="3" t="s">
        <v>105</v>
      </c>
      <c r="T65" s="3" t="s">
        <v>105</v>
      </c>
      <c r="U65" s="3" t="s">
        <v>103</v>
      </c>
      <c r="V65" s="3" t="s">
        <v>103</v>
      </c>
      <c r="W65" s="3" t="s">
        <v>105</v>
      </c>
      <c r="X65" s="3" t="s">
        <v>105</v>
      </c>
      <c r="Y65" s="3" t="s">
        <v>105</v>
      </c>
      <c r="Z65" s="3" t="s">
        <v>105</v>
      </c>
      <c r="AA65" s="3" t="s">
        <v>105</v>
      </c>
      <c r="AB65" s="3" t="s">
        <v>103</v>
      </c>
      <c r="AC65" s="3" t="s">
        <v>103</v>
      </c>
      <c r="AD65" s="3" t="s">
        <v>105</v>
      </c>
      <c r="AE65" s="3" t="s">
        <v>105</v>
      </c>
      <c r="AF65" s="3" t="s">
        <v>105</v>
      </c>
      <c r="AG65" s="3" t="s">
        <v>105</v>
      </c>
      <c r="AH65" s="4">
        <f t="shared" si="10"/>
        <v>0</v>
      </c>
      <c r="AI65" s="4">
        <f t="shared" si="11"/>
        <v>22</v>
      </c>
    </row>
    <row r="66" spans="2:36" s="201" customFormat="1" ht="20.100000000000001" hidden="1" customHeight="1" outlineLevel="1" x14ac:dyDescent="0.4">
      <c r="B66" s="4" t="s">
        <v>372</v>
      </c>
      <c r="C66" s="3" t="s">
        <v>105</v>
      </c>
      <c r="D66" s="3" t="s">
        <v>105</v>
      </c>
      <c r="E66" s="3" t="s">
        <v>105</v>
      </c>
      <c r="F66" s="3" t="s">
        <v>105</v>
      </c>
      <c r="G66" s="3" t="s">
        <v>103</v>
      </c>
      <c r="H66" s="3" t="s">
        <v>103</v>
      </c>
      <c r="I66" s="3" t="s">
        <v>105</v>
      </c>
      <c r="J66" s="3" t="s">
        <v>105</v>
      </c>
      <c r="K66" s="3" t="s">
        <v>104</v>
      </c>
      <c r="L66" s="3" t="s">
        <v>105</v>
      </c>
      <c r="M66" s="3" t="s">
        <v>105</v>
      </c>
      <c r="N66" s="3" t="s">
        <v>103</v>
      </c>
      <c r="O66" s="3" t="s">
        <v>103</v>
      </c>
      <c r="P66" s="3" t="s">
        <v>105</v>
      </c>
      <c r="Q66" s="3" t="s">
        <v>105</v>
      </c>
      <c r="R66" s="3" t="s">
        <v>105</v>
      </c>
      <c r="S66" s="3" t="s">
        <v>105</v>
      </c>
      <c r="T66" s="3" t="s">
        <v>105</v>
      </c>
      <c r="U66" s="3" t="s">
        <v>103</v>
      </c>
      <c r="V66" s="3" t="s">
        <v>103</v>
      </c>
      <c r="W66" s="3" t="s">
        <v>105</v>
      </c>
      <c r="X66" s="3" t="s">
        <v>105</v>
      </c>
      <c r="Y66" s="3" t="s">
        <v>105</v>
      </c>
      <c r="Z66" s="3" t="s">
        <v>105</v>
      </c>
      <c r="AA66" s="3" t="s">
        <v>105</v>
      </c>
      <c r="AB66" s="3" t="s">
        <v>103</v>
      </c>
      <c r="AC66" s="3" t="s">
        <v>103</v>
      </c>
      <c r="AD66" s="3" t="s">
        <v>105</v>
      </c>
      <c r="AE66" s="3" t="s">
        <v>105</v>
      </c>
      <c r="AF66" s="3" t="s">
        <v>105</v>
      </c>
      <c r="AG66" s="3" t="s">
        <v>105</v>
      </c>
      <c r="AH66" s="4">
        <f t="shared" si="10"/>
        <v>0</v>
      </c>
      <c r="AI66" s="4">
        <f t="shared" si="11"/>
        <v>22</v>
      </c>
    </row>
    <row r="67" spans="2:36" ht="20.100000000000001" hidden="1" customHeight="1" outlineLevel="1" x14ac:dyDescent="0.4">
      <c r="B67" s="4" t="s">
        <v>373</v>
      </c>
      <c r="C67" s="3" t="s">
        <v>105</v>
      </c>
      <c r="D67" s="3" t="s">
        <v>105</v>
      </c>
      <c r="E67" s="3" t="s">
        <v>105</v>
      </c>
      <c r="F67" s="3" t="s">
        <v>105</v>
      </c>
      <c r="G67" s="3" t="s">
        <v>103</v>
      </c>
      <c r="H67" s="3" t="s">
        <v>103</v>
      </c>
      <c r="I67" s="3" t="s">
        <v>105</v>
      </c>
      <c r="J67" s="3" t="s">
        <v>105</v>
      </c>
      <c r="K67" s="3" t="s">
        <v>104</v>
      </c>
      <c r="L67" s="3" t="s">
        <v>105</v>
      </c>
      <c r="M67" s="3" t="s">
        <v>105</v>
      </c>
      <c r="N67" s="3" t="s">
        <v>103</v>
      </c>
      <c r="O67" s="3" t="s">
        <v>103</v>
      </c>
      <c r="P67" s="3" t="s">
        <v>105</v>
      </c>
      <c r="Q67" s="3" t="s">
        <v>105</v>
      </c>
      <c r="R67" s="3" t="s">
        <v>105</v>
      </c>
      <c r="S67" s="3" t="s">
        <v>105</v>
      </c>
      <c r="T67" s="3" t="s">
        <v>105</v>
      </c>
      <c r="U67" s="3" t="s">
        <v>103</v>
      </c>
      <c r="V67" s="3" t="s">
        <v>103</v>
      </c>
      <c r="W67" s="3" t="s">
        <v>105</v>
      </c>
      <c r="X67" s="3" t="s">
        <v>105</v>
      </c>
      <c r="Y67" s="3" t="s">
        <v>105</v>
      </c>
      <c r="Z67" s="3" t="s">
        <v>105</v>
      </c>
      <c r="AA67" s="3" t="s">
        <v>105</v>
      </c>
      <c r="AB67" s="3" t="s">
        <v>103</v>
      </c>
      <c r="AC67" s="3" t="s">
        <v>103</v>
      </c>
      <c r="AD67" s="3" t="s">
        <v>105</v>
      </c>
      <c r="AE67" s="3" t="s">
        <v>105</v>
      </c>
      <c r="AF67" s="3" t="s">
        <v>105</v>
      </c>
      <c r="AG67" s="3" t="s">
        <v>105</v>
      </c>
      <c r="AH67" s="4">
        <f t="shared" si="8"/>
        <v>0</v>
      </c>
      <c r="AI67" s="4">
        <f t="shared" si="9"/>
        <v>22</v>
      </c>
    </row>
    <row r="68" spans="2:36" ht="20.100000000000001" hidden="1" customHeight="1" outlineLevel="1" collapsed="1" x14ac:dyDescent="0.4">
      <c r="AI68" s="201">
        <f>AI71*7.5</f>
        <v>157.5</v>
      </c>
    </row>
    <row r="69" spans="2:36" ht="20.100000000000001" hidden="1" customHeight="1" outlineLevel="1" x14ac:dyDescent="0.4">
      <c r="B69" s="607">
        <f>DATE(YEAR(B56),MONTH(B56)+1,DAY(B56))</f>
        <v>45870</v>
      </c>
      <c r="C69" s="6">
        <v>1</v>
      </c>
      <c r="D69" s="6">
        <v>2</v>
      </c>
      <c r="E69" s="6">
        <v>3</v>
      </c>
      <c r="F69" s="6">
        <v>4</v>
      </c>
      <c r="G69" s="6">
        <v>5</v>
      </c>
      <c r="H69" s="6">
        <v>6</v>
      </c>
      <c r="I69" s="6">
        <v>7</v>
      </c>
      <c r="J69" s="6">
        <v>8</v>
      </c>
      <c r="K69" s="6">
        <v>9</v>
      </c>
      <c r="L69" s="6">
        <v>10</v>
      </c>
      <c r="M69" s="6">
        <v>11</v>
      </c>
      <c r="N69" s="6">
        <v>12</v>
      </c>
      <c r="O69" s="6">
        <v>13</v>
      </c>
      <c r="P69" s="6">
        <v>14</v>
      </c>
      <c r="Q69" s="6">
        <v>15</v>
      </c>
      <c r="R69" s="6">
        <v>16</v>
      </c>
      <c r="S69" s="6">
        <v>17</v>
      </c>
      <c r="T69" s="6">
        <v>18</v>
      </c>
      <c r="U69" s="6">
        <v>19</v>
      </c>
      <c r="V69" s="6">
        <v>20</v>
      </c>
      <c r="W69" s="6">
        <v>21</v>
      </c>
      <c r="X69" s="6">
        <v>22</v>
      </c>
      <c r="Y69" s="6">
        <v>23</v>
      </c>
      <c r="Z69" s="6">
        <v>24</v>
      </c>
      <c r="AA69" s="6">
        <v>25</v>
      </c>
      <c r="AB69" s="6">
        <v>26</v>
      </c>
      <c r="AC69" s="6">
        <v>27</v>
      </c>
      <c r="AD69" s="6">
        <v>28</v>
      </c>
      <c r="AE69" s="6">
        <v>29</v>
      </c>
      <c r="AF69" s="6">
        <v>30</v>
      </c>
      <c r="AG69" s="6">
        <v>31</v>
      </c>
      <c r="AH69" s="473" t="s">
        <v>106</v>
      </c>
      <c r="AI69" s="478" t="s">
        <v>107</v>
      </c>
      <c r="AJ69" s="189" t="s">
        <v>533</v>
      </c>
    </row>
    <row r="70" spans="2:36" ht="20.100000000000001" hidden="1" customHeight="1" outlineLevel="1" x14ac:dyDescent="0.4">
      <c r="B70" s="608"/>
      <c r="C70" s="6" t="s">
        <v>110</v>
      </c>
      <c r="D70" s="6" t="s">
        <v>111</v>
      </c>
      <c r="E70" s="6" t="s">
        <v>112</v>
      </c>
      <c r="F70" s="6" t="s">
        <v>70</v>
      </c>
      <c r="G70" s="6" t="s">
        <v>72</v>
      </c>
      <c r="H70" s="6" t="s">
        <v>108</v>
      </c>
      <c r="I70" s="6" t="s">
        <v>109</v>
      </c>
      <c r="J70" s="6" t="s">
        <v>110</v>
      </c>
      <c r="K70" s="6" t="s">
        <v>111</v>
      </c>
      <c r="L70" s="6" t="s">
        <v>112</v>
      </c>
      <c r="M70" s="6" t="s">
        <v>70</v>
      </c>
      <c r="N70" s="6" t="s">
        <v>72</v>
      </c>
      <c r="O70" s="6" t="s">
        <v>108</v>
      </c>
      <c r="P70" s="6" t="s">
        <v>109</v>
      </c>
      <c r="Q70" s="6" t="s">
        <v>110</v>
      </c>
      <c r="R70" s="6" t="s">
        <v>111</v>
      </c>
      <c r="S70" s="6" t="s">
        <v>112</v>
      </c>
      <c r="T70" s="6" t="s">
        <v>70</v>
      </c>
      <c r="U70" s="6" t="s">
        <v>72</v>
      </c>
      <c r="V70" s="6" t="s">
        <v>108</v>
      </c>
      <c r="W70" s="6" t="s">
        <v>109</v>
      </c>
      <c r="X70" s="6" t="s">
        <v>110</v>
      </c>
      <c r="Y70" s="6" t="s">
        <v>111</v>
      </c>
      <c r="Z70" s="6" t="s">
        <v>112</v>
      </c>
      <c r="AA70" s="6" t="s">
        <v>70</v>
      </c>
      <c r="AB70" s="6" t="s">
        <v>72</v>
      </c>
      <c r="AC70" s="6" t="s">
        <v>108</v>
      </c>
      <c r="AD70" s="6" t="s">
        <v>109</v>
      </c>
      <c r="AE70" s="6" t="s">
        <v>110</v>
      </c>
      <c r="AF70" s="6" t="s">
        <v>111</v>
      </c>
      <c r="AG70" s="6" t="s">
        <v>112</v>
      </c>
      <c r="AH70" s="475"/>
      <c r="AI70" s="480"/>
      <c r="AJ70" s="189" t="s">
        <v>534</v>
      </c>
    </row>
    <row r="71" spans="2:36" ht="20.100000000000001" hidden="1" customHeight="1" outlineLevel="1" x14ac:dyDescent="0.4">
      <c r="B71" s="4" t="s">
        <v>163</v>
      </c>
      <c r="C71" s="205" t="s">
        <v>105</v>
      </c>
      <c r="D71" s="205" t="s">
        <v>103</v>
      </c>
      <c r="E71" s="205" t="s">
        <v>103</v>
      </c>
      <c r="F71" s="205" t="s">
        <v>105</v>
      </c>
      <c r="G71" s="205" t="s">
        <v>105</v>
      </c>
      <c r="H71" s="205" t="s">
        <v>105</v>
      </c>
      <c r="I71" s="205" t="s">
        <v>105</v>
      </c>
      <c r="J71" s="205" t="s">
        <v>105</v>
      </c>
      <c r="K71" s="205" t="s">
        <v>103</v>
      </c>
      <c r="L71" s="205" t="s">
        <v>103</v>
      </c>
      <c r="M71" s="205" t="s">
        <v>105</v>
      </c>
      <c r="N71" s="205" t="s">
        <v>105</v>
      </c>
      <c r="O71" s="205" t="s">
        <v>105</v>
      </c>
      <c r="P71" s="205" t="s">
        <v>105</v>
      </c>
      <c r="Q71" s="205" t="s">
        <v>105</v>
      </c>
      <c r="R71" s="205" t="s">
        <v>103</v>
      </c>
      <c r="S71" s="205" t="s">
        <v>103</v>
      </c>
      <c r="T71" s="205" t="s">
        <v>105</v>
      </c>
      <c r="U71" s="205" t="s">
        <v>105</v>
      </c>
      <c r="V71" s="205" t="s">
        <v>105</v>
      </c>
      <c r="W71" s="205" t="s">
        <v>105</v>
      </c>
      <c r="X71" s="205" t="s">
        <v>105</v>
      </c>
      <c r="Y71" s="205" t="s">
        <v>103</v>
      </c>
      <c r="Z71" s="205" t="s">
        <v>103</v>
      </c>
      <c r="AA71" s="205" t="s">
        <v>105</v>
      </c>
      <c r="AB71" s="205" t="s">
        <v>105</v>
      </c>
      <c r="AC71" s="205" t="s">
        <v>105</v>
      </c>
      <c r="AD71" s="205" t="s">
        <v>105</v>
      </c>
      <c r="AE71" s="205" t="s">
        <v>105</v>
      </c>
      <c r="AF71" s="205" t="s">
        <v>103</v>
      </c>
      <c r="AG71" s="205" t="s">
        <v>103</v>
      </c>
      <c r="AH71" s="4">
        <f>COUNTIF(C71:AG71,"L")</f>
        <v>0</v>
      </c>
      <c r="AI71" s="4">
        <f>COUNTIF(C71:AG71,"A")</f>
        <v>21</v>
      </c>
      <c r="AJ71" s="189" t="s">
        <v>535</v>
      </c>
    </row>
    <row r="72" spans="2:36" ht="20.100000000000001" hidden="1" customHeight="1" outlineLevel="1" x14ac:dyDescent="0.4">
      <c r="B72" s="4" t="s">
        <v>368</v>
      </c>
      <c r="C72" s="205" t="s">
        <v>105</v>
      </c>
      <c r="D72" s="205" t="s">
        <v>103</v>
      </c>
      <c r="E72" s="205" t="s">
        <v>103</v>
      </c>
      <c r="F72" s="205" t="s">
        <v>105</v>
      </c>
      <c r="G72" s="205" t="s">
        <v>105</v>
      </c>
      <c r="H72" s="205" t="s">
        <v>105</v>
      </c>
      <c r="I72" s="205" t="s">
        <v>105</v>
      </c>
      <c r="J72" s="205" t="s">
        <v>105</v>
      </c>
      <c r="K72" s="205" t="s">
        <v>103</v>
      </c>
      <c r="L72" s="205" t="s">
        <v>103</v>
      </c>
      <c r="M72" s="205" t="s">
        <v>105</v>
      </c>
      <c r="N72" s="205" t="s">
        <v>105</v>
      </c>
      <c r="O72" s="205" t="s">
        <v>105</v>
      </c>
      <c r="P72" s="205" t="s">
        <v>105</v>
      </c>
      <c r="Q72" s="205" t="s">
        <v>105</v>
      </c>
      <c r="R72" s="205" t="s">
        <v>103</v>
      </c>
      <c r="S72" s="205" t="s">
        <v>103</v>
      </c>
      <c r="T72" s="205" t="s">
        <v>105</v>
      </c>
      <c r="U72" s="205" t="s">
        <v>105</v>
      </c>
      <c r="V72" s="205" t="s">
        <v>105</v>
      </c>
      <c r="W72" s="205" t="s">
        <v>105</v>
      </c>
      <c r="X72" s="205" t="s">
        <v>105</v>
      </c>
      <c r="Y72" s="205" t="s">
        <v>103</v>
      </c>
      <c r="Z72" s="205" t="s">
        <v>103</v>
      </c>
      <c r="AA72" s="205" t="s">
        <v>105</v>
      </c>
      <c r="AB72" s="205" t="s">
        <v>105</v>
      </c>
      <c r="AC72" s="205" t="s">
        <v>105</v>
      </c>
      <c r="AD72" s="205" t="s">
        <v>105</v>
      </c>
      <c r="AE72" s="205" t="s">
        <v>105</v>
      </c>
      <c r="AF72" s="205" t="s">
        <v>103</v>
      </c>
      <c r="AG72" s="205" t="s">
        <v>103</v>
      </c>
      <c r="AH72" s="4">
        <f t="shared" ref="AH72:AH80" si="12">COUNTIF(C72:AG72,"L")</f>
        <v>0</v>
      </c>
      <c r="AI72" s="4">
        <f t="shared" ref="AI72:AI80" si="13">COUNTIF(C72:AG72,"A")</f>
        <v>21</v>
      </c>
      <c r="AJ72" s="189" t="s">
        <v>536</v>
      </c>
    </row>
    <row r="73" spans="2:36" ht="20.100000000000001" hidden="1" customHeight="1" outlineLevel="1" x14ac:dyDescent="0.4">
      <c r="B73" s="4" t="s">
        <v>172</v>
      </c>
      <c r="C73" s="205" t="s">
        <v>105</v>
      </c>
      <c r="D73" s="205" t="s">
        <v>103</v>
      </c>
      <c r="E73" s="205" t="s">
        <v>103</v>
      </c>
      <c r="F73" s="205" t="s">
        <v>105</v>
      </c>
      <c r="G73" s="205" t="s">
        <v>105</v>
      </c>
      <c r="H73" s="205" t="s">
        <v>105</v>
      </c>
      <c r="I73" s="205" t="s">
        <v>105</v>
      </c>
      <c r="J73" s="205" t="s">
        <v>105</v>
      </c>
      <c r="K73" s="205" t="s">
        <v>103</v>
      </c>
      <c r="L73" s="205" t="s">
        <v>103</v>
      </c>
      <c r="M73" s="205" t="s">
        <v>105</v>
      </c>
      <c r="N73" s="205" t="s">
        <v>105</v>
      </c>
      <c r="O73" s="205" t="s">
        <v>105</v>
      </c>
      <c r="P73" s="205" t="s">
        <v>105</v>
      </c>
      <c r="Q73" s="205" t="s">
        <v>105</v>
      </c>
      <c r="R73" s="205" t="s">
        <v>103</v>
      </c>
      <c r="S73" s="205" t="s">
        <v>103</v>
      </c>
      <c r="T73" s="205" t="s">
        <v>105</v>
      </c>
      <c r="U73" s="205" t="s">
        <v>105</v>
      </c>
      <c r="V73" s="205" t="s">
        <v>105</v>
      </c>
      <c r="W73" s="205" t="s">
        <v>105</v>
      </c>
      <c r="X73" s="205" t="s">
        <v>105</v>
      </c>
      <c r="Y73" s="205" t="s">
        <v>103</v>
      </c>
      <c r="Z73" s="205" t="s">
        <v>103</v>
      </c>
      <c r="AA73" s="205" t="s">
        <v>105</v>
      </c>
      <c r="AB73" s="205" t="s">
        <v>105</v>
      </c>
      <c r="AC73" s="205" t="s">
        <v>105</v>
      </c>
      <c r="AD73" s="205" t="s">
        <v>105</v>
      </c>
      <c r="AE73" s="205" t="s">
        <v>105</v>
      </c>
      <c r="AF73" s="205" t="s">
        <v>103</v>
      </c>
      <c r="AG73" s="205" t="s">
        <v>103</v>
      </c>
      <c r="AH73" s="4">
        <f t="shared" ref="AH73:AH78" si="14">COUNTIF(C73:AG73,"L")</f>
        <v>0</v>
      </c>
      <c r="AI73" s="4">
        <f t="shared" ref="AI73:AI78" si="15">COUNTIF(C73:AG73,"A")</f>
        <v>21</v>
      </c>
    </row>
    <row r="74" spans="2:36" s="201" customFormat="1" ht="20.100000000000001" hidden="1" customHeight="1" outlineLevel="1" x14ac:dyDescent="0.4">
      <c r="B74" s="4" t="s">
        <v>331</v>
      </c>
      <c r="C74" s="205" t="s">
        <v>105</v>
      </c>
      <c r="D74" s="205" t="s">
        <v>103</v>
      </c>
      <c r="E74" s="205" t="s">
        <v>103</v>
      </c>
      <c r="F74" s="205" t="s">
        <v>105</v>
      </c>
      <c r="G74" s="205" t="s">
        <v>105</v>
      </c>
      <c r="H74" s="205" t="s">
        <v>105</v>
      </c>
      <c r="I74" s="205" t="s">
        <v>105</v>
      </c>
      <c r="J74" s="205" t="s">
        <v>105</v>
      </c>
      <c r="K74" s="205" t="s">
        <v>103</v>
      </c>
      <c r="L74" s="205" t="s">
        <v>103</v>
      </c>
      <c r="M74" s="205" t="s">
        <v>105</v>
      </c>
      <c r="N74" s="205" t="s">
        <v>105</v>
      </c>
      <c r="O74" s="205" t="s">
        <v>105</v>
      </c>
      <c r="P74" s="205" t="s">
        <v>105</v>
      </c>
      <c r="Q74" s="205" t="s">
        <v>105</v>
      </c>
      <c r="R74" s="205" t="s">
        <v>103</v>
      </c>
      <c r="S74" s="205" t="s">
        <v>103</v>
      </c>
      <c r="T74" s="205" t="s">
        <v>105</v>
      </c>
      <c r="U74" s="205" t="s">
        <v>105</v>
      </c>
      <c r="V74" s="205" t="s">
        <v>105</v>
      </c>
      <c r="W74" s="205" t="s">
        <v>105</v>
      </c>
      <c r="X74" s="205" t="s">
        <v>105</v>
      </c>
      <c r="Y74" s="205" t="s">
        <v>103</v>
      </c>
      <c r="Z74" s="205" t="s">
        <v>103</v>
      </c>
      <c r="AA74" s="205" t="s">
        <v>105</v>
      </c>
      <c r="AB74" s="205" t="s">
        <v>105</v>
      </c>
      <c r="AC74" s="205" t="s">
        <v>105</v>
      </c>
      <c r="AD74" s="205" t="s">
        <v>105</v>
      </c>
      <c r="AE74" s="205" t="s">
        <v>105</v>
      </c>
      <c r="AF74" s="205" t="s">
        <v>103</v>
      </c>
      <c r="AG74" s="205" t="s">
        <v>103</v>
      </c>
      <c r="AH74" s="4">
        <f t="shared" ref="AH74:AH76" si="16">COUNTIF(C74:AG74,"L")</f>
        <v>0</v>
      </c>
      <c r="AI74" s="4">
        <f t="shared" ref="AI74:AI76" si="17">COUNTIF(C74:AG74,"A")</f>
        <v>21</v>
      </c>
    </row>
    <row r="75" spans="2:36" s="201" customFormat="1" ht="20.100000000000001" hidden="1" customHeight="1" outlineLevel="1" x14ac:dyDescent="0.4">
      <c r="B75" s="4" t="s">
        <v>369</v>
      </c>
      <c r="C75" s="205" t="s">
        <v>105</v>
      </c>
      <c r="D75" s="205" t="s">
        <v>103</v>
      </c>
      <c r="E75" s="205" t="s">
        <v>103</v>
      </c>
      <c r="F75" s="205" t="s">
        <v>105</v>
      </c>
      <c r="G75" s="205" t="s">
        <v>105</v>
      </c>
      <c r="H75" s="205" t="s">
        <v>105</v>
      </c>
      <c r="I75" s="205" t="s">
        <v>105</v>
      </c>
      <c r="J75" s="205" t="s">
        <v>105</v>
      </c>
      <c r="K75" s="205" t="s">
        <v>103</v>
      </c>
      <c r="L75" s="205" t="s">
        <v>103</v>
      </c>
      <c r="M75" s="205" t="s">
        <v>105</v>
      </c>
      <c r="N75" s="205" t="s">
        <v>105</v>
      </c>
      <c r="O75" s="205" t="s">
        <v>105</v>
      </c>
      <c r="P75" s="205" t="s">
        <v>105</v>
      </c>
      <c r="Q75" s="205" t="s">
        <v>105</v>
      </c>
      <c r="R75" s="205" t="s">
        <v>103</v>
      </c>
      <c r="S75" s="205" t="s">
        <v>103</v>
      </c>
      <c r="T75" s="205" t="s">
        <v>105</v>
      </c>
      <c r="U75" s="205" t="s">
        <v>105</v>
      </c>
      <c r="V75" s="205" t="s">
        <v>105</v>
      </c>
      <c r="W75" s="205" t="s">
        <v>105</v>
      </c>
      <c r="X75" s="205" t="s">
        <v>105</v>
      </c>
      <c r="Y75" s="205" t="s">
        <v>103</v>
      </c>
      <c r="Z75" s="205" t="s">
        <v>103</v>
      </c>
      <c r="AA75" s="205" t="s">
        <v>105</v>
      </c>
      <c r="AB75" s="205" t="s">
        <v>105</v>
      </c>
      <c r="AC75" s="205" t="s">
        <v>105</v>
      </c>
      <c r="AD75" s="205" t="s">
        <v>105</v>
      </c>
      <c r="AE75" s="205" t="s">
        <v>105</v>
      </c>
      <c r="AF75" s="205" t="s">
        <v>103</v>
      </c>
      <c r="AG75" s="205" t="s">
        <v>103</v>
      </c>
      <c r="AH75" s="4">
        <f t="shared" si="16"/>
        <v>0</v>
      </c>
      <c r="AI75" s="4">
        <f t="shared" si="17"/>
        <v>21</v>
      </c>
    </row>
    <row r="76" spans="2:36" s="201" customFormat="1" ht="20.100000000000001" hidden="1" customHeight="1" outlineLevel="1" x14ac:dyDescent="0.4">
      <c r="B76" s="4" t="s">
        <v>370</v>
      </c>
      <c r="C76" s="205" t="s">
        <v>105</v>
      </c>
      <c r="D76" s="205" t="s">
        <v>103</v>
      </c>
      <c r="E76" s="205" t="s">
        <v>103</v>
      </c>
      <c r="F76" s="205" t="s">
        <v>105</v>
      </c>
      <c r="G76" s="205" t="s">
        <v>105</v>
      </c>
      <c r="H76" s="205" t="s">
        <v>105</v>
      </c>
      <c r="I76" s="205" t="s">
        <v>105</v>
      </c>
      <c r="J76" s="205" t="s">
        <v>105</v>
      </c>
      <c r="K76" s="205" t="s">
        <v>103</v>
      </c>
      <c r="L76" s="205" t="s">
        <v>103</v>
      </c>
      <c r="M76" s="205" t="s">
        <v>105</v>
      </c>
      <c r="N76" s="205" t="s">
        <v>105</v>
      </c>
      <c r="O76" s="205" t="s">
        <v>105</v>
      </c>
      <c r="P76" s="205" t="s">
        <v>105</v>
      </c>
      <c r="Q76" s="205" t="s">
        <v>105</v>
      </c>
      <c r="R76" s="205" t="s">
        <v>103</v>
      </c>
      <c r="S76" s="205" t="s">
        <v>103</v>
      </c>
      <c r="T76" s="205" t="s">
        <v>105</v>
      </c>
      <c r="U76" s="205" t="s">
        <v>105</v>
      </c>
      <c r="V76" s="205" t="s">
        <v>105</v>
      </c>
      <c r="W76" s="205" t="s">
        <v>105</v>
      </c>
      <c r="X76" s="205" t="s">
        <v>105</v>
      </c>
      <c r="Y76" s="205" t="s">
        <v>103</v>
      </c>
      <c r="Z76" s="205" t="s">
        <v>103</v>
      </c>
      <c r="AA76" s="205" t="s">
        <v>105</v>
      </c>
      <c r="AB76" s="205" t="s">
        <v>105</v>
      </c>
      <c r="AC76" s="205" t="s">
        <v>105</v>
      </c>
      <c r="AD76" s="205" t="s">
        <v>105</v>
      </c>
      <c r="AE76" s="205" t="s">
        <v>105</v>
      </c>
      <c r="AF76" s="205" t="s">
        <v>103</v>
      </c>
      <c r="AG76" s="205" t="s">
        <v>103</v>
      </c>
      <c r="AH76" s="4">
        <f t="shared" si="16"/>
        <v>0</v>
      </c>
      <c r="AI76" s="4">
        <f t="shared" si="17"/>
        <v>21</v>
      </c>
    </row>
    <row r="77" spans="2:36" ht="20.100000000000001" hidden="1" customHeight="1" outlineLevel="1" x14ac:dyDescent="0.4">
      <c r="B77" s="4" t="s">
        <v>371</v>
      </c>
      <c r="C77" s="205" t="s">
        <v>105</v>
      </c>
      <c r="D77" s="205" t="s">
        <v>103</v>
      </c>
      <c r="E77" s="205" t="s">
        <v>103</v>
      </c>
      <c r="F77" s="205" t="s">
        <v>105</v>
      </c>
      <c r="G77" s="205" t="s">
        <v>105</v>
      </c>
      <c r="H77" s="205" t="s">
        <v>105</v>
      </c>
      <c r="I77" s="205" t="s">
        <v>105</v>
      </c>
      <c r="J77" s="205" t="s">
        <v>105</v>
      </c>
      <c r="K77" s="205" t="s">
        <v>103</v>
      </c>
      <c r="L77" s="205" t="s">
        <v>103</v>
      </c>
      <c r="M77" s="205" t="s">
        <v>105</v>
      </c>
      <c r="N77" s="205" t="s">
        <v>105</v>
      </c>
      <c r="O77" s="205" t="s">
        <v>105</v>
      </c>
      <c r="P77" s="205" t="s">
        <v>105</v>
      </c>
      <c r="Q77" s="205" t="s">
        <v>105</v>
      </c>
      <c r="R77" s="205" t="s">
        <v>103</v>
      </c>
      <c r="S77" s="205" t="s">
        <v>103</v>
      </c>
      <c r="T77" s="205" t="s">
        <v>105</v>
      </c>
      <c r="U77" s="205" t="s">
        <v>105</v>
      </c>
      <c r="V77" s="205" t="s">
        <v>105</v>
      </c>
      <c r="W77" s="205" t="s">
        <v>105</v>
      </c>
      <c r="X77" s="205" t="s">
        <v>105</v>
      </c>
      <c r="Y77" s="205" t="s">
        <v>103</v>
      </c>
      <c r="Z77" s="205" t="s">
        <v>103</v>
      </c>
      <c r="AA77" s="205" t="s">
        <v>105</v>
      </c>
      <c r="AB77" s="205" t="s">
        <v>105</v>
      </c>
      <c r="AC77" s="205" t="s">
        <v>105</v>
      </c>
      <c r="AD77" s="205" t="s">
        <v>105</v>
      </c>
      <c r="AE77" s="205" t="s">
        <v>105</v>
      </c>
      <c r="AF77" s="205" t="s">
        <v>103</v>
      </c>
      <c r="AG77" s="205" t="s">
        <v>103</v>
      </c>
      <c r="AH77" s="4">
        <f t="shared" si="14"/>
        <v>0</v>
      </c>
      <c r="AI77" s="4">
        <f t="shared" si="15"/>
        <v>21</v>
      </c>
    </row>
    <row r="78" spans="2:36" ht="20.100000000000001" hidden="1" customHeight="1" outlineLevel="1" x14ac:dyDescent="0.4">
      <c r="B78" s="4" t="s">
        <v>349</v>
      </c>
      <c r="C78" s="205" t="s">
        <v>105</v>
      </c>
      <c r="D78" s="205" t="s">
        <v>103</v>
      </c>
      <c r="E78" s="205" t="s">
        <v>103</v>
      </c>
      <c r="F78" s="205" t="s">
        <v>105</v>
      </c>
      <c r="G78" s="205" t="s">
        <v>105</v>
      </c>
      <c r="H78" s="205" t="s">
        <v>105</v>
      </c>
      <c r="I78" s="205" t="s">
        <v>105</v>
      </c>
      <c r="J78" s="205" t="s">
        <v>105</v>
      </c>
      <c r="K78" s="205" t="s">
        <v>103</v>
      </c>
      <c r="L78" s="205" t="s">
        <v>103</v>
      </c>
      <c r="M78" s="205" t="s">
        <v>105</v>
      </c>
      <c r="N78" s="205" t="s">
        <v>105</v>
      </c>
      <c r="O78" s="205" t="s">
        <v>105</v>
      </c>
      <c r="P78" s="205" t="s">
        <v>105</v>
      </c>
      <c r="Q78" s="205" t="s">
        <v>105</v>
      </c>
      <c r="R78" s="205" t="s">
        <v>103</v>
      </c>
      <c r="S78" s="205" t="s">
        <v>103</v>
      </c>
      <c r="T78" s="205" t="s">
        <v>105</v>
      </c>
      <c r="U78" s="205" t="s">
        <v>105</v>
      </c>
      <c r="V78" s="205" t="s">
        <v>105</v>
      </c>
      <c r="W78" s="205" t="s">
        <v>105</v>
      </c>
      <c r="X78" s="205" t="s">
        <v>105</v>
      </c>
      <c r="Y78" s="205" t="s">
        <v>103</v>
      </c>
      <c r="Z78" s="205" t="s">
        <v>103</v>
      </c>
      <c r="AA78" s="205" t="s">
        <v>105</v>
      </c>
      <c r="AB78" s="205" t="s">
        <v>105</v>
      </c>
      <c r="AC78" s="205" t="s">
        <v>105</v>
      </c>
      <c r="AD78" s="205" t="s">
        <v>105</v>
      </c>
      <c r="AE78" s="205" t="s">
        <v>105</v>
      </c>
      <c r="AF78" s="205" t="s">
        <v>103</v>
      </c>
      <c r="AG78" s="205" t="s">
        <v>103</v>
      </c>
      <c r="AH78" s="4">
        <f t="shared" si="14"/>
        <v>0</v>
      </c>
      <c r="AI78" s="4">
        <f t="shared" si="15"/>
        <v>21</v>
      </c>
    </row>
    <row r="79" spans="2:36" ht="20.100000000000001" hidden="1" customHeight="1" outlineLevel="1" x14ac:dyDescent="0.4">
      <c r="B79" s="4" t="s">
        <v>372</v>
      </c>
      <c r="C79" s="205" t="s">
        <v>105</v>
      </c>
      <c r="D79" s="205" t="s">
        <v>103</v>
      </c>
      <c r="E79" s="205" t="s">
        <v>103</v>
      </c>
      <c r="F79" s="205" t="s">
        <v>105</v>
      </c>
      <c r="G79" s="205" t="s">
        <v>105</v>
      </c>
      <c r="H79" s="205" t="s">
        <v>105</v>
      </c>
      <c r="I79" s="205" t="s">
        <v>105</v>
      </c>
      <c r="J79" s="205" t="s">
        <v>105</v>
      </c>
      <c r="K79" s="205" t="s">
        <v>103</v>
      </c>
      <c r="L79" s="205" t="s">
        <v>103</v>
      </c>
      <c r="M79" s="205" t="s">
        <v>105</v>
      </c>
      <c r="N79" s="205" t="s">
        <v>105</v>
      </c>
      <c r="O79" s="205" t="s">
        <v>105</v>
      </c>
      <c r="P79" s="205" t="s">
        <v>105</v>
      </c>
      <c r="Q79" s="205" t="s">
        <v>105</v>
      </c>
      <c r="R79" s="205" t="s">
        <v>103</v>
      </c>
      <c r="S79" s="205" t="s">
        <v>103</v>
      </c>
      <c r="T79" s="205" t="s">
        <v>105</v>
      </c>
      <c r="U79" s="205" t="s">
        <v>105</v>
      </c>
      <c r="V79" s="205" t="s">
        <v>105</v>
      </c>
      <c r="W79" s="205" t="s">
        <v>105</v>
      </c>
      <c r="X79" s="205" t="s">
        <v>105</v>
      </c>
      <c r="Y79" s="205" t="s">
        <v>103</v>
      </c>
      <c r="Z79" s="205" t="s">
        <v>103</v>
      </c>
      <c r="AA79" s="205" t="s">
        <v>105</v>
      </c>
      <c r="AB79" s="205" t="s">
        <v>105</v>
      </c>
      <c r="AC79" s="205" t="s">
        <v>105</v>
      </c>
      <c r="AD79" s="205" t="s">
        <v>105</v>
      </c>
      <c r="AE79" s="205" t="s">
        <v>105</v>
      </c>
      <c r="AF79" s="205" t="s">
        <v>103</v>
      </c>
      <c r="AG79" s="205" t="s">
        <v>103</v>
      </c>
      <c r="AH79" s="4">
        <f t="shared" si="12"/>
        <v>0</v>
      </c>
      <c r="AI79" s="4">
        <f t="shared" si="13"/>
        <v>21</v>
      </c>
    </row>
    <row r="80" spans="2:36" ht="20.100000000000001" hidden="1" customHeight="1" outlineLevel="1" x14ac:dyDescent="0.4">
      <c r="B80" s="4" t="s">
        <v>373</v>
      </c>
      <c r="C80" s="205" t="s">
        <v>105</v>
      </c>
      <c r="D80" s="205" t="s">
        <v>103</v>
      </c>
      <c r="E80" s="205" t="s">
        <v>103</v>
      </c>
      <c r="F80" s="205" t="s">
        <v>105</v>
      </c>
      <c r="G80" s="205" t="s">
        <v>105</v>
      </c>
      <c r="H80" s="205" t="s">
        <v>105</v>
      </c>
      <c r="I80" s="205" t="s">
        <v>105</v>
      </c>
      <c r="J80" s="205" t="s">
        <v>105</v>
      </c>
      <c r="K80" s="205" t="s">
        <v>103</v>
      </c>
      <c r="L80" s="205" t="s">
        <v>103</v>
      </c>
      <c r="M80" s="205" t="s">
        <v>105</v>
      </c>
      <c r="N80" s="205" t="s">
        <v>105</v>
      </c>
      <c r="O80" s="205" t="s">
        <v>105</v>
      </c>
      <c r="P80" s="205" t="s">
        <v>105</v>
      </c>
      <c r="Q80" s="205" t="s">
        <v>105</v>
      </c>
      <c r="R80" s="205" t="s">
        <v>103</v>
      </c>
      <c r="S80" s="205" t="s">
        <v>103</v>
      </c>
      <c r="T80" s="205" t="s">
        <v>105</v>
      </c>
      <c r="U80" s="205" t="s">
        <v>105</v>
      </c>
      <c r="V80" s="205" t="s">
        <v>105</v>
      </c>
      <c r="W80" s="205" t="s">
        <v>105</v>
      </c>
      <c r="X80" s="205" t="s">
        <v>105</v>
      </c>
      <c r="Y80" s="205" t="s">
        <v>103</v>
      </c>
      <c r="Z80" s="205" t="s">
        <v>103</v>
      </c>
      <c r="AA80" s="205" t="s">
        <v>105</v>
      </c>
      <c r="AB80" s="205" t="s">
        <v>105</v>
      </c>
      <c r="AC80" s="205" t="s">
        <v>105</v>
      </c>
      <c r="AD80" s="205" t="s">
        <v>105</v>
      </c>
      <c r="AE80" s="205" t="s">
        <v>105</v>
      </c>
      <c r="AF80" s="205" t="s">
        <v>103</v>
      </c>
      <c r="AG80" s="205" t="s">
        <v>103</v>
      </c>
      <c r="AH80" s="4">
        <f t="shared" si="12"/>
        <v>0</v>
      </c>
      <c r="AI80" s="4">
        <f t="shared" si="13"/>
        <v>21</v>
      </c>
    </row>
    <row r="81" spans="2:36" ht="20.100000000000001" hidden="1" customHeight="1" outlineLevel="1" collapsed="1" x14ac:dyDescent="0.4">
      <c r="AI81" s="201">
        <f>AI84*7.5</f>
        <v>165</v>
      </c>
    </row>
    <row r="82" spans="2:36" ht="20.100000000000001" hidden="1" customHeight="1" outlineLevel="1" x14ac:dyDescent="0.4">
      <c r="B82" s="607">
        <f>DATE(YEAR(B69),MONTH(B69)+1,DAY(B69))</f>
        <v>45901</v>
      </c>
      <c r="C82" s="6">
        <v>1</v>
      </c>
      <c r="D82" s="6">
        <v>2</v>
      </c>
      <c r="E82" s="6">
        <v>3</v>
      </c>
      <c r="F82" s="6">
        <v>4</v>
      </c>
      <c r="G82" s="6">
        <v>5</v>
      </c>
      <c r="H82" s="6">
        <v>6</v>
      </c>
      <c r="I82" s="6">
        <v>7</v>
      </c>
      <c r="J82" s="6">
        <v>8</v>
      </c>
      <c r="K82" s="6">
        <v>9</v>
      </c>
      <c r="L82" s="6">
        <v>10</v>
      </c>
      <c r="M82" s="6">
        <v>11</v>
      </c>
      <c r="N82" s="6">
        <v>12</v>
      </c>
      <c r="O82" s="6">
        <v>13</v>
      </c>
      <c r="P82" s="6">
        <v>14</v>
      </c>
      <c r="Q82" s="6">
        <v>15</v>
      </c>
      <c r="R82" s="6">
        <v>16</v>
      </c>
      <c r="S82" s="6">
        <v>17</v>
      </c>
      <c r="T82" s="6">
        <v>18</v>
      </c>
      <c r="U82" s="6">
        <v>19</v>
      </c>
      <c r="V82" s="6">
        <v>20</v>
      </c>
      <c r="W82" s="6">
        <v>21</v>
      </c>
      <c r="X82" s="6">
        <v>22</v>
      </c>
      <c r="Y82" s="6">
        <v>23</v>
      </c>
      <c r="Z82" s="6">
        <v>24</v>
      </c>
      <c r="AA82" s="6">
        <v>25</v>
      </c>
      <c r="AB82" s="6">
        <v>26</v>
      </c>
      <c r="AC82" s="6">
        <v>27</v>
      </c>
      <c r="AD82" s="6">
        <v>28</v>
      </c>
      <c r="AE82" s="6">
        <v>29</v>
      </c>
      <c r="AF82" s="6">
        <v>30</v>
      </c>
      <c r="AG82" s="6"/>
      <c r="AH82" s="473" t="s">
        <v>106</v>
      </c>
      <c r="AI82" s="478" t="s">
        <v>107</v>
      </c>
      <c r="AJ82" s="189" t="s">
        <v>533</v>
      </c>
    </row>
    <row r="83" spans="2:36" ht="20.100000000000001" hidden="1" customHeight="1" outlineLevel="1" x14ac:dyDescent="0.4">
      <c r="B83" s="608"/>
      <c r="C83" s="6" t="s">
        <v>70</v>
      </c>
      <c r="D83" s="6" t="s">
        <v>72</v>
      </c>
      <c r="E83" s="6" t="s">
        <v>108</v>
      </c>
      <c r="F83" s="6" t="s">
        <v>109</v>
      </c>
      <c r="G83" s="6" t="s">
        <v>110</v>
      </c>
      <c r="H83" s="6" t="s">
        <v>111</v>
      </c>
      <c r="I83" s="6" t="s">
        <v>112</v>
      </c>
      <c r="J83" s="6" t="s">
        <v>70</v>
      </c>
      <c r="K83" s="6" t="s">
        <v>72</v>
      </c>
      <c r="L83" s="6" t="s">
        <v>108</v>
      </c>
      <c r="M83" s="6" t="s">
        <v>109</v>
      </c>
      <c r="N83" s="6" t="s">
        <v>110</v>
      </c>
      <c r="O83" s="6" t="s">
        <v>111</v>
      </c>
      <c r="P83" s="6" t="s">
        <v>112</v>
      </c>
      <c r="Q83" s="6" t="s">
        <v>70</v>
      </c>
      <c r="R83" s="6" t="s">
        <v>72</v>
      </c>
      <c r="S83" s="6" t="s">
        <v>108</v>
      </c>
      <c r="T83" s="6" t="s">
        <v>109</v>
      </c>
      <c r="U83" s="6" t="s">
        <v>110</v>
      </c>
      <c r="V83" s="6" t="s">
        <v>111</v>
      </c>
      <c r="W83" s="6" t="s">
        <v>112</v>
      </c>
      <c r="X83" s="6" t="s">
        <v>70</v>
      </c>
      <c r="Y83" s="6" t="s">
        <v>72</v>
      </c>
      <c r="Z83" s="6" t="s">
        <v>108</v>
      </c>
      <c r="AA83" s="6" t="s">
        <v>109</v>
      </c>
      <c r="AB83" s="6" t="s">
        <v>110</v>
      </c>
      <c r="AC83" s="6" t="s">
        <v>111</v>
      </c>
      <c r="AD83" s="6" t="s">
        <v>112</v>
      </c>
      <c r="AE83" s="6" t="s">
        <v>70</v>
      </c>
      <c r="AF83" s="6" t="s">
        <v>72</v>
      </c>
      <c r="AG83" s="6"/>
      <c r="AH83" s="475"/>
      <c r="AI83" s="480"/>
      <c r="AJ83" s="189" t="s">
        <v>534</v>
      </c>
    </row>
    <row r="84" spans="2:36" ht="20.100000000000001" hidden="1" customHeight="1" outlineLevel="1" x14ac:dyDescent="0.4">
      <c r="B84" s="4" t="s">
        <v>163</v>
      </c>
      <c r="C84" s="205" t="s">
        <v>105</v>
      </c>
      <c r="D84" s="205" t="s">
        <v>105</v>
      </c>
      <c r="E84" s="205" t="s">
        <v>105</v>
      </c>
      <c r="F84" s="205" t="s">
        <v>105</v>
      </c>
      <c r="G84" s="205" t="s">
        <v>105</v>
      </c>
      <c r="H84" s="205" t="s">
        <v>103</v>
      </c>
      <c r="I84" s="205" t="s">
        <v>103</v>
      </c>
      <c r="J84" s="205" t="s">
        <v>105</v>
      </c>
      <c r="K84" s="205" t="s">
        <v>105</v>
      </c>
      <c r="L84" s="205" t="s">
        <v>105</v>
      </c>
      <c r="M84" s="205" t="s">
        <v>105</v>
      </c>
      <c r="N84" s="205" t="s">
        <v>105</v>
      </c>
      <c r="O84" s="205" t="s">
        <v>103</v>
      </c>
      <c r="P84" s="205" t="s">
        <v>103</v>
      </c>
      <c r="Q84" s="205" t="s">
        <v>105</v>
      </c>
      <c r="R84" s="205" t="s">
        <v>105</v>
      </c>
      <c r="S84" s="205" t="s">
        <v>105</v>
      </c>
      <c r="T84" s="205" t="s">
        <v>105</v>
      </c>
      <c r="U84" s="205" t="s">
        <v>105</v>
      </c>
      <c r="V84" s="205" t="s">
        <v>103</v>
      </c>
      <c r="W84" s="205" t="s">
        <v>103</v>
      </c>
      <c r="X84" s="205" t="s">
        <v>105</v>
      </c>
      <c r="Y84" s="205" t="s">
        <v>105</v>
      </c>
      <c r="Z84" s="205" t="s">
        <v>105</v>
      </c>
      <c r="AA84" s="205" t="s">
        <v>105</v>
      </c>
      <c r="AB84" s="205" t="s">
        <v>105</v>
      </c>
      <c r="AC84" s="205" t="s">
        <v>103</v>
      </c>
      <c r="AD84" s="205" t="s">
        <v>103</v>
      </c>
      <c r="AE84" s="205" t="s">
        <v>105</v>
      </c>
      <c r="AF84" s="205" t="s">
        <v>105</v>
      </c>
      <c r="AG84" s="62"/>
      <c r="AH84" s="4">
        <f t="shared" ref="AH84:AH93" si="18">COUNTIF(C84:AG84,"L")</f>
        <v>0</v>
      </c>
      <c r="AI84" s="4">
        <f>COUNTIF(C84:AG84,"A")</f>
        <v>22</v>
      </c>
      <c r="AJ84" s="189" t="s">
        <v>535</v>
      </c>
    </row>
    <row r="85" spans="2:36" ht="20.100000000000001" hidden="1" customHeight="1" outlineLevel="1" x14ac:dyDescent="0.4">
      <c r="B85" s="4" t="s">
        <v>368</v>
      </c>
      <c r="C85" s="205" t="s">
        <v>105</v>
      </c>
      <c r="D85" s="205" t="s">
        <v>105</v>
      </c>
      <c r="E85" s="205" t="s">
        <v>105</v>
      </c>
      <c r="F85" s="205" t="s">
        <v>105</v>
      </c>
      <c r="G85" s="205" t="s">
        <v>105</v>
      </c>
      <c r="H85" s="205" t="s">
        <v>103</v>
      </c>
      <c r="I85" s="205" t="s">
        <v>103</v>
      </c>
      <c r="J85" s="205" t="s">
        <v>105</v>
      </c>
      <c r="K85" s="205" t="s">
        <v>105</v>
      </c>
      <c r="L85" s="205" t="s">
        <v>105</v>
      </c>
      <c r="M85" s="205" t="s">
        <v>105</v>
      </c>
      <c r="N85" s="205" t="s">
        <v>105</v>
      </c>
      <c r="O85" s="205" t="s">
        <v>103</v>
      </c>
      <c r="P85" s="205" t="s">
        <v>103</v>
      </c>
      <c r="Q85" s="205" t="s">
        <v>105</v>
      </c>
      <c r="R85" s="205" t="s">
        <v>105</v>
      </c>
      <c r="S85" s="205" t="s">
        <v>105</v>
      </c>
      <c r="T85" s="205" t="s">
        <v>105</v>
      </c>
      <c r="U85" s="205" t="s">
        <v>105</v>
      </c>
      <c r="V85" s="205" t="s">
        <v>103</v>
      </c>
      <c r="W85" s="205" t="s">
        <v>103</v>
      </c>
      <c r="X85" s="205" t="s">
        <v>105</v>
      </c>
      <c r="Y85" s="205" t="s">
        <v>105</v>
      </c>
      <c r="Z85" s="205" t="s">
        <v>105</v>
      </c>
      <c r="AA85" s="205" t="s">
        <v>105</v>
      </c>
      <c r="AB85" s="205" t="s">
        <v>105</v>
      </c>
      <c r="AC85" s="205" t="s">
        <v>103</v>
      </c>
      <c r="AD85" s="205" t="s">
        <v>103</v>
      </c>
      <c r="AE85" s="205" t="s">
        <v>105</v>
      </c>
      <c r="AF85" s="205" t="s">
        <v>105</v>
      </c>
      <c r="AG85" s="62"/>
      <c r="AH85" s="4">
        <f t="shared" si="18"/>
        <v>0</v>
      </c>
      <c r="AI85" s="4">
        <f t="shared" ref="AI85" si="19">COUNTIF(C85:AG85,"A")</f>
        <v>22</v>
      </c>
      <c r="AJ85" s="189" t="s">
        <v>697</v>
      </c>
    </row>
    <row r="86" spans="2:36" ht="20.100000000000001" hidden="1" customHeight="1" outlineLevel="1" x14ac:dyDescent="0.4">
      <c r="B86" s="4" t="s">
        <v>172</v>
      </c>
      <c r="C86" s="205" t="s">
        <v>105</v>
      </c>
      <c r="D86" s="205" t="s">
        <v>105</v>
      </c>
      <c r="E86" s="205" t="s">
        <v>105</v>
      </c>
      <c r="F86" s="205" t="s">
        <v>105</v>
      </c>
      <c r="G86" s="205" t="s">
        <v>105</v>
      </c>
      <c r="H86" s="205" t="s">
        <v>103</v>
      </c>
      <c r="I86" s="205" t="s">
        <v>103</v>
      </c>
      <c r="J86" s="205" t="s">
        <v>105</v>
      </c>
      <c r="K86" s="205" t="s">
        <v>105</v>
      </c>
      <c r="L86" s="205" t="s">
        <v>105</v>
      </c>
      <c r="M86" s="205" t="s">
        <v>105</v>
      </c>
      <c r="N86" s="205" t="s">
        <v>105</v>
      </c>
      <c r="O86" s="205" t="s">
        <v>103</v>
      </c>
      <c r="P86" s="205" t="s">
        <v>103</v>
      </c>
      <c r="Q86" s="205" t="s">
        <v>105</v>
      </c>
      <c r="R86" s="205" t="s">
        <v>105</v>
      </c>
      <c r="S86" s="205" t="s">
        <v>105</v>
      </c>
      <c r="T86" s="205" t="s">
        <v>105</v>
      </c>
      <c r="U86" s="205" t="s">
        <v>105</v>
      </c>
      <c r="V86" s="205" t="s">
        <v>103</v>
      </c>
      <c r="W86" s="205" t="s">
        <v>103</v>
      </c>
      <c r="X86" s="205" t="s">
        <v>105</v>
      </c>
      <c r="Y86" s="205" t="s">
        <v>105</v>
      </c>
      <c r="Z86" s="205" t="s">
        <v>105</v>
      </c>
      <c r="AA86" s="205" t="s">
        <v>105</v>
      </c>
      <c r="AB86" s="205" t="s">
        <v>105</v>
      </c>
      <c r="AC86" s="205" t="s">
        <v>103</v>
      </c>
      <c r="AD86" s="205" t="s">
        <v>103</v>
      </c>
      <c r="AE86" s="205" t="s">
        <v>105</v>
      </c>
      <c r="AF86" s="205" t="s">
        <v>105</v>
      </c>
      <c r="AG86" s="78"/>
      <c r="AH86" s="4">
        <f t="shared" si="18"/>
        <v>0</v>
      </c>
      <c r="AI86" s="4">
        <f t="shared" ref="AI86:AI93" si="20">COUNTIF(C86:AG86,"A")</f>
        <v>22</v>
      </c>
      <c r="AJ86" s="189"/>
    </row>
    <row r="87" spans="2:36" ht="20.100000000000001" hidden="1" customHeight="1" outlineLevel="1" x14ac:dyDescent="0.4">
      <c r="B87" s="4" t="s">
        <v>331</v>
      </c>
      <c r="C87" s="205" t="s">
        <v>105</v>
      </c>
      <c r="D87" s="205" t="s">
        <v>105</v>
      </c>
      <c r="E87" s="205" t="s">
        <v>105</v>
      </c>
      <c r="F87" s="205" t="s">
        <v>105</v>
      </c>
      <c r="G87" s="205" t="s">
        <v>105</v>
      </c>
      <c r="H87" s="205" t="s">
        <v>103</v>
      </c>
      <c r="I87" s="205" t="s">
        <v>103</v>
      </c>
      <c r="J87" s="205" t="s">
        <v>105</v>
      </c>
      <c r="K87" s="205" t="s">
        <v>105</v>
      </c>
      <c r="L87" s="205" t="s">
        <v>105</v>
      </c>
      <c r="M87" s="205" t="s">
        <v>105</v>
      </c>
      <c r="N87" s="205" t="s">
        <v>105</v>
      </c>
      <c r="O87" s="205" t="s">
        <v>103</v>
      </c>
      <c r="P87" s="205" t="s">
        <v>103</v>
      </c>
      <c r="Q87" s="205" t="s">
        <v>105</v>
      </c>
      <c r="R87" s="205" t="s">
        <v>105</v>
      </c>
      <c r="S87" s="205" t="s">
        <v>105</v>
      </c>
      <c r="T87" s="205" t="s">
        <v>105</v>
      </c>
      <c r="U87" s="205" t="s">
        <v>105</v>
      </c>
      <c r="V87" s="205" t="s">
        <v>103</v>
      </c>
      <c r="W87" s="205" t="s">
        <v>103</v>
      </c>
      <c r="X87" s="205" t="s">
        <v>105</v>
      </c>
      <c r="Y87" s="205" t="s">
        <v>105</v>
      </c>
      <c r="Z87" s="205" t="s">
        <v>105</v>
      </c>
      <c r="AA87" s="205" t="s">
        <v>105</v>
      </c>
      <c r="AB87" s="205" t="s">
        <v>105</v>
      </c>
      <c r="AC87" s="205" t="s">
        <v>103</v>
      </c>
      <c r="AD87" s="205" t="s">
        <v>103</v>
      </c>
      <c r="AE87" s="205" t="s">
        <v>105</v>
      </c>
      <c r="AF87" s="205" t="s">
        <v>105</v>
      </c>
      <c r="AG87" s="78"/>
      <c r="AH87" s="4">
        <f t="shared" si="18"/>
        <v>0</v>
      </c>
      <c r="AI87" s="4">
        <f t="shared" si="20"/>
        <v>22</v>
      </c>
      <c r="AJ87" s="189"/>
    </row>
    <row r="88" spans="2:36" ht="20.100000000000001" hidden="1" customHeight="1" outlineLevel="1" x14ac:dyDescent="0.4">
      <c r="B88" s="4" t="s">
        <v>369</v>
      </c>
      <c r="C88" s="205" t="s">
        <v>105</v>
      </c>
      <c r="D88" s="205" t="s">
        <v>105</v>
      </c>
      <c r="E88" s="205" t="s">
        <v>105</v>
      </c>
      <c r="F88" s="205" t="s">
        <v>105</v>
      </c>
      <c r="G88" s="205" t="s">
        <v>105</v>
      </c>
      <c r="H88" s="205" t="s">
        <v>103</v>
      </c>
      <c r="I88" s="205" t="s">
        <v>103</v>
      </c>
      <c r="J88" s="205" t="s">
        <v>105</v>
      </c>
      <c r="K88" s="205" t="s">
        <v>105</v>
      </c>
      <c r="L88" s="205" t="s">
        <v>105</v>
      </c>
      <c r="M88" s="205" t="s">
        <v>105</v>
      </c>
      <c r="N88" s="205" t="s">
        <v>105</v>
      </c>
      <c r="O88" s="205" t="s">
        <v>103</v>
      </c>
      <c r="P88" s="205" t="s">
        <v>103</v>
      </c>
      <c r="Q88" s="205" t="s">
        <v>105</v>
      </c>
      <c r="R88" s="205" t="s">
        <v>105</v>
      </c>
      <c r="S88" s="205" t="s">
        <v>105</v>
      </c>
      <c r="T88" s="205" t="s">
        <v>105</v>
      </c>
      <c r="U88" s="205" t="s">
        <v>105</v>
      </c>
      <c r="V88" s="205" t="s">
        <v>103</v>
      </c>
      <c r="W88" s="205" t="s">
        <v>103</v>
      </c>
      <c r="X88" s="205" t="s">
        <v>105</v>
      </c>
      <c r="Y88" s="205" t="s">
        <v>105</v>
      </c>
      <c r="Z88" s="205" t="s">
        <v>105</v>
      </c>
      <c r="AA88" s="205" t="s">
        <v>105</v>
      </c>
      <c r="AB88" s="205" t="s">
        <v>105</v>
      </c>
      <c r="AC88" s="205" t="s">
        <v>103</v>
      </c>
      <c r="AD88" s="205" t="s">
        <v>103</v>
      </c>
      <c r="AE88" s="205" t="s">
        <v>105</v>
      </c>
      <c r="AF88" s="205" t="s">
        <v>105</v>
      </c>
      <c r="AG88" s="78"/>
      <c r="AH88" s="4">
        <f t="shared" si="18"/>
        <v>0</v>
      </c>
      <c r="AI88" s="4">
        <f t="shared" si="20"/>
        <v>22</v>
      </c>
      <c r="AJ88" s="189"/>
    </row>
    <row r="89" spans="2:36" s="201" customFormat="1" ht="20.100000000000001" hidden="1" customHeight="1" outlineLevel="1" x14ac:dyDescent="0.4">
      <c r="B89" s="4" t="s">
        <v>370</v>
      </c>
      <c r="C89" s="205" t="s">
        <v>105</v>
      </c>
      <c r="D89" s="205" t="s">
        <v>105</v>
      </c>
      <c r="E89" s="205" t="s">
        <v>105</v>
      </c>
      <c r="F89" s="205" t="s">
        <v>105</v>
      </c>
      <c r="G89" s="205" t="s">
        <v>105</v>
      </c>
      <c r="H89" s="205" t="s">
        <v>103</v>
      </c>
      <c r="I89" s="205" t="s">
        <v>103</v>
      </c>
      <c r="J89" s="205" t="s">
        <v>105</v>
      </c>
      <c r="K89" s="205" t="s">
        <v>105</v>
      </c>
      <c r="L89" s="205" t="s">
        <v>105</v>
      </c>
      <c r="M89" s="205" t="s">
        <v>105</v>
      </c>
      <c r="N89" s="205" t="s">
        <v>105</v>
      </c>
      <c r="O89" s="205" t="s">
        <v>103</v>
      </c>
      <c r="P89" s="205" t="s">
        <v>103</v>
      </c>
      <c r="Q89" s="205" t="s">
        <v>105</v>
      </c>
      <c r="R89" s="205" t="s">
        <v>105</v>
      </c>
      <c r="S89" s="205" t="s">
        <v>105</v>
      </c>
      <c r="T89" s="205" t="s">
        <v>105</v>
      </c>
      <c r="U89" s="205" t="s">
        <v>105</v>
      </c>
      <c r="V89" s="205" t="s">
        <v>103</v>
      </c>
      <c r="W89" s="205" t="s">
        <v>103</v>
      </c>
      <c r="X89" s="205" t="s">
        <v>105</v>
      </c>
      <c r="Y89" s="205" t="s">
        <v>105</v>
      </c>
      <c r="Z89" s="205" t="s">
        <v>105</v>
      </c>
      <c r="AA89" s="205" t="s">
        <v>105</v>
      </c>
      <c r="AB89" s="205" t="s">
        <v>105</v>
      </c>
      <c r="AC89" s="205" t="s">
        <v>103</v>
      </c>
      <c r="AD89" s="205" t="s">
        <v>103</v>
      </c>
      <c r="AE89" s="205" t="s">
        <v>105</v>
      </c>
      <c r="AF89" s="205" t="s">
        <v>105</v>
      </c>
      <c r="AG89" s="205"/>
      <c r="AH89" s="4">
        <f t="shared" si="18"/>
        <v>0</v>
      </c>
      <c r="AI89" s="4">
        <f t="shared" si="20"/>
        <v>22</v>
      </c>
    </row>
    <row r="90" spans="2:36" s="201" customFormat="1" ht="20.100000000000001" hidden="1" customHeight="1" outlineLevel="1" x14ac:dyDescent="0.4">
      <c r="B90" s="4" t="s">
        <v>371</v>
      </c>
      <c r="C90" s="205" t="s">
        <v>105</v>
      </c>
      <c r="D90" s="205" t="s">
        <v>105</v>
      </c>
      <c r="E90" s="205" t="s">
        <v>105</v>
      </c>
      <c r="F90" s="205" t="s">
        <v>105</v>
      </c>
      <c r="G90" s="205" t="s">
        <v>105</v>
      </c>
      <c r="H90" s="205" t="s">
        <v>103</v>
      </c>
      <c r="I90" s="205" t="s">
        <v>103</v>
      </c>
      <c r="J90" s="205" t="s">
        <v>105</v>
      </c>
      <c r="K90" s="205" t="s">
        <v>105</v>
      </c>
      <c r="L90" s="205" t="s">
        <v>105</v>
      </c>
      <c r="M90" s="205" t="s">
        <v>105</v>
      </c>
      <c r="N90" s="205" t="s">
        <v>105</v>
      </c>
      <c r="O90" s="205" t="s">
        <v>103</v>
      </c>
      <c r="P90" s="205" t="s">
        <v>103</v>
      </c>
      <c r="Q90" s="205" t="s">
        <v>105</v>
      </c>
      <c r="R90" s="205" t="s">
        <v>105</v>
      </c>
      <c r="S90" s="205" t="s">
        <v>105</v>
      </c>
      <c r="T90" s="205" t="s">
        <v>105</v>
      </c>
      <c r="U90" s="205" t="s">
        <v>105</v>
      </c>
      <c r="V90" s="205" t="s">
        <v>103</v>
      </c>
      <c r="W90" s="205" t="s">
        <v>103</v>
      </c>
      <c r="X90" s="205" t="s">
        <v>105</v>
      </c>
      <c r="Y90" s="205" t="s">
        <v>105</v>
      </c>
      <c r="Z90" s="205" t="s">
        <v>105</v>
      </c>
      <c r="AA90" s="205" t="s">
        <v>105</v>
      </c>
      <c r="AB90" s="205" t="s">
        <v>105</v>
      </c>
      <c r="AC90" s="205" t="s">
        <v>103</v>
      </c>
      <c r="AD90" s="205" t="s">
        <v>103</v>
      </c>
      <c r="AE90" s="205" t="s">
        <v>105</v>
      </c>
      <c r="AF90" s="205" t="s">
        <v>105</v>
      </c>
      <c r="AG90" s="205"/>
      <c r="AH90" s="4">
        <f t="shared" si="18"/>
        <v>0</v>
      </c>
      <c r="AI90" s="4">
        <f t="shared" si="20"/>
        <v>22</v>
      </c>
    </row>
    <row r="91" spans="2:36" ht="20.100000000000001" hidden="1" customHeight="1" outlineLevel="1" x14ac:dyDescent="0.4">
      <c r="B91" s="4" t="s">
        <v>349</v>
      </c>
      <c r="C91" s="205" t="s">
        <v>105</v>
      </c>
      <c r="D91" s="205" t="s">
        <v>105</v>
      </c>
      <c r="E91" s="205" t="s">
        <v>105</v>
      </c>
      <c r="F91" s="205" t="s">
        <v>105</v>
      </c>
      <c r="G91" s="205" t="s">
        <v>105</v>
      </c>
      <c r="H91" s="205" t="s">
        <v>103</v>
      </c>
      <c r="I91" s="205" t="s">
        <v>103</v>
      </c>
      <c r="J91" s="205" t="s">
        <v>105</v>
      </c>
      <c r="K91" s="205" t="s">
        <v>105</v>
      </c>
      <c r="L91" s="205" t="s">
        <v>105</v>
      </c>
      <c r="M91" s="205" t="s">
        <v>105</v>
      </c>
      <c r="N91" s="205" t="s">
        <v>105</v>
      </c>
      <c r="O91" s="205" t="s">
        <v>103</v>
      </c>
      <c r="P91" s="205" t="s">
        <v>103</v>
      </c>
      <c r="Q91" s="205" t="s">
        <v>105</v>
      </c>
      <c r="R91" s="205" t="s">
        <v>105</v>
      </c>
      <c r="S91" s="205" t="s">
        <v>105</v>
      </c>
      <c r="T91" s="205" t="s">
        <v>105</v>
      </c>
      <c r="U91" s="205" t="s">
        <v>105</v>
      </c>
      <c r="V91" s="205" t="s">
        <v>103</v>
      </c>
      <c r="W91" s="205" t="s">
        <v>103</v>
      </c>
      <c r="X91" s="205" t="s">
        <v>105</v>
      </c>
      <c r="Y91" s="205" t="s">
        <v>105</v>
      </c>
      <c r="Z91" s="205" t="s">
        <v>105</v>
      </c>
      <c r="AA91" s="205" t="s">
        <v>105</v>
      </c>
      <c r="AB91" s="205" t="s">
        <v>105</v>
      </c>
      <c r="AC91" s="205" t="s">
        <v>103</v>
      </c>
      <c r="AD91" s="205" t="s">
        <v>103</v>
      </c>
      <c r="AE91" s="205" t="s">
        <v>105</v>
      </c>
      <c r="AF91" s="205" t="s">
        <v>105</v>
      </c>
      <c r="AG91" s="62"/>
      <c r="AH91" s="4">
        <f t="shared" si="18"/>
        <v>0</v>
      </c>
      <c r="AI91" s="4">
        <f t="shared" si="20"/>
        <v>22</v>
      </c>
    </row>
    <row r="92" spans="2:36" s="201" customFormat="1" ht="20.100000000000001" hidden="1" customHeight="1" outlineLevel="1" x14ac:dyDescent="0.4">
      <c r="B92" s="4" t="s">
        <v>372</v>
      </c>
      <c r="C92" s="205" t="s">
        <v>105</v>
      </c>
      <c r="D92" s="205" t="s">
        <v>105</v>
      </c>
      <c r="E92" s="205" t="s">
        <v>105</v>
      </c>
      <c r="F92" s="205" t="s">
        <v>105</v>
      </c>
      <c r="G92" s="205" t="s">
        <v>105</v>
      </c>
      <c r="H92" s="205" t="s">
        <v>103</v>
      </c>
      <c r="I92" s="205" t="s">
        <v>103</v>
      </c>
      <c r="J92" s="205" t="s">
        <v>105</v>
      </c>
      <c r="K92" s="205" t="s">
        <v>105</v>
      </c>
      <c r="L92" s="205" t="s">
        <v>105</v>
      </c>
      <c r="M92" s="205" t="s">
        <v>105</v>
      </c>
      <c r="N92" s="205" t="s">
        <v>105</v>
      </c>
      <c r="O92" s="205" t="s">
        <v>103</v>
      </c>
      <c r="P92" s="205" t="s">
        <v>103</v>
      </c>
      <c r="Q92" s="205" t="s">
        <v>105</v>
      </c>
      <c r="R92" s="205" t="s">
        <v>105</v>
      </c>
      <c r="S92" s="205" t="s">
        <v>105</v>
      </c>
      <c r="T92" s="205" t="s">
        <v>105</v>
      </c>
      <c r="U92" s="205" t="s">
        <v>105</v>
      </c>
      <c r="V92" s="205" t="s">
        <v>103</v>
      </c>
      <c r="W92" s="205" t="s">
        <v>103</v>
      </c>
      <c r="X92" s="205" t="s">
        <v>105</v>
      </c>
      <c r="Y92" s="205" t="s">
        <v>105</v>
      </c>
      <c r="Z92" s="205" t="s">
        <v>105</v>
      </c>
      <c r="AA92" s="205" t="s">
        <v>105</v>
      </c>
      <c r="AB92" s="205" t="s">
        <v>105</v>
      </c>
      <c r="AC92" s="205" t="s">
        <v>103</v>
      </c>
      <c r="AD92" s="205" t="s">
        <v>103</v>
      </c>
      <c r="AE92" s="205" t="s">
        <v>105</v>
      </c>
      <c r="AF92" s="205" t="s">
        <v>105</v>
      </c>
      <c r="AG92" s="205"/>
      <c r="AH92" s="4">
        <f t="shared" si="18"/>
        <v>0</v>
      </c>
      <c r="AI92" s="4">
        <f t="shared" si="20"/>
        <v>22</v>
      </c>
    </row>
    <row r="93" spans="2:36" ht="20.100000000000001" hidden="1" customHeight="1" outlineLevel="1" x14ac:dyDescent="0.4">
      <c r="B93" s="4" t="s">
        <v>373</v>
      </c>
      <c r="C93" s="205" t="s">
        <v>105</v>
      </c>
      <c r="D93" s="205" t="s">
        <v>105</v>
      </c>
      <c r="E93" s="205" t="s">
        <v>105</v>
      </c>
      <c r="F93" s="205" t="s">
        <v>105</v>
      </c>
      <c r="G93" s="205" t="s">
        <v>105</v>
      </c>
      <c r="H93" s="205" t="s">
        <v>103</v>
      </c>
      <c r="I93" s="205" t="s">
        <v>103</v>
      </c>
      <c r="J93" s="205" t="s">
        <v>105</v>
      </c>
      <c r="K93" s="205" t="s">
        <v>105</v>
      </c>
      <c r="L93" s="205" t="s">
        <v>105</v>
      </c>
      <c r="M93" s="205" t="s">
        <v>105</v>
      </c>
      <c r="N93" s="205" t="s">
        <v>105</v>
      </c>
      <c r="O93" s="205" t="s">
        <v>103</v>
      </c>
      <c r="P93" s="205" t="s">
        <v>103</v>
      </c>
      <c r="Q93" s="205" t="s">
        <v>105</v>
      </c>
      <c r="R93" s="205" t="s">
        <v>105</v>
      </c>
      <c r="S93" s="205" t="s">
        <v>105</v>
      </c>
      <c r="T93" s="205" t="s">
        <v>105</v>
      </c>
      <c r="U93" s="205" t="s">
        <v>105</v>
      </c>
      <c r="V93" s="205" t="s">
        <v>103</v>
      </c>
      <c r="W93" s="205" t="s">
        <v>103</v>
      </c>
      <c r="X93" s="205" t="s">
        <v>105</v>
      </c>
      <c r="Y93" s="205" t="s">
        <v>105</v>
      </c>
      <c r="Z93" s="205" t="s">
        <v>105</v>
      </c>
      <c r="AA93" s="205" t="s">
        <v>105</v>
      </c>
      <c r="AB93" s="205" t="s">
        <v>105</v>
      </c>
      <c r="AC93" s="205" t="s">
        <v>103</v>
      </c>
      <c r="AD93" s="205" t="s">
        <v>103</v>
      </c>
      <c r="AE93" s="205" t="s">
        <v>105</v>
      </c>
      <c r="AF93" s="205" t="s">
        <v>105</v>
      </c>
      <c r="AG93" s="62"/>
      <c r="AH93" s="4">
        <f t="shared" si="18"/>
        <v>0</v>
      </c>
      <c r="AI93" s="4">
        <f t="shared" si="20"/>
        <v>22</v>
      </c>
    </row>
    <row r="94" spans="2:36" ht="20.100000000000001" hidden="1" customHeight="1" outlineLevel="1" collapsed="1" x14ac:dyDescent="0.4">
      <c r="AI94" s="201">
        <f>AI97*7.5</f>
        <v>150</v>
      </c>
    </row>
    <row r="95" spans="2:36" ht="20.100000000000001" hidden="1" customHeight="1" outlineLevel="1" x14ac:dyDescent="0.4">
      <c r="B95" s="607">
        <f>DATE(YEAR(B82),MONTH(B82)+1,DAY(B82))</f>
        <v>45931</v>
      </c>
      <c r="C95" s="6">
        <v>1</v>
      </c>
      <c r="D95" s="6">
        <v>2</v>
      </c>
      <c r="E95" s="6">
        <v>3</v>
      </c>
      <c r="F95" s="6">
        <v>4</v>
      </c>
      <c r="G95" s="6">
        <v>5</v>
      </c>
      <c r="H95" s="6">
        <v>6</v>
      </c>
      <c r="I95" s="6">
        <v>7</v>
      </c>
      <c r="J95" s="6">
        <v>8</v>
      </c>
      <c r="K95" s="6">
        <v>9</v>
      </c>
      <c r="L95" s="6">
        <v>10</v>
      </c>
      <c r="M95" s="6">
        <v>11</v>
      </c>
      <c r="N95" s="6">
        <v>12</v>
      </c>
      <c r="O95" s="6">
        <v>13</v>
      </c>
      <c r="P95" s="6">
        <v>14</v>
      </c>
      <c r="Q95" s="6">
        <v>15</v>
      </c>
      <c r="R95" s="6">
        <v>16</v>
      </c>
      <c r="S95" s="6">
        <v>17</v>
      </c>
      <c r="T95" s="6">
        <v>18</v>
      </c>
      <c r="U95" s="6">
        <v>19</v>
      </c>
      <c r="V95" s="6">
        <v>20</v>
      </c>
      <c r="W95" s="6">
        <v>21</v>
      </c>
      <c r="X95" s="6">
        <v>22</v>
      </c>
      <c r="Y95" s="6">
        <v>23</v>
      </c>
      <c r="Z95" s="6">
        <v>24</v>
      </c>
      <c r="AA95" s="6">
        <v>25</v>
      </c>
      <c r="AB95" s="6">
        <v>26</v>
      </c>
      <c r="AC95" s="6">
        <v>27</v>
      </c>
      <c r="AD95" s="6">
        <v>28</v>
      </c>
      <c r="AE95" s="6">
        <v>29</v>
      </c>
      <c r="AF95" s="6">
        <v>30</v>
      </c>
      <c r="AG95" s="6">
        <v>31</v>
      </c>
      <c r="AH95" s="473" t="s">
        <v>106</v>
      </c>
      <c r="AI95" s="478" t="s">
        <v>107</v>
      </c>
      <c r="AJ95" s="189" t="s">
        <v>533</v>
      </c>
    </row>
    <row r="96" spans="2:36" ht="20.100000000000001" hidden="1" customHeight="1" outlineLevel="1" x14ac:dyDescent="0.4">
      <c r="B96" s="608"/>
      <c r="C96" s="6" t="s">
        <v>108</v>
      </c>
      <c r="D96" s="6" t="s">
        <v>109</v>
      </c>
      <c r="E96" s="6" t="s">
        <v>110</v>
      </c>
      <c r="F96" s="6" t="s">
        <v>111</v>
      </c>
      <c r="G96" s="6" t="s">
        <v>366</v>
      </c>
      <c r="H96" s="6" t="s">
        <v>70</v>
      </c>
      <c r="I96" s="6" t="s">
        <v>696</v>
      </c>
      <c r="J96" s="6" t="s">
        <v>108</v>
      </c>
      <c r="K96" s="6" t="s">
        <v>109</v>
      </c>
      <c r="L96" s="6" t="s">
        <v>110</v>
      </c>
      <c r="M96" s="6" t="s">
        <v>111</v>
      </c>
      <c r="N96" s="6" t="s">
        <v>112</v>
      </c>
      <c r="O96" s="6" t="s">
        <v>70</v>
      </c>
      <c r="P96" s="6" t="s">
        <v>72</v>
      </c>
      <c r="Q96" s="6" t="s">
        <v>108</v>
      </c>
      <c r="R96" s="6" t="s">
        <v>109</v>
      </c>
      <c r="S96" s="6" t="s">
        <v>110</v>
      </c>
      <c r="T96" s="6" t="s">
        <v>111</v>
      </c>
      <c r="U96" s="6" t="s">
        <v>112</v>
      </c>
      <c r="V96" s="6" t="s">
        <v>367</v>
      </c>
      <c r="W96" s="6" t="s">
        <v>72</v>
      </c>
      <c r="X96" s="6" t="s">
        <v>108</v>
      </c>
      <c r="Y96" s="6" t="s">
        <v>109</v>
      </c>
      <c r="Z96" s="6" t="s">
        <v>110</v>
      </c>
      <c r="AA96" s="6" t="s">
        <v>111</v>
      </c>
      <c r="AB96" s="6" t="s">
        <v>112</v>
      </c>
      <c r="AC96" s="6" t="s">
        <v>70</v>
      </c>
      <c r="AD96" s="6" t="s">
        <v>72</v>
      </c>
      <c r="AE96" s="6" t="s">
        <v>108</v>
      </c>
      <c r="AF96" s="6" t="s">
        <v>109</v>
      </c>
      <c r="AG96" s="6" t="s">
        <v>110</v>
      </c>
      <c r="AH96" s="475"/>
      <c r="AI96" s="480"/>
      <c r="AJ96" s="189" t="s">
        <v>744</v>
      </c>
    </row>
    <row r="97" spans="2:36" ht="20.100000000000001" hidden="1" customHeight="1" outlineLevel="1" x14ac:dyDescent="0.4">
      <c r="B97" s="4" t="s">
        <v>163</v>
      </c>
      <c r="C97" s="205" t="s">
        <v>105</v>
      </c>
      <c r="D97" s="205" t="s">
        <v>105</v>
      </c>
      <c r="E97" s="205" t="s">
        <v>105</v>
      </c>
      <c r="F97" s="205" t="s">
        <v>103</v>
      </c>
      <c r="G97" s="205" t="s">
        <v>103</v>
      </c>
      <c r="H97" s="205" t="s">
        <v>104</v>
      </c>
      <c r="I97" s="205" t="s">
        <v>104</v>
      </c>
      <c r="J97" s="205" t="s">
        <v>105</v>
      </c>
      <c r="K97" s="205" t="s">
        <v>105</v>
      </c>
      <c r="L97" s="205" t="s">
        <v>105</v>
      </c>
      <c r="M97" s="205" t="s">
        <v>103</v>
      </c>
      <c r="N97" s="205" t="s">
        <v>103</v>
      </c>
      <c r="O97" s="205" t="s">
        <v>105</v>
      </c>
      <c r="P97" s="205" t="s">
        <v>105</v>
      </c>
      <c r="Q97" s="205" t="s">
        <v>105</v>
      </c>
      <c r="R97" s="205" t="s">
        <v>105</v>
      </c>
      <c r="S97" s="205" t="s">
        <v>105</v>
      </c>
      <c r="T97" s="205" t="s">
        <v>103</v>
      </c>
      <c r="U97" s="205" t="s">
        <v>103</v>
      </c>
      <c r="V97" s="205" t="s">
        <v>104</v>
      </c>
      <c r="W97" s="205" t="s">
        <v>105</v>
      </c>
      <c r="X97" s="205" t="s">
        <v>105</v>
      </c>
      <c r="Y97" s="205" t="s">
        <v>105</v>
      </c>
      <c r="Z97" s="205" t="s">
        <v>105</v>
      </c>
      <c r="AA97" s="205" t="s">
        <v>103</v>
      </c>
      <c r="AB97" s="205" t="s">
        <v>103</v>
      </c>
      <c r="AC97" s="205" t="s">
        <v>105</v>
      </c>
      <c r="AD97" s="205" t="s">
        <v>105</v>
      </c>
      <c r="AE97" s="205" t="s">
        <v>105</v>
      </c>
      <c r="AF97" s="205" t="s">
        <v>105</v>
      </c>
      <c r="AG97" s="205" t="s">
        <v>105</v>
      </c>
      <c r="AH97" s="4">
        <f>COUNTIF(C97:AG97,"L")</f>
        <v>0</v>
      </c>
      <c r="AI97" s="4">
        <f>COUNTIF(C97:AG97,"A")</f>
        <v>20</v>
      </c>
      <c r="AJ97" s="189" t="s">
        <v>535</v>
      </c>
    </row>
    <row r="98" spans="2:36" ht="20.100000000000001" hidden="1" customHeight="1" outlineLevel="1" x14ac:dyDescent="0.4">
      <c r="B98" s="4" t="s">
        <v>368</v>
      </c>
      <c r="C98" s="205" t="s">
        <v>105</v>
      </c>
      <c r="D98" s="205" t="s">
        <v>105</v>
      </c>
      <c r="E98" s="205" t="s">
        <v>105</v>
      </c>
      <c r="F98" s="205" t="s">
        <v>103</v>
      </c>
      <c r="G98" s="205" t="s">
        <v>103</v>
      </c>
      <c r="H98" s="205" t="s">
        <v>104</v>
      </c>
      <c r="I98" s="205" t="s">
        <v>104</v>
      </c>
      <c r="J98" s="205" t="s">
        <v>105</v>
      </c>
      <c r="K98" s="205" t="s">
        <v>105</v>
      </c>
      <c r="L98" s="205" t="s">
        <v>105</v>
      </c>
      <c r="M98" s="205" t="s">
        <v>103</v>
      </c>
      <c r="N98" s="205" t="s">
        <v>103</v>
      </c>
      <c r="O98" s="205" t="s">
        <v>105</v>
      </c>
      <c r="P98" s="205" t="s">
        <v>105</v>
      </c>
      <c r="Q98" s="205" t="s">
        <v>105</v>
      </c>
      <c r="R98" s="205" t="s">
        <v>105</v>
      </c>
      <c r="S98" s="205" t="s">
        <v>105</v>
      </c>
      <c r="T98" s="205" t="s">
        <v>103</v>
      </c>
      <c r="U98" s="205" t="s">
        <v>103</v>
      </c>
      <c r="V98" s="205" t="s">
        <v>104</v>
      </c>
      <c r="W98" s="205" t="s">
        <v>105</v>
      </c>
      <c r="X98" s="205" t="s">
        <v>105</v>
      </c>
      <c r="Y98" s="205" t="s">
        <v>105</v>
      </c>
      <c r="Z98" s="205" t="s">
        <v>105</v>
      </c>
      <c r="AA98" s="205" t="s">
        <v>103</v>
      </c>
      <c r="AB98" s="205" t="s">
        <v>103</v>
      </c>
      <c r="AC98" s="205" t="s">
        <v>105</v>
      </c>
      <c r="AD98" s="205" t="s">
        <v>105</v>
      </c>
      <c r="AE98" s="205" t="s">
        <v>105</v>
      </c>
      <c r="AF98" s="205" t="s">
        <v>105</v>
      </c>
      <c r="AG98" s="205" t="s">
        <v>105</v>
      </c>
      <c r="AH98" s="4">
        <f t="shared" ref="AH98:AH106" si="21">COUNTIF(C98:AG98,"L")</f>
        <v>0</v>
      </c>
      <c r="AI98" s="4">
        <f t="shared" ref="AI98:AI106" si="22">COUNTIF(C98:AG98,"A")</f>
        <v>20</v>
      </c>
      <c r="AJ98" s="189" t="s">
        <v>536</v>
      </c>
    </row>
    <row r="99" spans="2:36" ht="20.100000000000001" hidden="1" customHeight="1" outlineLevel="1" x14ac:dyDescent="0.4">
      <c r="B99" s="4" t="s">
        <v>172</v>
      </c>
      <c r="C99" s="205" t="s">
        <v>105</v>
      </c>
      <c r="D99" s="205" t="s">
        <v>105</v>
      </c>
      <c r="E99" s="205" t="s">
        <v>105</v>
      </c>
      <c r="F99" s="205" t="s">
        <v>103</v>
      </c>
      <c r="G99" s="205" t="s">
        <v>103</v>
      </c>
      <c r="H99" s="205" t="s">
        <v>104</v>
      </c>
      <c r="I99" s="205" t="s">
        <v>104</v>
      </c>
      <c r="J99" s="205" t="s">
        <v>105</v>
      </c>
      <c r="K99" s="205" t="s">
        <v>105</v>
      </c>
      <c r="L99" s="205" t="s">
        <v>105</v>
      </c>
      <c r="M99" s="205" t="s">
        <v>103</v>
      </c>
      <c r="N99" s="205" t="s">
        <v>103</v>
      </c>
      <c r="O99" s="205" t="s">
        <v>105</v>
      </c>
      <c r="P99" s="205" t="s">
        <v>105</v>
      </c>
      <c r="Q99" s="205" t="s">
        <v>105</v>
      </c>
      <c r="R99" s="205" t="s">
        <v>105</v>
      </c>
      <c r="S99" s="205" t="s">
        <v>105</v>
      </c>
      <c r="T99" s="205" t="s">
        <v>103</v>
      </c>
      <c r="U99" s="205" t="s">
        <v>103</v>
      </c>
      <c r="V99" s="205" t="s">
        <v>104</v>
      </c>
      <c r="W99" s="205" t="s">
        <v>105</v>
      </c>
      <c r="X99" s="205" t="s">
        <v>105</v>
      </c>
      <c r="Y99" s="205" t="s">
        <v>105</v>
      </c>
      <c r="Z99" s="205" t="s">
        <v>105</v>
      </c>
      <c r="AA99" s="205" t="s">
        <v>103</v>
      </c>
      <c r="AB99" s="205" t="s">
        <v>103</v>
      </c>
      <c r="AC99" s="205" t="s">
        <v>105</v>
      </c>
      <c r="AD99" s="205" t="s">
        <v>105</v>
      </c>
      <c r="AE99" s="205" t="s">
        <v>105</v>
      </c>
      <c r="AF99" s="205" t="s">
        <v>105</v>
      </c>
      <c r="AG99" s="205" t="s">
        <v>105</v>
      </c>
      <c r="AH99" s="4">
        <f t="shared" ref="AH99:AH101" si="23">COUNTIF(C99:AG99,"L")</f>
        <v>0</v>
      </c>
      <c r="AI99" s="4">
        <f t="shared" ref="AI99:AI101" si="24">COUNTIF(C99:AG99,"A")</f>
        <v>20</v>
      </c>
      <c r="AJ99" s="189"/>
    </row>
    <row r="100" spans="2:36" ht="20.100000000000001" hidden="1" customHeight="1" outlineLevel="1" x14ac:dyDescent="0.4">
      <c r="B100" s="4" t="s">
        <v>331</v>
      </c>
      <c r="C100" s="205" t="s">
        <v>105</v>
      </c>
      <c r="D100" s="205" t="s">
        <v>105</v>
      </c>
      <c r="E100" s="205" t="s">
        <v>105</v>
      </c>
      <c r="F100" s="205" t="s">
        <v>103</v>
      </c>
      <c r="G100" s="205" t="s">
        <v>103</v>
      </c>
      <c r="H100" s="205" t="s">
        <v>104</v>
      </c>
      <c r="I100" s="205" t="s">
        <v>104</v>
      </c>
      <c r="J100" s="205" t="s">
        <v>105</v>
      </c>
      <c r="K100" s="205" t="s">
        <v>105</v>
      </c>
      <c r="L100" s="205" t="s">
        <v>105</v>
      </c>
      <c r="M100" s="205" t="s">
        <v>103</v>
      </c>
      <c r="N100" s="205" t="s">
        <v>103</v>
      </c>
      <c r="O100" s="205" t="s">
        <v>105</v>
      </c>
      <c r="P100" s="205" t="s">
        <v>105</v>
      </c>
      <c r="Q100" s="205" t="s">
        <v>105</v>
      </c>
      <c r="R100" s="205" t="s">
        <v>105</v>
      </c>
      <c r="S100" s="205" t="s">
        <v>105</v>
      </c>
      <c r="T100" s="205" t="s">
        <v>103</v>
      </c>
      <c r="U100" s="205" t="s">
        <v>103</v>
      </c>
      <c r="V100" s="205" t="s">
        <v>104</v>
      </c>
      <c r="W100" s="205" t="s">
        <v>105</v>
      </c>
      <c r="X100" s="205" t="s">
        <v>105</v>
      </c>
      <c r="Y100" s="205" t="s">
        <v>105</v>
      </c>
      <c r="Z100" s="205" t="s">
        <v>105</v>
      </c>
      <c r="AA100" s="205" t="s">
        <v>103</v>
      </c>
      <c r="AB100" s="205" t="s">
        <v>103</v>
      </c>
      <c r="AC100" s="205" t="s">
        <v>105</v>
      </c>
      <c r="AD100" s="205" t="s">
        <v>105</v>
      </c>
      <c r="AE100" s="205" t="s">
        <v>105</v>
      </c>
      <c r="AF100" s="205" t="s">
        <v>105</v>
      </c>
      <c r="AG100" s="205" t="s">
        <v>105</v>
      </c>
      <c r="AH100" s="4">
        <f t="shared" si="23"/>
        <v>0</v>
      </c>
      <c r="AI100" s="4">
        <f t="shared" si="24"/>
        <v>20</v>
      </c>
      <c r="AJ100" s="189"/>
    </row>
    <row r="101" spans="2:36" ht="20.100000000000001" hidden="1" customHeight="1" outlineLevel="1" x14ac:dyDescent="0.4">
      <c r="B101" s="4" t="s">
        <v>369</v>
      </c>
      <c r="C101" s="205" t="s">
        <v>105</v>
      </c>
      <c r="D101" s="205" t="s">
        <v>105</v>
      </c>
      <c r="E101" s="205" t="s">
        <v>105</v>
      </c>
      <c r="F101" s="205" t="s">
        <v>103</v>
      </c>
      <c r="G101" s="205" t="s">
        <v>103</v>
      </c>
      <c r="H101" s="205" t="s">
        <v>104</v>
      </c>
      <c r="I101" s="205" t="s">
        <v>104</v>
      </c>
      <c r="J101" s="205" t="s">
        <v>105</v>
      </c>
      <c r="K101" s="205" t="s">
        <v>105</v>
      </c>
      <c r="L101" s="205" t="s">
        <v>105</v>
      </c>
      <c r="M101" s="205" t="s">
        <v>103</v>
      </c>
      <c r="N101" s="205" t="s">
        <v>103</v>
      </c>
      <c r="O101" s="205" t="s">
        <v>105</v>
      </c>
      <c r="P101" s="205" t="s">
        <v>105</v>
      </c>
      <c r="Q101" s="205" t="s">
        <v>105</v>
      </c>
      <c r="R101" s="205" t="s">
        <v>105</v>
      </c>
      <c r="S101" s="205" t="s">
        <v>105</v>
      </c>
      <c r="T101" s="205" t="s">
        <v>103</v>
      </c>
      <c r="U101" s="205" t="s">
        <v>103</v>
      </c>
      <c r="V101" s="205" t="s">
        <v>104</v>
      </c>
      <c r="W101" s="205" t="s">
        <v>105</v>
      </c>
      <c r="X101" s="205" t="s">
        <v>105</v>
      </c>
      <c r="Y101" s="205" t="s">
        <v>105</v>
      </c>
      <c r="Z101" s="205" t="s">
        <v>105</v>
      </c>
      <c r="AA101" s="205" t="s">
        <v>103</v>
      </c>
      <c r="AB101" s="205" t="s">
        <v>103</v>
      </c>
      <c r="AC101" s="205" t="s">
        <v>105</v>
      </c>
      <c r="AD101" s="205" t="s">
        <v>105</v>
      </c>
      <c r="AE101" s="205" t="s">
        <v>105</v>
      </c>
      <c r="AF101" s="205" t="s">
        <v>105</v>
      </c>
      <c r="AG101" s="205" t="s">
        <v>105</v>
      </c>
      <c r="AH101" s="4">
        <f t="shared" si="23"/>
        <v>0</v>
      </c>
      <c r="AI101" s="4">
        <f t="shared" si="24"/>
        <v>20</v>
      </c>
      <c r="AJ101" s="189"/>
    </row>
    <row r="102" spans="2:36" ht="20.100000000000001" hidden="1" customHeight="1" outlineLevel="1" x14ac:dyDescent="0.4">
      <c r="B102" s="4" t="s">
        <v>370</v>
      </c>
      <c r="C102" s="205" t="s">
        <v>105</v>
      </c>
      <c r="D102" s="205" t="s">
        <v>105</v>
      </c>
      <c r="E102" s="205" t="s">
        <v>105</v>
      </c>
      <c r="F102" s="205" t="s">
        <v>103</v>
      </c>
      <c r="G102" s="205" t="s">
        <v>103</v>
      </c>
      <c r="H102" s="205" t="s">
        <v>104</v>
      </c>
      <c r="I102" s="205" t="s">
        <v>104</v>
      </c>
      <c r="J102" s="205" t="s">
        <v>105</v>
      </c>
      <c r="K102" s="205" t="s">
        <v>105</v>
      </c>
      <c r="L102" s="205" t="s">
        <v>105</v>
      </c>
      <c r="M102" s="205" t="s">
        <v>103</v>
      </c>
      <c r="N102" s="205" t="s">
        <v>103</v>
      </c>
      <c r="O102" s="205" t="s">
        <v>105</v>
      </c>
      <c r="P102" s="205" t="s">
        <v>105</v>
      </c>
      <c r="Q102" s="205" t="s">
        <v>105</v>
      </c>
      <c r="R102" s="205" t="s">
        <v>105</v>
      </c>
      <c r="S102" s="205" t="s">
        <v>105</v>
      </c>
      <c r="T102" s="205" t="s">
        <v>103</v>
      </c>
      <c r="U102" s="205" t="s">
        <v>103</v>
      </c>
      <c r="V102" s="205" t="s">
        <v>104</v>
      </c>
      <c r="W102" s="205" t="s">
        <v>105</v>
      </c>
      <c r="X102" s="205" t="s">
        <v>105</v>
      </c>
      <c r="Y102" s="205" t="s">
        <v>105</v>
      </c>
      <c r="Z102" s="205" t="s">
        <v>105</v>
      </c>
      <c r="AA102" s="205" t="s">
        <v>103</v>
      </c>
      <c r="AB102" s="205" t="s">
        <v>103</v>
      </c>
      <c r="AC102" s="205" t="s">
        <v>105</v>
      </c>
      <c r="AD102" s="205" t="s">
        <v>105</v>
      </c>
      <c r="AE102" s="205" t="s">
        <v>105</v>
      </c>
      <c r="AF102" s="205" t="s">
        <v>105</v>
      </c>
      <c r="AG102" s="205" t="s">
        <v>105</v>
      </c>
      <c r="AH102" s="4">
        <f t="shared" si="21"/>
        <v>0</v>
      </c>
      <c r="AI102" s="4">
        <f t="shared" si="22"/>
        <v>20</v>
      </c>
      <c r="AJ102" s="189"/>
    </row>
    <row r="103" spans="2:36" s="201" customFormat="1" ht="20.100000000000001" hidden="1" customHeight="1" outlineLevel="1" x14ac:dyDescent="0.4">
      <c r="B103" s="4" t="s">
        <v>371</v>
      </c>
      <c r="C103" s="205" t="s">
        <v>105</v>
      </c>
      <c r="D103" s="205" t="s">
        <v>105</v>
      </c>
      <c r="E103" s="205" t="s">
        <v>105</v>
      </c>
      <c r="F103" s="205" t="s">
        <v>103</v>
      </c>
      <c r="G103" s="205" t="s">
        <v>103</v>
      </c>
      <c r="H103" s="205" t="s">
        <v>104</v>
      </c>
      <c r="I103" s="205" t="s">
        <v>104</v>
      </c>
      <c r="J103" s="205" t="s">
        <v>105</v>
      </c>
      <c r="K103" s="205" t="s">
        <v>105</v>
      </c>
      <c r="L103" s="205" t="s">
        <v>105</v>
      </c>
      <c r="M103" s="205" t="s">
        <v>103</v>
      </c>
      <c r="N103" s="205" t="s">
        <v>103</v>
      </c>
      <c r="O103" s="205" t="s">
        <v>105</v>
      </c>
      <c r="P103" s="205" t="s">
        <v>105</v>
      </c>
      <c r="Q103" s="205" t="s">
        <v>105</v>
      </c>
      <c r="R103" s="205" t="s">
        <v>105</v>
      </c>
      <c r="S103" s="205" t="s">
        <v>105</v>
      </c>
      <c r="T103" s="205" t="s">
        <v>103</v>
      </c>
      <c r="U103" s="205" t="s">
        <v>103</v>
      </c>
      <c r="V103" s="205" t="s">
        <v>104</v>
      </c>
      <c r="W103" s="205" t="s">
        <v>105</v>
      </c>
      <c r="X103" s="205" t="s">
        <v>105</v>
      </c>
      <c r="Y103" s="205" t="s">
        <v>105</v>
      </c>
      <c r="Z103" s="205" t="s">
        <v>105</v>
      </c>
      <c r="AA103" s="205" t="s">
        <v>103</v>
      </c>
      <c r="AB103" s="205" t="s">
        <v>103</v>
      </c>
      <c r="AC103" s="205" t="s">
        <v>105</v>
      </c>
      <c r="AD103" s="205" t="s">
        <v>105</v>
      </c>
      <c r="AE103" s="205" t="s">
        <v>105</v>
      </c>
      <c r="AF103" s="205" t="s">
        <v>105</v>
      </c>
      <c r="AG103" s="205" t="s">
        <v>105</v>
      </c>
      <c r="AH103" s="4">
        <f t="shared" si="21"/>
        <v>0</v>
      </c>
      <c r="AI103" s="4">
        <f t="shared" si="22"/>
        <v>20</v>
      </c>
      <c r="AJ103" s="189"/>
    </row>
    <row r="104" spans="2:36" s="201" customFormat="1" ht="20.100000000000001" hidden="1" customHeight="1" outlineLevel="1" x14ac:dyDescent="0.4">
      <c r="B104" s="4" t="s">
        <v>349</v>
      </c>
      <c r="C104" s="205" t="s">
        <v>105</v>
      </c>
      <c r="D104" s="205" t="s">
        <v>105</v>
      </c>
      <c r="E104" s="205" t="s">
        <v>105</v>
      </c>
      <c r="F104" s="205" t="s">
        <v>103</v>
      </c>
      <c r="G104" s="205" t="s">
        <v>103</v>
      </c>
      <c r="H104" s="205" t="s">
        <v>104</v>
      </c>
      <c r="I104" s="205" t="s">
        <v>104</v>
      </c>
      <c r="J104" s="205" t="s">
        <v>105</v>
      </c>
      <c r="K104" s="205" t="s">
        <v>105</v>
      </c>
      <c r="L104" s="205" t="s">
        <v>105</v>
      </c>
      <c r="M104" s="205" t="s">
        <v>103</v>
      </c>
      <c r="N104" s="205" t="s">
        <v>103</v>
      </c>
      <c r="O104" s="205" t="s">
        <v>105</v>
      </c>
      <c r="P104" s="205" t="s">
        <v>105</v>
      </c>
      <c r="Q104" s="205" t="s">
        <v>105</v>
      </c>
      <c r="R104" s="205" t="s">
        <v>105</v>
      </c>
      <c r="S104" s="205" t="s">
        <v>105</v>
      </c>
      <c r="T104" s="205" t="s">
        <v>103</v>
      </c>
      <c r="U104" s="205" t="s">
        <v>103</v>
      </c>
      <c r="V104" s="205" t="s">
        <v>104</v>
      </c>
      <c r="W104" s="205" t="s">
        <v>105</v>
      </c>
      <c r="X104" s="205" t="s">
        <v>105</v>
      </c>
      <c r="Y104" s="205" t="s">
        <v>105</v>
      </c>
      <c r="Z104" s="205" t="s">
        <v>105</v>
      </c>
      <c r="AA104" s="205" t="s">
        <v>103</v>
      </c>
      <c r="AB104" s="205" t="s">
        <v>103</v>
      </c>
      <c r="AC104" s="205" t="s">
        <v>105</v>
      </c>
      <c r="AD104" s="205" t="s">
        <v>105</v>
      </c>
      <c r="AE104" s="205" t="s">
        <v>105</v>
      </c>
      <c r="AF104" s="205" t="s">
        <v>105</v>
      </c>
      <c r="AG104" s="205" t="s">
        <v>105</v>
      </c>
      <c r="AH104" s="4">
        <f t="shared" si="21"/>
        <v>0</v>
      </c>
      <c r="AI104" s="4">
        <f t="shared" si="22"/>
        <v>20</v>
      </c>
      <c r="AJ104" s="189"/>
    </row>
    <row r="105" spans="2:36" s="201" customFormat="1" ht="20.100000000000001" hidden="1" customHeight="1" outlineLevel="1" x14ac:dyDescent="0.4">
      <c r="B105" s="4" t="s">
        <v>372</v>
      </c>
      <c r="C105" s="205" t="s">
        <v>105</v>
      </c>
      <c r="D105" s="205" t="s">
        <v>105</v>
      </c>
      <c r="E105" s="205" t="s">
        <v>105</v>
      </c>
      <c r="F105" s="205" t="s">
        <v>103</v>
      </c>
      <c r="G105" s="205" t="s">
        <v>103</v>
      </c>
      <c r="H105" s="205" t="s">
        <v>104</v>
      </c>
      <c r="I105" s="205" t="s">
        <v>104</v>
      </c>
      <c r="J105" s="205" t="s">
        <v>105</v>
      </c>
      <c r="K105" s="205" t="s">
        <v>105</v>
      </c>
      <c r="L105" s="205" t="s">
        <v>105</v>
      </c>
      <c r="M105" s="205" t="s">
        <v>103</v>
      </c>
      <c r="N105" s="205" t="s">
        <v>103</v>
      </c>
      <c r="O105" s="205" t="s">
        <v>105</v>
      </c>
      <c r="P105" s="205" t="s">
        <v>105</v>
      </c>
      <c r="Q105" s="205" t="s">
        <v>105</v>
      </c>
      <c r="R105" s="205" t="s">
        <v>105</v>
      </c>
      <c r="S105" s="205" t="s">
        <v>105</v>
      </c>
      <c r="T105" s="205" t="s">
        <v>103</v>
      </c>
      <c r="U105" s="205" t="s">
        <v>103</v>
      </c>
      <c r="V105" s="205" t="s">
        <v>104</v>
      </c>
      <c r="W105" s="205" t="s">
        <v>105</v>
      </c>
      <c r="X105" s="205" t="s">
        <v>105</v>
      </c>
      <c r="Y105" s="205" t="s">
        <v>105</v>
      </c>
      <c r="Z105" s="205" t="s">
        <v>105</v>
      </c>
      <c r="AA105" s="205" t="s">
        <v>103</v>
      </c>
      <c r="AB105" s="205" t="s">
        <v>103</v>
      </c>
      <c r="AC105" s="205" t="s">
        <v>105</v>
      </c>
      <c r="AD105" s="205" t="s">
        <v>105</v>
      </c>
      <c r="AE105" s="205" t="s">
        <v>105</v>
      </c>
      <c r="AF105" s="205" t="s">
        <v>105</v>
      </c>
      <c r="AG105" s="205" t="s">
        <v>105</v>
      </c>
      <c r="AH105" s="4">
        <f t="shared" si="21"/>
        <v>0</v>
      </c>
      <c r="AI105" s="4">
        <f t="shared" si="22"/>
        <v>20</v>
      </c>
    </row>
    <row r="106" spans="2:36" ht="20.100000000000001" hidden="1" customHeight="1" outlineLevel="1" x14ac:dyDescent="0.4">
      <c r="B106" s="4" t="s">
        <v>373</v>
      </c>
      <c r="C106" s="205" t="s">
        <v>105</v>
      </c>
      <c r="D106" s="205" t="s">
        <v>105</v>
      </c>
      <c r="E106" s="205" t="s">
        <v>105</v>
      </c>
      <c r="F106" s="205" t="s">
        <v>103</v>
      </c>
      <c r="G106" s="205" t="s">
        <v>103</v>
      </c>
      <c r="H106" s="205" t="s">
        <v>104</v>
      </c>
      <c r="I106" s="205" t="s">
        <v>104</v>
      </c>
      <c r="J106" s="205" t="s">
        <v>105</v>
      </c>
      <c r="K106" s="205" t="s">
        <v>105</v>
      </c>
      <c r="L106" s="205" t="s">
        <v>105</v>
      </c>
      <c r="M106" s="205" t="s">
        <v>103</v>
      </c>
      <c r="N106" s="205" t="s">
        <v>103</v>
      </c>
      <c r="O106" s="205" t="s">
        <v>105</v>
      </c>
      <c r="P106" s="205" t="s">
        <v>105</v>
      </c>
      <c r="Q106" s="205" t="s">
        <v>105</v>
      </c>
      <c r="R106" s="205" t="s">
        <v>105</v>
      </c>
      <c r="S106" s="205" t="s">
        <v>105</v>
      </c>
      <c r="T106" s="205" t="s">
        <v>103</v>
      </c>
      <c r="U106" s="205" t="s">
        <v>103</v>
      </c>
      <c r="V106" s="205" t="s">
        <v>104</v>
      </c>
      <c r="W106" s="205" t="s">
        <v>105</v>
      </c>
      <c r="X106" s="205" t="s">
        <v>105</v>
      </c>
      <c r="Y106" s="205" t="s">
        <v>105</v>
      </c>
      <c r="Z106" s="205" t="s">
        <v>105</v>
      </c>
      <c r="AA106" s="205" t="s">
        <v>103</v>
      </c>
      <c r="AB106" s="205" t="s">
        <v>103</v>
      </c>
      <c r="AC106" s="205" t="s">
        <v>105</v>
      </c>
      <c r="AD106" s="205" t="s">
        <v>105</v>
      </c>
      <c r="AE106" s="205" t="s">
        <v>105</v>
      </c>
      <c r="AF106" s="205" t="s">
        <v>105</v>
      </c>
      <c r="AG106" s="205" t="s">
        <v>105</v>
      </c>
      <c r="AH106" s="4">
        <f t="shared" si="21"/>
        <v>0</v>
      </c>
      <c r="AI106" s="4">
        <f t="shared" si="22"/>
        <v>20</v>
      </c>
    </row>
    <row r="107" spans="2:36" ht="20.100000000000001" hidden="1" customHeight="1" outlineLevel="1" collapsed="1" x14ac:dyDescent="0.4">
      <c r="AI107" s="201">
        <f>AI110*7.5</f>
        <v>135</v>
      </c>
    </row>
    <row r="108" spans="2:36" ht="20.100000000000001" hidden="1" customHeight="1" outlineLevel="1" x14ac:dyDescent="0.4">
      <c r="B108" s="607">
        <f>DATE(YEAR(B95),MONTH(B95)+1,DAY(B95))</f>
        <v>45962</v>
      </c>
      <c r="C108" s="6">
        <v>1</v>
      </c>
      <c r="D108" s="6">
        <v>2</v>
      </c>
      <c r="E108" s="6">
        <v>3</v>
      </c>
      <c r="F108" s="6">
        <v>4</v>
      </c>
      <c r="G108" s="6">
        <v>5</v>
      </c>
      <c r="H108" s="6">
        <v>6</v>
      </c>
      <c r="I108" s="6">
        <v>7</v>
      </c>
      <c r="J108" s="6">
        <v>8</v>
      </c>
      <c r="K108" s="6">
        <v>9</v>
      </c>
      <c r="L108" s="6">
        <v>10</v>
      </c>
      <c r="M108" s="6">
        <v>11</v>
      </c>
      <c r="N108" s="6">
        <v>12</v>
      </c>
      <c r="O108" s="6">
        <v>13</v>
      </c>
      <c r="P108" s="6">
        <v>14</v>
      </c>
      <c r="Q108" s="6">
        <v>15</v>
      </c>
      <c r="R108" s="6">
        <v>16</v>
      </c>
      <c r="S108" s="6">
        <v>17</v>
      </c>
      <c r="T108" s="6">
        <v>18</v>
      </c>
      <c r="U108" s="6">
        <v>19</v>
      </c>
      <c r="V108" s="6">
        <v>20</v>
      </c>
      <c r="W108" s="6">
        <v>21</v>
      </c>
      <c r="X108" s="6">
        <v>22</v>
      </c>
      <c r="Y108" s="6">
        <v>23</v>
      </c>
      <c r="Z108" s="6">
        <v>24</v>
      </c>
      <c r="AA108" s="6">
        <v>25</v>
      </c>
      <c r="AB108" s="6">
        <v>26</v>
      </c>
      <c r="AC108" s="6">
        <v>27</v>
      </c>
      <c r="AD108" s="6">
        <v>28</v>
      </c>
      <c r="AE108" s="6">
        <v>29</v>
      </c>
      <c r="AF108" s="6">
        <v>30</v>
      </c>
      <c r="AG108" s="6"/>
      <c r="AH108" s="473" t="s">
        <v>106</v>
      </c>
      <c r="AI108" s="478" t="s">
        <v>107</v>
      </c>
      <c r="AJ108" s="189" t="s">
        <v>533</v>
      </c>
    </row>
    <row r="109" spans="2:36" ht="20.100000000000001" hidden="1" customHeight="1" outlineLevel="1" x14ac:dyDescent="0.4">
      <c r="B109" s="608"/>
      <c r="C109" s="6" t="s">
        <v>111</v>
      </c>
      <c r="D109" s="6" t="s">
        <v>112</v>
      </c>
      <c r="E109" s="6" t="s">
        <v>367</v>
      </c>
      <c r="F109" s="6" t="s">
        <v>696</v>
      </c>
      <c r="G109" s="6" t="s">
        <v>108</v>
      </c>
      <c r="H109" s="6" t="s">
        <v>109</v>
      </c>
      <c r="I109" s="6" t="s">
        <v>110</v>
      </c>
      <c r="J109" s="6" t="s">
        <v>111</v>
      </c>
      <c r="K109" s="6" t="s">
        <v>112</v>
      </c>
      <c r="L109" s="6" t="s">
        <v>70</v>
      </c>
      <c r="M109" s="6" t="s">
        <v>72</v>
      </c>
      <c r="N109" s="6" t="s">
        <v>108</v>
      </c>
      <c r="O109" s="6" t="s">
        <v>109</v>
      </c>
      <c r="P109" s="6" t="s">
        <v>365</v>
      </c>
      <c r="Q109" s="6" t="s">
        <v>111</v>
      </c>
      <c r="R109" s="6" t="s">
        <v>112</v>
      </c>
      <c r="S109" s="6" t="s">
        <v>70</v>
      </c>
      <c r="T109" s="6" t="s">
        <v>72</v>
      </c>
      <c r="U109" s="6" t="s">
        <v>108</v>
      </c>
      <c r="V109" s="6" t="s">
        <v>109</v>
      </c>
      <c r="W109" s="6" t="s">
        <v>110</v>
      </c>
      <c r="X109" s="6" t="s">
        <v>111</v>
      </c>
      <c r="Y109" s="6" t="s">
        <v>112</v>
      </c>
      <c r="Z109" s="6" t="s">
        <v>70</v>
      </c>
      <c r="AA109" s="6" t="s">
        <v>72</v>
      </c>
      <c r="AB109" s="6" t="s">
        <v>108</v>
      </c>
      <c r="AC109" s="6" t="s">
        <v>109</v>
      </c>
      <c r="AD109" s="6" t="s">
        <v>110</v>
      </c>
      <c r="AE109" s="6" t="s">
        <v>111</v>
      </c>
      <c r="AF109" s="6" t="s">
        <v>112</v>
      </c>
      <c r="AG109" s="6"/>
      <c r="AH109" s="475"/>
      <c r="AI109" s="480"/>
      <c r="AJ109" s="189" t="s">
        <v>534</v>
      </c>
    </row>
    <row r="110" spans="2:36" ht="20.100000000000001" hidden="1" customHeight="1" outlineLevel="1" x14ac:dyDescent="0.4">
      <c r="B110" s="4" t="s">
        <v>163</v>
      </c>
      <c r="C110" s="205" t="s">
        <v>103</v>
      </c>
      <c r="D110" s="205" t="s">
        <v>103</v>
      </c>
      <c r="E110" s="205" t="s">
        <v>104</v>
      </c>
      <c r="F110" s="205" t="s">
        <v>104</v>
      </c>
      <c r="G110" s="205" t="s">
        <v>105</v>
      </c>
      <c r="H110" s="205" t="s">
        <v>105</v>
      </c>
      <c r="I110" s="205" t="s">
        <v>105</v>
      </c>
      <c r="J110" s="205" t="s">
        <v>105</v>
      </c>
      <c r="K110" s="205" t="s">
        <v>103</v>
      </c>
      <c r="L110" s="205" t="s">
        <v>105</v>
      </c>
      <c r="M110" s="205" t="s">
        <v>105</v>
      </c>
      <c r="N110" s="205" t="s">
        <v>105</v>
      </c>
      <c r="O110" s="205" t="s">
        <v>105</v>
      </c>
      <c r="P110" s="205" t="s">
        <v>104</v>
      </c>
      <c r="Q110" s="205" t="s">
        <v>103</v>
      </c>
      <c r="R110" s="205" t="s">
        <v>103</v>
      </c>
      <c r="S110" s="205" t="s">
        <v>105</v>
      </c>
      <c r="T110" s="205" t="s">
        <v>105</v>
      </c>
      <c r="U110" s="205" t="s">
        <v>105</v>
      </c>
      <c r="V110" s="205" t="s">
        <v>105</v>
      </c>
      <c r="W110" s="205" t="s">
        <v>105</v>
      </c>
      <c r="X110" s="205" t="s">
        <v>103</v>
      </c>
      <c r="Y110" s="205" t="s">
        <v>103</v>
      </c>
      <c r="Z110" s="205" t="s">
        <v>105</v>
      </c>
      <c r="AA110" s="205" t="s">
        <v>105</v>
      </c>
      <c r="AB110" s="205" t="s">
        <v>105</v>
      </c>
      <c r="AC110" s="205" t="s">
        <v>105</v>
      </c>
      <c r="AD110" s="205" t="s">
        <v>105</v>
      </c>
      <c r="AE110" s="205" t="s">
        <v>103</v>
      </c>
      <c r="AF110" s="205" t="s">
        <v>103</v>
      </c>
      <c r="AG110" s="62"/>
      <c r="AH110" s="4">
        <f>COUNTIF(C110:AG110,"L")</f>
        <v>0</v>
      </c>
      <c r="AI110" s="4">
        <f>COUNTIF(C110:AG110,"A")</f>
        <v>18</v>
      </c>
      <c r="AJ110" s="189" t="s">
        <v>535</v>
      </c>
    </row>
    <row r="111" spans="2:36" ht="20.100000000000001" hidden="1" customHeight="1" outlineLevel="1" x14ac:dyDescent="0.4">
      <c r="B111" s="4" t="s">
        <v>368</v>
      </c>
      <c r="C111" s="205" t="s">
        <v>103</v>
      </c>
      <c r="D111" s="205" t="s">
        <v>103</v>
      </c>
      <c r="E111" s="205" t="s">
        <v>104</v>
      </c>
      <c r="F111" s="205" t="s">
        <v>104</v>
      </c>
      <c r="G111" s="205" t="s">
        <v>105</v>
      </c>
      <c r="H111" s="205" t="s">
        <v>105</v>
      </c>
      <c r="I111" s="205" t="s">
        <v>105</v>
      </c>
      <c r="J111" s="205" t="s">
        <v>105</v>
      </c>
      <c r="K111" s="205" t="s">
        <v>103</v>
      </c>
      <c r="L111" s="205" t="s">
        <v>105</v>
      </c>
      <c r="M111" s="205" t="s">
        <v>105</v>
      </c>
      <c r="N111" s="205" t="s">
        <v>105</v>
      </c>
      <c r="O111" s="205" t="s">
        <v>105</v>
      </c>
      <c r="P111" s="205" t="s">
        <v>104</v>
      </c>
      <c r="Q111" s="205" t="s">
        <v>103</v>
      </c>
      <c r="R111" s="205" t="s">
        <v>103</v>
      </c>
      <c r="S111" s="205" t="s">
        <v>105</v>
      </c>
      <c r="T111" s="205" t="s">
        <v>105</v>
      </c>
      <c r="U111" s="205" t="s">
        <v>105</v>
      </c>
      <c r="V111" s="205" t="s">
        <v>105</v>
      </c>
      <c r="W111" s="205" t="s">
        <v>105</v>
      </c>
      <c r="X111" s="205" t="s">
        <v>103</v>
      </c>
      <c r="Y111" s="205" t="s">
        <v>103</v>
      </c>
      <c r="Z111" s="205" t="s">
        <v>105</v>
      </c>
      <c r="AA111" s="205" t="s">
        <v>105</v>
      </c>
      <c r="AB111" s="205" t="s">
        <v>105</v>
      </c>
      <c r="AC111" s="205" t="s">
        <v>105</v>
      </c>
      <c r="AD111" s="205" t="s">
        <v>105</v>
      </c>
      <c r="AE111" s="205" t="s">
        <v>103</v>
      </c>
      <c r="AF111" s="205" t="s">
        <v>103</v>
      </c>
      <c r="AG111" s="62"/>
      <c r="AH111" s="4">
        <f t="shared" ref="AH111:AH119" si="25">COUNTIF(C111:AG111,"L")</f>
        <v>0</v>
      </c>
      <c r="AI111" s="4">
        <f t="shared" ref="AI111:AI119" si="26">COUNTIF(C111:AG111,"A")</f>
        <v>18</v>
      </c>
      <c r="AJ111" s="189" t="s">
        <v>536</v>
      </c>
    </row>
    <row r="112" spans="2:36" ht="20.100000000000001" hidden="1" customHeight="1" outlineLevel="1" x14ac:dyDescent="0.4">
      <c r="B112" s="4" t="s">
        <v>172</v>
      </c>
      <c r="C112" s="205" t="s">
        <v>103</v>
      </c>
      <c r="D112" s="205" t="s">
        <v>103</v>
      </c>
      <c r="E112" s="205" t="s">
        <v>104</v>
      </c>
      <c r="F112" s="205" t="s">
        <v>104</v>
      </c>
      <c r="G112" s="205" t="s">
        <v>105</v>
      </c>
      <c r="H112" s="205" t="s">
        <v>105</v>
      </c>
      <c r="I112" s="205" t="s">
        <v>105</v>
      </c>
      <c r="J112" s="205" t="s">
        <v>105</v>
      </c>
      <c r="K112" s="205" t="s">
        <v>103</v>
      </c>
      <c r="L112" s="205" t="s">
        <v>105</v>
      </c>
      <c r="M112" s="205" t="s">
        <v>105</v>
      </c>
      <c r="N112" s="205" t="s">
        <v>105</v>
      </c>
      <c r="O112" s="205" t="s">
        <v>105</v>
      </c>
      <c r="P112" s="205" t="s">
        <v>104</v>
      </c>
      <c r="Q112" s="205" t="s">
        <v>103</v>
      </c>
      <c r="R112" s="205" t="s">
        <v>103</v>
      </c>
      <c r="S112" s="205" t="s">
        <v>105</v>
      </c>
      <c r="T112" s="205" t="s">
        <v>105</v>
      </c>
      <c r="U112" s="205" t="s">
        <v>105</v>
      </c>
      <c r="V112" s="205" t="s">
        <v>105</v>
      </c>
      <c r="W112" s="205" t="s">
        <v>105</v>
      </c>
      <c r="X112" s="205" t="s">
        <v>103</v>
      </c>
      <c r="Y112" s="205" t="s">
        <v>103</v>
      </c>
      <c r="Z112" s="205" t="s">
        <v>105</v>
      </c>
      <c r="AA112" s="205" t="s">
        <v>105</v>
      </c>
      <c r="AB112" s="205" t="s">
        <v>105</v>
      </c>
      <c r="AC112" s="205" t="s">
        <v>105</v>
      </c>
      <c r="AD112" s="205" t="s">
        <v>105</v>
      </c>
      <c r="AE112" s="205" t="s">
        <v>103</v>
      </c>
      <c r="AF112" s="205" t="s">
        <v>103</v>
      </c>
      <c r="AG112" s="78"/>
      <c r="AH112" s="4">
        <f t="shared" ref="AH112:AH114" si="27">COUNTIF(C112:AG112,"L")</f>
        <v>0</v>
      </c>
      <c r="AI112" s="4">
        <f t="shared" ref="AI112:AI114" si="28">COUNTIF(C112:AG112,"A")</f>
        <v>18</v>
      </c>
    </row>
    <row r="113" spans="2:36" ht="20.100000000000001" hidden="1" customHeight="1" outlineLevel="1" x14ac:dyDescent="0.4">
      <c r="B113" s="4" t="s">
        <v>331</v>
      </c>
      <c r="C113" s="205" t="s">
        <v>103</v>
      </c>
      <c r="D113" s="205" t="s">
        <v>103</v>
      </c>
      <c r="E113" s="205" t="s">
        <v>104</v>
      </c>
      <c r="F113" s="205" t="s">
        <v>104</v>
      </c>
      <c r="G113" s="205" t="s">
        <v>105</v>
      </c>
      <c r="H113" s="205" t="s">
        <v>105</v>
      </c>
      <c r="I113" s="205" t="s">
        <v>105</v>
      </c>
      <c r="J113" s="205" t="s">
        <v>105</v>
      </c>
      <c r="K113" s="205" t="s">
        <v>103</v>
      </c>
      <c r="L113" s="205" t="s">
        <v>105</v>
      </c>
      <c r="M113" s="205" t="s">
        <v>105</v>
      </c>
      <c r="N113" s="205" t="s">
        <v>105</v>
      </c>
      <c r="O113" s="205" t="s">
        <v>105</v>
      </c>
      <c r="P113" s="205" t="s">
        <v>104</v>
      </c>
      <c r="Q113" s="205" t="s">
        <v>103</v>
      </c>
      <c r="R113" s="205" t="s">
        <v>103</v>
      </c>
      <c r="S113" s="205" t="s">
        <v>105</v>
      </c>
      <c r="T113" s="205" t="s">
        <v>105</v>
      </c>
      <c r="U113" s="205" t="s">
        <v>105</v>
      </c>
      <c r="V113" s="205" t="s">
        <v>105</v>
      </c>
      <c r="W113" s="205" t="s">
        <v>105</v>
      </c>
      <c r="X113" s="205" t="s">
        <v>103</v>
      </c>
      <c r="Y113" s="205" t="s">
        <v>103</v>
      </c>
      <c r="Z113" s="205" t="s">
        <v>105</v>
      </c>
      <c r="AA113" s="205" t="s">
        <v>105</v>
      </c>
      <c r="AB113" s="205" t="s">
        <v>105</v>
      </c>
      <c r="AC113" s="205" t="s">
        <v>105</v>
      </c>
      <c r="AD113" s="205" t="s">
        <v>105</v>
      </c>
      <c r="AE113" s="205" t="s">
        <v>103</v>
      </c>
      <c r="AF113" s="205" t="s">
        <v>103</v>
      </c>
      <c r="AG113" s="78"/>
      <c r="AH113" s="4">
        <f t="shared" si="27"/>
        <v>0</v>
      </c>
      <c r="AI113" s="4">
        <f t="shared" si="28"/>
        <v>18</v>
      </c>
      <c r="AJ113" s="189"/>
    </row>
    <row r="114" spans="2:36" ht="20.100000000000001" hidden="1" customHeight="1" outlineLevel="1" x14ac:dyDescent="0.4">
      <c r="B114" s="4" t="s">
        <v>369</v>
      </c>
      <c r="C114" s="205" t="s">
        <v>103</v>
      </c>
      <c r="D114" s="205" t="s">
        <v>103</v>
      </c>
      <c r="E114" s="205" t="s">
        <v>104</v>
      </c>
      <c r="F114" s="205" t="s">
        <v>104</v>
      </c>
      <c r="G114" s="205" t="s">
        <v>105</v>
      </c>
      <c r="H114" s="205" t="s">
        <v>105</v>
      </c>
      <c r="I114" s="205" t="s">
        <v>105</v>
      </c>
      <c r="J114" s="205" t="s">
        <v>105</v>
      </c>
      <c r="K114" s="205" t="s">
        <v>103</v>
      </c>
      <c r="L114" s="205" t="s">
        <v>105</v>
      </c>
      <c r="M114" s="205" t="s">
        <v>105</v>
      </c>
      <c r="N114" s="205" t="s">
        <v>105</v>
      </c>
      <c r="O114" s="205" t="s">
        <v>105</v>
      </c>
      <c r="P114" s="205" t="s">
        <v>104</v>
      </c>
      <c r="Q114" s="205" t="s">
        <v>103</v>
      </c>
      <c r="R114" s="205" t="s">
        <v>103</v>
      </c>
      <c r="S114" s="205" t="s">
        <v>105</v>
      </c>
      <c r="T114" s="205" t="s">
        <v>105</v>
      </c>
      <c r="U114" s="205" t="s">
        <v>105</v>
      </c>
      <c r="V114" s="205" t="s">
        <v>105</v>
      </c>
      <c r="W114" s="205" t="s">
        <v>105</v>
      </c>
      <c r="X114" s="205" t="s">
        <v>103</v>
      </c>
      <c r="Y114" s="205" t="s">
        <v>103</v>
      </c>
      <c r="Z114" s="205" t="s">
        <v>105</v>
      </c>
      <c r="AA114" s="205" t="s">
        <v>105</v>
      </c>
      <c r="AB114" s="205" t="s">
        <v>105</v>
      </c>
      <c r="AC114" s="205" t="s">
        <v>105</v>
      </c>
      <c r="AD114" s="205" t="s">
        <v>105</v>
      </c>
      <c r="AE114" s="205" t="s">
        <v>103</v>
      </c>
      <c r="AF114" s="205" t="s">
        <v>103</v>
      </c>
      <c r="AG114" s="78"/>
      <c r="AH114" s="4">
        <f t="shared" si="27"/>
        <v>0</v>
      </c>
      <c r="AI114" s="4">
        <f t="shared" si="28"/>
        <v>18</v>
      </c>
      <c r="AJ114" s="201"/>
    </row>
    <row r="115" spans="2:36" ht="20.100000000000001" hidden="1" customHeight="1" outlineLevel="1" x14ac:dyDescent="0.4">
      <c r="B115" s="4" t="s">
        <v>370</v>
      </c>
      <c r="C115" s="205" t="s">
        <v>103</v>
      </c>
      <c r="D115" s="205" t="s">
        <v>103</v>
      </c>
      <c r="E115" s="205" t="s">
        <v>104</v>
      </c>
      <c r="F115" s="205" t="s">
        <v>104</v>
      </c>
      <c r="G115" s="205" t="s">
        <v>105</v>
      </c>
      <c r="H115" s="205" t="s">
        <v>105</v>
      </c>
      <c r="I115" s="205" t="s">
        <v>105</v>
      </c>
      <c r="J115" s="205" t="s">
        <v>105</v>
      </c>
      <c r="K115" s="205" t="s">
        <v>103</v>
      </c>
      <c r="L115" s="205" t="s">
        <v>105</v>
      </c>
      <c r="M115" s="205" t="s">
        <v>105</v>
      </c>
      <c r="N115" s="205" t="s">
        <v>105</v>
      </c>
      <c r="O115" s="205" t="s">
        <v>105</v>
      </c>
      <c r="P115" s="205" t="s">
        <v>104</v>
      </c>
      <c r="Q115" s="205" t="s">
        <v>103</v>
      </c>
      <c r="R115" s="205" t="s">
        <v>103</v>
      </c>
      <c r="S115" s="205" t="s">
        <v>105</v>
      </c>
      <c r="T115" s="205" t="s">
        <v>105</v>
      </c>
      <c r="U115" s="205" t="s">
        <v>105</v>
      </c>
      <c r="V115" s="205" t="s">
        <v>105</v>
      </c>
      <c r="W115" s="205" t="s">
        <v>105</v>
      </c>
      <c r="X115" s="205" t="s">
        <v>103</v>
      </c>
      <c r="Y115" s="205" t="s">
        <v>103</v>
      </c>
      <c r="Z115" s="205" t="s">
        <v>105</v>
      </c>
      <c r="AA115" s="205" t="s">
        <v>105</v>
      </c>
      <c r="AB115" s="205" t="s">
        <v>105</v>
      </c>
      <c r="AC115" s="205" t="s">
        <v>105</v>
      </c>
      <c r="AD115" s="205" t="s">
        <v>105</v>
      </c>
      <c r="AE115" s="205" t="s">
        <v>103</v>
      </c>
      <c r="AF115" s="205" t="s">
        <v>103</v>
      </c>
      <c r="AG115" s="62"/>
      <c r="AH115" s="4">
        <f t="shared" si="25"/>
        <v>0</v>
      </c>
      <c r="AI115" s="4">
        <f t="shared" si="26"/>
        <v>18</v>
      </c>
      <c r="AJ115" s="216"/>
    </row>
    <row r="116" spans="2:36" s="201" customFormat="1" ht="20.100000000000001" hidden="1" customHeight="1" outlineLevel="1" x14ac:dyDescent="0.4">
      <c r="B116" s="4" t="s">
        <v>371</v>
      </c>
      <c r="C116" s="205" t="s">
        <v>103</v>
      </c>
      <c r="D116" s="205" t="s">
        <v>103</v>
      </c>
      <c r="E116" s="205" t="s">
        <v>104</v>
      </c>
      <c r="F116" s="205" t="s">
        <v>104</v>
      </c>
      <c r="G116" s="205" t="s">
        <v>105</v>
      </c>
      <c r="H116" s="205" t="s">
        <v>105</v>
      </c>
      <c r="I116" s="205" t="s">
        <v>105</v>
      </c>
      <c r="J116" s="205" t="s">
        <v>105</v>
      </c>
      <c r="K116" s="205" t="s">
        <v>103</v>
      </c>
      <c r="L116" s="205" t="s">
        <v>105</v>
      </c>
      <c r="M116" s="205" t="s">
        <v>105</v>
      </c>
      <c r="N116" s="205" t="s">
        <v>105</v>
      </c>
      <c r="O116" s="205" t="s">
        <v>105</v>
      </c>
      <c r="P116" s="205" t="s">
        <v>104</v>
      </c>
      <c r="Q116" s="205" t="s">
        <v>103</v>
      </c>
      <c r="R116" s="205" t="s">
        <v>103</v>
      </c>
      <c r="S116" s="205" t="s">
        <v>105</v>
      </c>
      <c r="T116" s="205" t="s">
        <v>105</v>
      </c>
      <c r="U116" s="205" t="s">
        <v>105</v>
      </c>
      <c r="V116" s="205" t="s">
        <v>105</v>
      </c>
      <c r="W116" s="205" t="s">
        <v>105</v>
      </c>
      <c r="X116" s="205" t="s">
        <v>103</v>
      </c>
      <c r="Y116" s="205" t="s">
        <v>103</v>
      </c>
      <c r="Z116" s="205" t="s">
        <v>105</v>
      </c>
      <c r="AA116" s="205" t="s">
        <v>105</v>
      </c>
      <c r="AB116" s="205" t="s">
        <v>105</v>
      </c>
      <c r="AC116" s="205" t="s">
        <v>105</v>
      </c>
      <c r="AD116" s="205" t="s">
        <v>105</v>
      </c>
      <c r="AE116" s="205" t="s">
        <v>103</v>
      </c>
      <c r="AF116" s="205" t="s">
        <v>103</v>
      </c>
      <c r="AG116" s="205"/>
      <c r="AH116" s="4">
        <f t="shared" si="25"/>
        <v>0</v>
      </c>
      <c r="AI116" s="4">
        <f t="shared" si="26"/>
        <v>18</v>
      </c>
      <c r="AJ116" s="216"/>
    </row>
    <row r="117" spans="2:36" s="201" customFormat="1" ht="20.100000000000001" hidden="1" customHeight="1" outlineLevel="1" x14ac:dyDescent="0.4">
      <c r="B117" s="4" t="s">
        <v>349</v>
      </c>
      <c r="C117" s="205" t="s">
        <v>103</v>
      </c>
      <c r="D117" s="205" t="s">
        <v>103</v>
      </c>
      <c r="E117" s="205" t="s">
        <v>104</v>
      </c>
      <c r="F117" s="205" t="s">
        <v>104</v>
      </c>
      <c r="G117" s="205" t="s">
        <v>105</v>
      </c>
      <c r="H117" s="205" t="s">
        <v>105</v>
      </c>
      <c r="I117" s="205" t="s">
        <v>105</v>
      </c>
      <c r="J117" s="205" t="s">
        <v>105</v>
      </c>
      <c r="K117" s="205" t="s">
        <v>103</v>
      </c>
      <c r="L117" s="205" t="s">
        <v>105</v>
      </c>
      <c r="M117" s="205" t="s">
        <v>105</v>
      </c>
      <c r="N117" s="205" t="s">
        <v>105</v>
      </c>
      <c r="O117" s="205" t="s">
        <v>105</v>
      </c>
      <c r="P117" s="205" t="s">
        <v>104</v>
      </c>
      <c r="Q117" s="205" t="s">
        <v>103</v>
      </c>
      <c r="R117" s="205" t="s">
        <v>103</v>
      </c>
      <c r="S117" s="205" t="s">
        <v>105</v>
      </c>
      <c r="T117" s="205" t="s">
        <v>105</v>
      </c>
      <c r="U117" s="205" t="s">
        <v>105</v>
      </c>
      <c r="V117" s="205" t="s">
        <v>105</v>
      </c>
      <c r="W117" s="205" t="s">
        <v>105</v>
      </c>
      <c r="X117" s="205" t="s">
        <v>103</v>
      </c>
      <c r="Y117" s="205" t="s">
        <v>103</v>
      </c>
      <c r="Z117" s="205" t="s">
        <v>105</v>
      </c>
      <c r="AA117" s="205" t="s">
        <v>105</v>
      </c>
      <c r="AB117" s="205" t="s">
        <v>105</v>
      </c>
      <c r="AC117" s="205" t="s">
        <v>105</v>
      </c>
      <c r="AD117" s="205" t="s">
        <v>105</v>
      </c>
      <c r="AE117" s="205" t="s">
        <v>103</v>
      </c>
      <c r="AF117" s="205" t="s">
        <v>103</v>
      </c>
      <c r="AG117" s="205"/>
      <c r="AH117" s="4">
        <f t="shared" si="25"/>
        <v>0</v>
      </c>
      <c r="AI117" s="4">
        <f t="shared" si="26"/>
        <v>18</v>
      </c>
      <c r="AJ117" s="216"/>
    </row>
    <row r="118" spans="2:36" s="201" customFormat="1" ht="20.100000000000001" hidden="1" customHeight="1" outlineLevel="1" x14ac:dyDescent="0.4">
      <c r="B118" s="4" t="s">
        <v>372</v>
      </c>
      <c r="C118" s="205" t="s">
        <v>103</v>
      </c>
      <c r="D118" s="205" t="s">
        <v>103</v>
      </c>
      <c r="E118" s="205" t="s">
        <v>104</v>
      </c>
      <c r="F118" s="205" t="s">
        <v>104</v>
      </c>
      <c r="G118" s="205" t="s">
        <v>105</v>
      </c>
      <c r="H118" s="205" t="s">
        <v>105</v>
      </c>
      <c r="I118" s="205" t="s">
        <v>105</v>
      </c>
      <c r="J118" s="205" t="s">
        <v>105</v>
      </c>
      <c r="K118" s="205" t="s">
        <v>103</v>
      </c>
      <c r="L118" s="205" t="s">
        <v>105</v>
      </c>
      <c r="M118" s="205" t="s">
        <v>105</v>
      </c>
      <c r="N118" s="205" t="s">
        <v>105</v>
      </c>
      <c r="O118" s="205" t="s">
        <v>105</v>
      </c>
      <c r="P118" s="205" t="s">
        <v>104</v>
      </c>
      <c r="Q118" s="205" t="s">
        <v>103</v>
      </c>
      <c r="R118" s="205" t="s">
        <v>103</v>
      </c>
      <c r="S118" s="205" t="s">
        <v>105</v>
      </c>
      <c r="T118" s="205" t="s">
        <v>105</v>
      </c>
      <c r="U118" s="205" t="s">
        <v>105</v>
      </c>
      <c r="V118" s="205" t="s">
        <v>105</v>
      </c>
      <c r="W118" s="205" t="s">
        <v>105</v>
      </c>
      <c r="X118" s="205" t="s">
        <v>103</v>
      </c>
      <c r="Y118" s="205" t="s">
        <v>103</v>
      </c>
      <c r="Z118" s="205" t="s">
        <v>105</v>
      </c>
      <c r="AA118" s="205" t="s">
        <v>105</v>
      </c>
      <c r="AB118" s="205" t="s">
        <v>105</v>
      </c>
      <c r="AC118" s="205" t="s">
        <v>105</v>
      </c>
      <c r="AD118" s="205" t="s">
        <v>105</v>
      </c>
      <c r="AE118" s="205" t="s">
        <v>103</v>
      </c>
      <c r="AF118" s="205" t="s">
        <v>103</v>
      </c>
      <c r="AG118" s="205"/>
      <c r="AH118" s="4">
        <f t="shared" si="25"/>
        <v>0</v>
      </c>
      <c r="AI118" s="4">
        <f t="shared" si="26"/>
        <v>18</v>
      </c>
      <c r="AJ118" s="216"/>
    </row>
    <row r="119" spans="2:36" ht="20.100000000000001" hidden="1" customHeight="1" outlineLevel="1" x14ac:dyDescent="0.4">
      <c r="B119" s="4" t="s">
        <v>373</v>
      </c>
      <c r="C119" s="205" t="s">
        <v>103</v>
      </c>
      <c r="D119" s="205" t="s">
        <v>103</v>
      </c>
      <c r="E119" s="205" t="s">
        <v>104</v>
      </c>
      <c r="F119" s="205" t="s">
        <v>104</v>
      </c>
      <c r="G119" s="205" t="s">
        <v>105</v>
      </c>
      <c r="H119" s="205" t="s">
        <v>105</v>
      </c>
      <c r="I119" s="205" t="s">
        <v>105</v>
      </c>
      <c r="J119" s="205" t="s">
        <v>105</v>
      </c>
      <c r="K119" s="205" t="s">
        <v>103</v>
      </c>
      <c r="L119" s="205" t="s">
        <v>105</v>
      </c>
      <c r="M119" s="205" t="s">
        <v>105</v>
      </c>
      <c r="N119" s="205" t="s">
        <v>105</v>
      </c>
      <c r="O119" s="205" t="s">
        <v>105</v>
      </c>
      <c r="P119" s="205" t="s">
        <v>104</v>
      </c>
      <c r="Q119" s="205" t="s">
        <v>103</v>
      </c>
      <c r="R119" s="205" t="s">
        <v>103</v>
      </c>
      <c r="S119" s="205" t="s">
        <v>105</v>
      </c>
      <c r="T119" s="205" t="s">
        <v>105</v>
      </c>
      <c r="U119" s="205" t="s">
        <v>105</v>
      </c>
      <c r="V119" s="205" t="s">
        <v>105</v>
      </c>
      <c r="W119" s="205" t="s">
        <v>105</v>
      </c>
      <c r="X119" s="205" t="s">
        <v>103</v>
      </c>
      <c r="Y119" s="205" t="s">
        <v>103</v>
      </c>
      <c r="Z119" s="205" t="s">
        <v>105</v>
      </c>
      <c r="AA119" s="205" t="s">
        <v>105</v>
      </c>
      <c r="AB119" s="205" t="s">
        <v>105</v>
      </c>
      <c r="AC119" s="205" t="s">
        <v>105</v>
      </c>
      <c r="AD119" s="205" t="s">
        <v>105</v>
      </c>
      <c r="AE119" s="205" t="s">
        <v>103</v>
      </c>
      <c r="AF119" s="205" t="s">
        <v>103</v>
      </c>
      <c r="AG119" s="62"/>
      <c r="AH119" s="4">
        <f t="shared" si="25"/>
        <v>0</v>
      </c>
      <c r="AI119" s="4">
        <f t="shared" si="26"/>
        <v>18</v>
      </c>
    </row>
    <row r="120" spans="2:36" ht="20.100000000000001" hidden="1" customHeight="1" outlineLevel="1" collapsed="1" x14ac:dyDescent="0.4">
      <c r="AI120" s="201">
        <f>AI123*7.5</f>
        <v>150</v>
      </c>
    </row>
    <row r="121" spans="2:36" ht="20.100000000000001" hidden="1" customHeight="1" outlineLevel="1" x14ac:dyDescent="0.4">
      <c r="B121" s="607">
        <f>DATE(YEAR(B108),MONTH(B108)+1,DAY(B108))</f>
        <v>45992</v>
      </c>
      <c r="C121" s="6">
        <v>1</v>
      </c>
      <c r="D121" s="6">
        <v>2</v>
      </c>
      <c r="E121" s="6">
        <v>3</v>
      </c>
      <c r="F121" s="6">
        <v>4</v>
      </c>
      <c r="G121" s="6">
        <v>5</v>
      </c>
      <c r="H121" s="6">
        <v>6</v>
      </c>
      <c r="I121" s="6">
        <v>7</v>
      </c>
      <c r="J121" s="6">
        <v>8</v>
      </c>
      <c r="K121" s="6">
        <v>9</v>
      </c>
      <c r="L121" s="6">
        <v>10</v>
      </c>
      <c r="M121" s="6">
        <v>11</v>
      </c>
      <c r="N121" s="6">
        <v>12</v>
      </c>
      <c r="O121" s="6">
        <v>13</v>
      </c>
      <c r="P121" s="6">
        <v>14</v>
      </c>
      <c r="Q121" s="6">
        <v>15</v>
      </c>
      <c r="R121" s="6">
        <v>16</v>
      </c>
      <c r="S121" s="6">
        <v>17</v>
      </c>
      <c r="T121" s="6">
        <v>18</v>
      </c>
      <c r="U121" s="6">
        <v>19</v>
      </c>
      <c r="V121" s="6">
        <v>20</v>
      </c>
      <c r="W121" s="6">
        <v>21</v>
      </c>
      <c r="X121" s="6">
        <v>22</v>
      </c>
      <c r="Y121" s="6">
        <v>23</v>
      </c>
      <c r="Z121" s="6">
        <v>24</v>
      </c>
      <c r="AA121" s="6">
        <v>25</v>
      </c>
      <c r="AB121" s="6">
        <v>26</v>
      </c>
      <c r="AC121" s="6">
        <v>27</v>
      </c>
      <c r="AD121" s="6">
        <v>28</v>
      </c>
      <c r="AE121" s="6">
        <v>29</v>
      </c>
      <c r="AF121" s="6">
        <v>30</v>
      </c>
      <c r="AG121" s="6">
        <v>31</v>
      </c>
      <c r="AH121" s="473" t="s">
        <v>106</v>
      </c>
      <c r="AI121" s="478" t="s">
        <v>107</v>
      </c>
      <c r="AJ121" s="189" t="s">
        <v>533</v>
      </c>
    </row>
    <row r="122" spans="2:36" ht="20.100000000000001" hidden="1" customHeight="1" outlineLevel="1" x14ac:dyDescent="0.4">
      <c r="B122" s="608"/>
      <c r="C122" s="6" t="s">
        <v>70</v>
      </c>
      <c r="D122" s="6" t="s">
        <v>72</v>
      </c>
      <c r="E122" s="6" t="s">
        <v>108</v>
      </c>
      <c r="F122" s="6" t="s">
        <v>109</v>
      </c>
      <c r="G122" s="6" t="s">
        <v>365</v>
      </c>
      <c r="H122" s="6" t="s">
        <v>111</v>
      </c>
      <c r="I122" s="6" t="s">
        <v>112</v>
      </c>
      <c r="J122" s="6" t="s">
        <v>70</v>
      </c>
      <c r="K122" s="6" t="s">
        <v>72</v>
      </c>
      <c r="L122" s="6" t="s">
        <v>108</v>
      </c>
      <c r="M122" s="6" t="s">
        <v>109</v>
      </c>
      <c r="N122" s="6" t="s">
        <v>110</v>
      </c>
      <c r="O122" s="6" t="s">
        <v>111</v>
      </c>
      <c r="P122" s="6" t="s">
        <v>112</v>
      </c>
      <c r="Q122" s="6" t="s">
        <v>70</v>
      </c>
      <c r="R122" s="6" t="s">
        <v>72</v>
      </c>
      <c r="S122" s="6" t="s">
        <v>108</v>
      </c>
      <c r="T122" s="6" t="s">
        <v>109</v>
      </c>
      <c r="U122" s="6" t="s">
        <v>365</v>
      </c>
      <c r="V122" s="6" t="s">
        <v>111</v>
      </c>
      <c r="W122" s="6" t="s">
        <v>112</v>
      </c>
      <c r="X122" s="6" t="s">
        <v>70</v>
      </c>
      <c r="Y122" s="6" t="s">
        <v>72</v>
      </c>
      <c r="Z122" s="6" t="s">
        <v>108</v>
      </c>
      <c r="AA122" s="6" t="s">
        <v>364</v>
      </c>
      <c r="AB122" s="6" t="s">
        <v>110</v>
      </c>
      <c r="AC122" s="6" t="s">
        <v>111</v>
      </c>
      <c r="AD122" s="6" t="s">
        <v>112</v>
      </c>
      <c r="AE122" s="6" t="s">
        <v>70</v>
      </c>
      <c r="AF122" s="6" t="s">
        <v>72</v>
      </c>
      <c r="AG122" s="6" t="s">
        <v>108</v>
      </c>
      <c r="AH122" s="475"/>
      <c r="AI122" s="480"/>
      <c r="AJ122" s="189" t="s">
        <v>819</v>
      </c>
    </row>
    <row r="123" spans="2:36" ht="20.100000000000001" hidden="1" customHeight="1" outlineLevel="1" x14ac:dyDescent="0.4">
      <c r="B123" s="4" t="s">
        <v>163</v>
      </c>
      <c r="C123" s="205" t="s">
        <v>105</v>
      </c>
      <c r="D123" s="205" t="s">
        <v>105</v>
      </c>
      <c r="E123" s="205" t="s">
        <v>105</v>
      </c>
      <c r="F123" s="205" t="s">
        <v>105</v>
      </c>
      <c r="G123" s="205" t="s">
        <v>105</v>
      </c>
      <c r="H123" s="205" t="s">
        <v>103</v>
      </c>
      <c r="I123" s="205" t="s">
        <v>103</v>
      </c>
      <c r="J123" s="205" t="s">
        <v>105</v>
      </c>
      <c r="K123" s="205" t="s">
        <v>105</v>
      </c>
      <c r="L123" s="205" t="s">
        <v>105</v>
      </c>
      <c r="M123" s="205" t="s">
        <v>105</v>
      </c>
      <c r="N123" s="205" t="s">
        <v>105</v>
      </c>
      <c r="O123" s="205" t="s">
        <v>103</v>
      </c>
      <c r="P123" s="205" t="s">
        <v>103</v>
      </c>
      <c r="Q123" s="205" t="s">
        <v>105</v>
      </c>
      <c r="R123" s="205" t="s">
        <v>105</v>
      </c>
      <c r="S123" s="205" t="s">
        <v>105</v>
      </c>
      <c r="T123" s="205" t="s">
        <v>105</v>
      </c>
      <c r="U123" s="205" t="s">
        <v>104</v>
      </c>
      <c r="V123" s="205" t="s">
        <v>103</v>
      </c>
      <c r="W123" s="205" t="s">
        <v>103</v>
      </c>
      <c r="X123" s="205" t="s">
        <v>105</v>
      </c>
      <c r="Y123" s="205" t="s">
        <v>105</v>
      </c>
      <c r="Z123" s="205" t="s">
        <v>105</v>
      </c>
      <c r="AA123" s="205" t="s">
        <v>104</v>
      </c>
      <c r="AB123" s="205" t="s">
        <v>104</v>
      </c>
      <c r="AC123" s="205" t="s">
        <v>103</v>
      </c>
      <c r="AD123" s="205" t="s">
        <v>103</v>
      </c>
      <c r="AE123" s="205" t="s">
        <v>105</v>
      </c>
      <c r="AF123" s="205" t="s">
        <v>105</v>
      </c>
      <c r="AG123" s="205" t="s">
        <v>105</v>
      </c>
      <c r="AH123" s="4">
        <f>COUNTIF(C123:AG123,"L")</f>
        <v>0</v>
      </c>
      <c r="AI123" s="4">
        <f>COUNTIF(C123:AG123,"A")</f>
        <v>20</v>
      </c>
      <c r="AJ123" s="189" t="s">
        <v>535</v>
      </c>
    </row>
    <row r="124" spans="2:36" ht="20.100000000000001" hidden="1" customHeight="1" outlineLevel="1" x14ac:dyDescent="0.4">
      <c r="B124" s="4" t="s">
        <v>368</v>
      </c>
      <c r="C124" s="205" t="s">
        <v>105</v>
      </c>
      <c r="D124" s="205" t="s">
        <v>105</v>
      </c>
      <c r="E124" s="205" t="s">
        <v>105</v>
      </c>
      <c r="F124" s="205" t="s">
        <v>105</v>
      </c>
      <c r="G124" s="205" t="s">
        <v>105</v>
      </c>
      <c r="H124" s="205" t="s">
        <v>103</v>
      </c>
      <c r="I124" s="205" t="s">
        <v>103</v>
      </c>
      <c r="J124" s="205" t="s">
        <v>105</v>
      </c>
      <c r="K124" s="205" t="s">
        <v>105</v>
      </c>
      <c r="L124" s="205" t="s">
        <v>105</v>
      </c>
      <c r="M124" s="205" t="s">
        <v>105</v>
      </c>
      <c r="N124" s="205" t="s">
        <v>105</v>
      </c>
      <c r="O124" s="205" t="s">
        <v>103</v>
      </c>
      <c r="P124" s="205" t="s">
        <v>103</v>
      </c>
      <c r="Q124" s="205" t="s">
        <v>105</v>
      </c>
      <c r="R124" s="205" t="s">
        <v>105</v>
      </c>
      <c r="S124" s="205" t="s">
        <v>105</v>
      </c>
      <c r="T124" s="205" t="s">
        <v>105</v>
      </c>
      <c r="U124" s="205" t="s">
        <v>104</v>
      </c>
      <c r="V124" s="205" t="s">
        <v>103</v>
      </c>
      <c r="W124" s="205" t="s">
        <v>103</v>
      </c>
      <c r="X124" s="205" t="s">
        <v>105</v>
      </c>
      <c r="Y124" s="205" t="s">
        <v>105</v>
      </c>
      <c r="Z124" s="205" t="s">
        <v>105</v>
      </c>
      <c r="AA124" s="205" t="s">
        <v>104</v>
      </c>
      <c r="AB124" s="205" t="s">
        <v>104</v>
      </c>
      <c r="AC124" s="205" t="s">
        <v>103</v>
      </c>
      <c r="AD124" s="205" t="s">
        <v>103</v>
      </c>
      <c r="AE124" s="205" t="s">
        <v>105</v>
      </c>
      <c r="AF124" s="205" t="s">
        <v>105</v>
      </c>
      <c r="AG124" s="205" t="s">
        <v>105</v>
      </c>
      <c r="AH124" s="4">
        <f t="shared" ref="AH124:AH129" si="29">COUNTIF(C124:AG124,"L")</f>
        <v>0</v>
      </c>
      <c r="AI124" s="4">
        <f t="shared" ref="AI124:AI129" si="30">COUNTIF(C124:AG124,"A")</f>
        <v>20</v>
      </c>
      <c r="AJ124" s="189" t="s">
        <v>820</v>
      </c>
    </row>
    <row r="125" spans="2:36" ht="20.100000000000001" hidden="1" customHeight="1" outlineLevel="1" x14ac:dyDescent="0.4">
      <c r="B125" s="4" t="s">
        <v>172</v>
      </c>
      <c r="C125" s="205" t="s">
        <v>105</v>
      </c>
      <c r="D125" s="205" t="s">
        <v>105</v>
      </c>
      <c r="E125" s="205" t="s">
        <v>105</v>
      </c>
      <c r="F125" s="205" t="s">
        <v>105</v>
      </c>
      <c r="G125" s="205" t="s">
        <v>105</v>
      </c>
      <c r="H125" s="205" t="s">
        <v>103</v>
      </c>
      <c r="I125" s="205" t="s">
        <v>103</v>
      </c>
      <c r="J125" s="205" t="s">
        <v>105</v>
      </c>
      <c r="K125" s="205" t="s">
        <v>105</v>
      </c>
      <c r="L125" s="205" t="s">
        <v>105</v>
      </c>
      <c r="M125" s="205" t="s">
        <v>105</v>
      </c>
      <c r="N125" s="205" t="s">
        <v>105</v>
      </c>
      <c r="O125" s="205" t="s">
        <v>103</v>
      </c>
      <c r="P125" s="205" t="s">
        <v>103</v>
      </c>
      <c r="Q125" s="205" t="s">
        <v>105</v>
      </c>
      <c r="R125" s="205" t="s">
        <v>105</v>
      </c>
      <c r="S125" s="205" t="s">
        <v>105</v>
      </c>
      <c r="T125" s="205" t="s">
        <v>105</v>
      </c>
      <c r="U125" s="205" t="s">
        <v>104</v>
      </c>
      <c r="V125" s="205" t="s">
        <v>103</v>
      </c>
      <c r="W125" s="205" t="s">
        <v>103</v>
      </c>
      <c r="X125" s="205" t="s">
        <v>105</v>
      </c>
      <c r="Y125" s="205" t="s">
        <v>105</v>
      </c>
      <c r="Z125" s="205" t="s">
        <v>105</v>
      </c>
      <c r="AA125" s="205" t="s">
        <v>104</v>
      </c>
      <c r="AB125" s="205" t="s">
        <v>104</v>
      </c>
      <c r="AC125" s="205" t="s">
        <v>103</v>
      </c>
      <c r="AD125" s="205" t="s">
        <v>103</v>
      </c>
      <c r="AE125" s="205" t="s">
        <v>105</v>
      </c>
      <c r="AF125" s="205" t="s">
        <v>105</v>
      </c>
      <c r="AG125" s="205" t="s">
        <v>105</v>
      </c>
      <c r="AH125" s="4">
        <f t="shared" si="29"/>
        <v>0</v>
      </c>
      <c r="AI125" s="4">
        <f t="shared" ref="AI125:AI128" si="31">COUNTIF(C125:AG125,"A")</f>
        <v>20</v>
      </c>
    </row>
    <row r="126" spans="2:36" s="201" customFormat="1" ht="20.100000000000001" hidden="1" customHeight="1" outlineLevel="1" x14ac:dyDescent="0.4">
      <c r="B126" s="4" t="s">
        <v>369</v>
      </c>
      <c r="C126" s="205" t="s">
        <v>105</v>
      </c>
      <c r="D126" s="205" t="s">
        <v>105</v>
      </c>
      <c r="E126" s="205" t="s">
        <v>105</v>
      </c>
      <c r="F126" s="205" t="s">
        <v>105</v>
      </c>
      <c r="G126" s="205" t="s">
        <v>105</v>
      </c>
      <c r="H126" s="205" t="s">
        <v>103</v>
      </c>
      <c r="I126" s="205" t="s">
        <v>103</v>
      </c>
      <c r="J126" s="205" t="s">
        <v>105</v>
      </c>
      <c r="K126" s="205" t="s">
        <v>105</v>
      </c>
      <c r="L126" s="205" t="s">
        <v>105</v>
      </c>
      <c r="M126" s="205" t="s">
        <v>105</v>
      </c>
      <c r="N126" s="205" t="s">
        <v>105</v>
      </c>
      <c r="O126" s="205" t="s">
        <v>103</v>
      </c>
      <c r="P126" s="205" t="s">
        <v>103</v>
      </c>
      <c r="Q126" s="205" t="s">
        <v>105</v>
      </c>
      <c r="R126" s="205" t="s">
        <v>105</v>
      </c>
      <c r="S126" s="205" t="s">
        <v>105</v>
      </c>
      <c r="T126" s="205" t="s">
        <v>105</v>
      </c>
      <c r="U126" s="205" t="s">
        <v>104</v>
      </c>
      <c r="V126" s="205" t="s">
        <v>103</v>
      </c>
      <c r="W126" s="205" t="s">
        <v>103</v>
      </c>
      <c r="X126" s="205" t="s">
        <v>105</v>
      </c>
      <c r="Y126" s="205" t="s">
        <v>105</v>
      </c>
      <c r="Z126" s="205" t="s">
        <v>105</v>
      </c>
      <c r="AA126" s="205" t="s">
        <v>104</v>
      </c>
      <c r="AB126" s="205" t="s">
        <v>104</v>
      </c>
      <c r="AC126" s="205" t="s">
        <v>103</v>
      </c>
      <c r="AD126" s="205" t="s">
        <v>103</v>
      </c>
      <c r="AE126" s="205" t="s">
        <v>105</v>
      </c>
      <c r="AF126" s="205" t="s">
        <v>105</v>
      </c>
      <c r="AG126" s="205" t="s">
        <v>105</v>
      </c>
      <c r="AH126" s="4">
        <f t="shared" ref="AH126:AH127" si="32">COUNTIF(C126:AG126,"L")</f>
        <v>0</v>
      </c>
      <c r="AI126" s="4">
        <f t="shared" ref="AI126:AI127" si="33">COUNTIF(C126:AG126,"A")</f>
        <v>20</v>
      </c>
      <c r="AJ126" s="189"/>
    </row>
    <row r="127" spans="2:36" s="201" customFormat="1" ht="20.100000000000001" hidden="1" customHeight="1" outlineLevel="1" x14ac:dyDescent="0.4">
      <c r="B127" s="4" t="s">
        <v>370</v>
      </c>
      <c r="C127" s="205" t="s">
        <v>105</v>
      </c>
      <c r="D127" s="205" t="s">
        <v>105</v>
      </c>
      <c r="E127" s="205" t="s">
        <v>105</v>
      </c>
      <c r="F127" s="205" t="s">
        <v>105</v>
      </c>
      <c r="G127" s="205" t="s">
        <v>105</v>
      </c>
      <c r="H127" s="205" t="s">
        <v>103</v>
      </c>
      <c r="I127" s="205" t="s">
        <v>103</v>
      </c>
      <c r="J127" s="205" t="s">
        <v>105</v>
      </c>
      <c r="K127" s="205" t="s">
        <v>105</v>
      </c>
      <c r="L127" s="205" t="s">
        <v>105</v>
      </c>
      <c r="M127" s="205" t="s">
        <v>105</v>
      </c>
      <c r="N127" s="205" t="s">
        <v>105</v>
      </c>
      <c r="O127" s="205" t="s">
        <v>103</v>
      </c>
      <c r="P127" s="205" t="s">
        <v>103</v>
      </c>
      <c r="Q127" s="205" t="s">
        <v>105</v>
      </c>
      <c r="R127" s="205" t="s">
        <v>105</v>
      </c>
      <c r="S127" s="205" t="s">
        <v>105</v>
      </c>
      <c r="T127" s="205" t="s">
        <v>105</v>
      </c>
      <c r="U127" s="205" t="s">
        <v>104</v>
      </c>
      <c r="V127" s="205" t="s">
        <v>103</v>
      </c>
      <c r="W127" s="205" t="s">
        <v>103</v>
      </c>
      <c r="X127" s="205" t="s">
        <v>105</v>
      </c>
      <c r="Y127" s="205" t="s">
        <v>105</v>
      </c>
      <c r="Z127" s="205" t="s">
        <v>105</v>
      </c>
      <c r="AA127" s="205" t="s">
        <v>104</v>
      </c>
      <c r="AB127" s="205" t="s">
        <v>104</v>
      </c>
      <c r="AC127" s="205" t="s">
        <v>103</v>
      </c>
      <c r="AD127" s="205" t="s">
        <v>103</v>
      </c>
      <c r="AE127" s="205" t="s">
        <v>105</v>
      </c>
      <c r="AF127" s="205" t="s">
        <v>105</v>
      </c>
      <c r="AG127" s="205" t="s">
        <v>105</v>
      </c>
      <c r="AH127" s="4">
        <f t="shared" si="32"/>
        <v>0</v>
      </c>
      <c r="AI127" s="4">
        <f t="shared" si="33"/>
        <v>20</v>
      </c>
    </row>
    <row r="128" spans="2:36" ht="20.100000000000001" hidden="1" customHeight="1" outlineLevel="1" x14ac:dyDescent="0.4">
      <c r="B128" s="4" t="s">
        <v>371</v>
      </c>
      <c r="C128" s="205" t="s">
        <v>105</v>
      </c>
      <c r="D128" s="205" t="s">
        <v>105</v>
      </c>
      <c r="E128" s="205" t="s">
        <v>105</v>
      </c>
      <c r="F128" s="205" t="s">
        <v>105</v>
      </c>
      <c r="G128" s="205" t="s">
        <v>105</v>
      </c>
      <c r="H128" s="205" t="s">
        <v>103</v>
      </c>
      <c r="I128" s="205" t="s">
        <v>103</v>
      </c>
      <c r="J128" s="205" t="s">
        <v>105</v>
      </c>
      <c r="K128" s="205" t="s">
        <v>105</v>
      </c>
      <c r="L128" s="205" t="s">
        <v>105</v>
      </c>
      <c r="M128" s="205" t="s">
        <v>105</v>
      </c>
      <c r="N128" s="205" t="s">
        <v>105</v>
      </c>
      <c r="O128" s="205" t="s">
        <v>103</v>
      </c>
      <c r="P128" s="205" t="s">
        <v>103</v>
      </c>
      <c r="Q128" s="205" t="s">
        <v>105</v>
      </c>
      <c r="R128" s="205" t="s">
        <v>105</v>
      </c>
      <c r="S128" s="205" t="s">
        <v>105</v>
      </c>
      <c r="T128" s="205" t="s">
        <v>105</v>
      </c>
      <c r="U128" s="205" t="s">
        <v>104</v>
      </c>
      <c r="V128" s="205" t="s">
        <v>103</v>
      </c>
      <c r="W128" s="205" t="s">
        <v>103</v>
      </c>
      <c r="X128" s="205" t="s">
        <v>105</v>
      </c>
      <c r="Y128" s="205" t="s">
        <v>105</v>
      </c>
      <c r="Z128" s="205" t="s">
        <v>105</v>
      </c>
      <c r="AA128" s="205" t="s">
        <v>104</v>
      </c>
      <c r="AB128" s="205" t="s">
        <v>104</v>
      </c>
      <c r="AC128" s="205" t="s">
        <v>103</v>
      </c>
      <c r="AD128" s="205" t="s">
        <v>103</v>
      </c>
      <c r="AE128" s="205" t="s">
        <v>105</v>
      </c>
      <c r="AF128" s="205" t="s">
        <v>105</v>
      </c>
      <c r="AG128" s="205" t="s">
        <v>105</v>
      </c>
      <c r="AH128" s="4">
        <f t="shared" si="29"/>
        <v>0</v>
      </c>
      <c r="AI128" s="4">
        <f t="shared" si="31"/>
        <v>20</v>
      </c>
    </row>
    <row r="129" spans="2:36" ht="20.100000000000001" hidden="1" customHeight="1" outlineLevel="1" x14ac:dyDescent="0.4">
      <c r="B129" s="4" t="s">
        <v>372</v>
      </c>
      <c r="C129" s="205" t="s">
        <v>105</v>
      </c>
      <c r="D129" s="205" t="s">
        <v>105</v>
      </c>
      <c r="E129" s="205" t="s">
        <v>105</v>
      </c>
      <c r="F129" s="205" t="s">
        <v>105</v>
      </c>
      <c r="G129" s="205" t="s">
        <v>105</v>
      </c>
      <c r="H129" s="205" t="s">
        <v>103</v>
      </c>
      <c r="I129" s="205" t="s">
        <v>103</v>
      </c>
      <c r="J129" s="205" t="s">
        <v>105</v>
      </c>
      <c r="K129" s="205" t="s">
        <v>105</v>
      </c>
      <c r="L129" s="205" t="s">
        <v>105</v>
      </c>
      <c r="M129" s="205" t="s">
        <v>105</v>
      </c>
      <c r="N129" s="205" t="s">
        <v>105</v>
      </c>
      <c r="O129" s="205" t="s">
        <v>103</v>
      </c>
      <c r="P129" s="205" t="s">
        <v>103</v>
      </c>
      <c r="Q129" s="205" t="s">
        <v>105</v>
      </c>
      <c r="R129" s="205" t="s">
        <v>105</v>
      </c>
      <c r="S129" s="205" t="s">
        <v>105</v>
      </c>
      <c r="T129" s="205" t="s">
        <v>105</v>
      </c>
      <c r="U129" s="205" t="s">
        <v>104</v>
      </c>
      <c r="V129" s="205" t="s">
        <v>103</v>
      </c>
      <c r="W129" s="205" t="s">
        <v>103</v>
      </c>
      <c r="X129" s="205" t="s">
        <v>105</v>
      </c>
      <c r="Y129" s="205" t="s">
        <v>105</v>
      </c>
      <c r="Z129" s="205" t="s">
        <v>105</v>
      </c>
      <c r="AA129" s="205" t="s">
        <v>104</v>
      </c>
      <c r="AB129" s="205" t="s">
        <v>104</v>
      </c>
      <c r="AC129" s="205" t="s">
        <v>103</v>
      </c>
      <c r="AD129" s="205" t="s">
        <v>103</v>
      </c>
      <c r="AE129" s="205" t="s">
        <v>105</v>
      </c>
      <c r="AF129" s="205" t="s">
        <v>105</v>
      </c>
      <c r="AG129" s="205" t="s">
        <v>105</v>
      </c>
      <c r="AH129" s="4">
        <f t="shared" si="29"/>
        <v>0</v>
      </c>
      <c r="AI129" s="4">
        <f t="shared" si="30"/>
        <v>20</v>
      </c>
    </row>
    <row r="130" spans="2:36" ht="20.100000000000001" hidden="1" customHeight="1" outlineLevel="1" collapsed="1" x14ac:dyDescent="0.4">
      <c r="AI130" s="201">
        <f>AI133*7.5</f>
        <v>157.5</v>
      </c>
    </row>
    <row r="131" spans="2:36" ht="20.100000000000001" hidden="1" customHeight="1" outlineLevel="1" x14ac:dyDescent="0.4">
      <c r="B131" s="607">
        <f>DATE(YEAR(B121),MONTH(B121)+1,DAY(B121))</f>
        <v>46023</v>
      </c>
      <c r="C131" s="6">
        <v>1</v>
      </c>
      <c r="D131" s="6">
        <v>2</v>
      </c>
      <c r="E131" s="6">
        <v>3</v>
      </c>
      <c r="F131" s="6">
        <v>4</v>
      </c>
      <c r="G131" s="6">
        <v>5</v>
      </c>
      <c r="H131" s="6">
        <v>6</v>
      </c>
      <c r="I131" s="6">
        <v>7</v>
      </c>
      <c r="J131" s="6">
        <v>8</v>
      </c>
      <c r="K131" s="6">
        <v>9</v>
      </c>
      <c r="L131" s="6">
        <v>10</v>
      </c>
      <c r="M131" s="6">
        <v>11</v>
      </c>
      <c r="N131" s="6">
        <v>12</v>
      </c>
      <c r="O131" s="6">
        <v>13</v>
      </c>
      <c r="P131" s="6">
        <v>14</v>
      </c>
      <c r="Q131" s="6">
        <v>15</v>
      </c>
      <c r="R131" s="6">
        <v>16</v>
      </c>
      <c r="S131" s="6">
        <v>17</v>
      </c>
      <c r="T131" s="6">
        <v>18</v>
      </c>
      <c r="U131" s="6">
        <v>19</v>
      </c>
      <c r="V131" s="6">
        <v>20</v>
      </c>
      <c r="W131" s="6">
        <v>21</v>
      </c>
      <c r="X131" s="6">
        <v>22</v>
      </c>
      <c r="Y131" s="6">
        <v>23</v>
      </c>
      <c r="Z131" s="6">
        <v>24</v>
      </c>
      <c r="AA131" s="6">
        <v>25</v>
      </c>
      <c r="AB131" s="6">
        <v>26</v>
      </c>
      <c r="AC131" s="6">
        <v>27</v>
      </c>
      <c r="AD131" s="6">
        <v>28</v>
      </c>
      <c r="AE131" s="6">
        <v>29</v>
      </c>
      <c r="AF131" s="6">
        <v>30</v>
      </c>
      <c r="AG131" s="6">
        <v>31</v>
      </c>
      <c r="AH131" s="473" t="s">
        <v>106</v>
      </c>
      <c r="AI131" s="478" t="s">
        <v>107</v>
      </c>
      <c r="AJ131" s="189" t="s">
        <v>533</v>
      </c>
    </row>
    <row r="132" spans="2:36" ht="20.100000000000001" hidden="1" customHeight="1" outlineLevel="1" x14ac:dyDescent="0.4">
      <c r="B132" s="608"/>
      <c r="C132" s="6" t="s">
        <v>109</v>
      </c>
      <c r="D132" s="6" t="s">
        <v>110</v>
      </c>
      <c r="E132" s="6" t="s">
        <v>111</v>
      </c>
      <c r="F132" s="6" t="s">
        <v>112</v>
      </c>
      <c r="G132" s="6" t="s">
        <v>70</v>
      </c>
      <c r="H132" s="6" t="s">
        <v>72</v>
      </c>
      <c r="I132" s="6" t="s">
        <v>108</v>
      </c>
      <c r="J132" s="6" t="s">
        <v>109</v>
      </c>
      <c r="K132" s="6" t="s">
        <v>365</v>
      </c>
      <c r="L132" s="6" t="s">
        <v>111</v>
      </c>
      <c r="M132" s="6" t="s">
        <v>112</v>
      </c>
      <c r="N132" s="6" t="s">
        <v>70</v>
      </c>
      <c r="O132" s="6" t="s">
        <v>72</v>
      </c>
      <c r="P132" s="6" t="s">
        <v>108</v>
      </c>
      <c r="Q132" s="6" t="s">
        <v>109</v>
      </c>
      <c r="R132" s="6" t="s">
        <v>365</v>
      </c>
      <c r="S132" s="6" t="s">
        <v>111</v>
      </c>
      <c r="T132" s="6" t="s">
        <v>112</v>
      </c>
      <c r="U132" s="6" t="s">
        <v>70</v>
      </c>
      <c r="V132" s="6" t="s">
        <v>72</v>
      </c>
      <c r="W132" s="6" t="s">
        <v>108</v>
      </c>
      <c r="X132" s="6" t="s">
        <v>109</v>
      </c>
      <c r="Y132" s="6" t="s">
        <v>365</v>
      </c>
      <c r="Z132" s="6" t="s">
        <v>111</v>
      </c>
      <c r="AA132" s="6" t="s">
        <v>112</v>
      </c>
      <c r="AB132" s="6" t="s">
        <v>70</v>
      </c>
      <c r="AC132" s="6" t="s">
        <v>72</v>
      </c>
      <c r="AD132" s="6" t="s">
        <v>108</v>
      </c>
      <c r="AE132" s="6" t="s">
        <v>109</v>
      </c>
      <c r="AF132" s="6" t="s">
        <v>365</v>
      </c>
      <c r="AG132" s="6" t="s">
        <v>111</v>
      </c>
      <c r="AH132" s="475"/>
      <c r="AI132" s="480"/>
      <c r="AJ132" s="189" t="s">
        <v>534</v>
      </c>
    </row>
    <row r="133" spans="2:36" ht="20.100000000000001" hidden="1" customHeight="1" outlineLevel="1" x14ac:dyDescent="0.4">
      <c r="B133" s="4" t="s">
        <v>163</v>
      </c>
      <c r="C133" s="205" t="s">
        <v>104</v>
      </c>
      <c r="D133" s="205" t="s">
        <v>104</v>
      </c>
      <c r="E133" s="205" t="s">
        <v>103</v>
      </c>
      <c r="F133" s="205" t="s">
        <v>103</v>
      </c>
      <c r="G133" s="205" t="s">
        <v>105</v>
      </c>
      <c r="H133" s="205" t="s">
        <v>105</v>
      </c>
      <c r="I133" s="205" t="s">
        <v>105</v>
      </c>
      <c r="J133" s="205" t="s">
        <v>105</v>
      </c>
      <c r="K133" s="205" t="s">
        <v>105</v>
      </c>
      <c r="L133" s="205" t="s">
        <v>105</v>
      </c>
      <c r="M133" s="205" t="s">
        <v>103</v>
      </c>
      <c r="N133" s="205" t="s">
        <v>105</v>
      </c>
      <c r="O133" s="205" t="s">
        <v>105</v>
      </c>
      <c r="P133" s="205" t="s">
        <v>105</v>
      </c>
      <c r="Q133" s="205" t="s">
        <v>105</v>
      </c>
      <c r="R133" s="205" t="s">
        <v>105</v>
      </c>
      <c r="S133" s="205" t="s">
        <v>103</v>
      </c>
      <c r="T133" s="205" t="s">
        <v>103</v>
      </c>
      <c r="U133" s="205" t="s">
        <v>105</v>
      </c>
      <c r="V133" s="205" t="s">
        <v>105</v>
      </c>
      <c r="W133" s="205" t="s">
        <v>105</v>
      </c>
      <c r="X133" s="205" t="s">
        <v>105</v>
      </c>
      <c r="Y133" s="205" t="s">
        <v>105</v>
      </c>
      <c r="Z133" s="205" t="s">
        <v>103</v>
      </c>
      <c r="AA133" s="205" t="s">
        <v>103</v>
      </c>
      <c r="AB133" s="205" t="s">
        <v>105</v>
      </c>
      <c r="AC133" s="205" t="s">
        <v>105</v>
      </c>
      <c r="AD133" s="205" t="s">
        <v>105</v>
      </c>
      <c r="AE133" s="205" t="s">
        <v>105</v>
      </c>
      <c r="AF133" s="205" t="s">
        <v>105</v>
      </c>
      <c r="AG133" s="205" t="s">
        <v>103</v>
      </c>
      <c r="AH133" s="4">
        <f>COUNTIF(C133:AG133,"L")</f>
        <v>0</v>
      </c>
      <c r="AI133" s="4">
        <f>COUNTIF(C133:AG133,"A")</f>
        <v>21</v>
      </c>
      <c r="AJ133" s="189" t="s">
        <v>535</v>
      </c>
    </row>
    <row r="134" spans="2:36" ht="20.100000000000001" hidden="1" customHeight="1" outlineLevel="1" x14ac:dyDescent="0.4">
      <c r="B134" s="4" t="s">
        <v>368</v>
      </c>
      <c r="C134" s="205" t="s">
        <v>104</v>
      </c>
      <c r="D134" s="205" t="s">
        <v>104</v>
      </c>
      <c r="E134" s="205" t="s">
        <v>103</v>
      </c>
      <c r="F134" s="205" t="s">
        <v>103</v>
      </c>
      <c r="G134" s="205" t="s">
        <v>105</v>
      </c>
      <c r="H134" s="205" t="s">
        <v>105</v>
      </c>
      <c r="I134" s="205" t="s">
        <v>105</v>
      </c>
      <c r="J134" s="205" t="s">
        <v>105</v>
      </c>
      <c r="K134" s="205" t="s">
        <v>105</v>
      </c>
      <c r="L134" s="205" t="s">
        <v>105</v>
      </c>
      <c r="M134" s="205" t="s">
        <v>103</v>
      </c>
      <c r="N134" s="205" t="s">
        <v>105</v>
      </c>
      <c r="O134" s="205" t="s">
        <v>105</v>
      </c>
      <c r="P134" s="205" t="s">
        <v>105</v>
      </c>
      <c r="Q134" s="205" t="s">
        <v>105</v>
      </c>
      <c r="R134" s="205" t="s">
        <v>105</v>
      </c>
      <c r="S134" s="205" t="s">
        <v>103</v>
      </c>
      <c r="T134" s="205" t="s">
        <v>103</v>
      </c>
      <c r="U134" s="205" t="s">
        <v>105</v>
      </c>
      <c r="V134" s="205" t="s">
        <v>105</v>
      </c>
      <c r="W134" s="205" t="s">
        <v>105</v>
      </c>
      <c r="X134" s="205" t="s">
        <v>105</v>
      </c>
      <c r="Y134" s="205" t="s">
        <v>105</v>
      </c>
      <c r="Z134" s="205" t="s">
        <v>103</v>
      </c>
      <c r="AA134" s="205" t="s">
        <v>103</v>
      </c>
      <c r="AB134" s="205" t="s">
        <v>105</v>
      </c>
      <c r="AC134" s="205" t="s">
        <v>105</v>
      </c>
      <c r="AD134" s="205" t="s">
        <v>105</v>
      </c>
      <c r="AE134" s="205" t="s">
        <v>105</v>
      </c>
      <c r="AF134" s="205" t="s">
        <v>105</v>
      </c>
      <c r="AG134" s="205" t="s">
        <v>103</v>
      </c>
      <c r="AH134" s="4">
        <f t="shared" ref="AH134:AH139" si="34">COUNTIF(C134:AG134,"L")</f>
        <v>0</v>
      </c>
      <c r="AI134" s="4">
        <f t="shared" ref="AI134:AI139" si="35">COUNTIF(C134:AG134,"A")</f>
        <v>21</v>
      </c>
      <c r="AJ134" s="189" t="s">
        <v>536</v>
      </c>
    </row>
    <row r="135" spans="2:36" ht="20.100000000000001" hidden="1" customHeight="1" outlineLevel="1" x14ac:dyDescent="0.4">
      <c r="B135" s="4" t="s">
        <v>172</v>
      </c>
      <c r="C135" s="205" t="s">
        <v>104</v>
      </c>
      <c r="D135" s="205" t="s">
        <v>104</v>
      </c>
      <c r="E135" s="205" t="s">
        <v>103</v>
      </c>
      <c r="F135" s="205" t="s">
        <v>103</v>
      </c>
      <c r="G135" s="205" t="s">
        <v>105</v>
      </c>
      <c r="H135" s="205" t="s">
        <v>105</v>
      </c>
      <c r="I135" s="205" t="s">
        <v>105</v>
      </c>
      <c r="J135" s="205" t="s">
        <v>105</v>
      </c>
      <c r="K135" s="205" t="s">
        <v>105</v>
      </c>
      <c r="L135" s="205" t="s">
        <v>105</v>
      </c>
      <c r="M135" s="205" t="s">
        <v>103</v>
      </c>
      <c r="N135" s="205" t="s">
        <v>105</v>
      </c>
      <c r="O135" s="205" t="s">
        <v>105</v>
      </c>
      <c r="P135" s="205" t="s">
        <v>105</v>
      </c>
      <c r="Q135" s="205" t="s">
        <v>105</v>
      </c>
      <c r="R135" s="205" t="s">
        <v>105</v>
      </c>
      <c r="S135" s="205" t="s">
        <v>103</v>
      </c>
      <c r="T135" s="205" t="s">
        <v>103</v>
      </c>
      <c r="U135" s="205" t="s">
        <v>105</v>
      </c>
      <c r="V135" s="205" t="s">
        <v>105</v>
      </c>
      <c r="W135" s="205" t="s">
        <v>105</v>
      </c>
      <c r="X135" s="205" t="s">
        <v>105</v>
      </c>
      <c r="Y135" s="205" t="s">
        <v>105</v>
      </c>
      <c r="Z135" s="205" t="s">
        <v>103</v>
      </c>
      <c r="AA135" s="205" t="s">
        <v>103</v>
      </c>
      <c r="AB135" s="205" t="s">
        <v>105</v>
      </c>
      <c r="AC135" s="205" t="s">
        <v>105</v>
      </c>
      <c r="AD135" s="205" t="s">
        <v>105</v>
      </c>
      <c r="AE135" s="205" t="s">
        <v>105</v>
      </c>
      <c r="AF135" s="205" t="s">
        <v>105</v>
      </c>
      <c r="AG135" s="205" t="s">
        <v>103</v>
      </c>
      <c r="AH135" s="4">
        <f t="shared" ref="AH135:AH137" si="36">COUNTIF(C135:AG135,"L")</f>
        <v>0</v>
      </c>
      <c r="AI135" s="4">
        <f t="shared" ref="AI135:AI137" si="37">COUNTIF(C135:AG135,"A")</f>
        <v>21</v>
      </c>
    </row>
    <row r="136" spans="2:36" ht="20.100000000000001" hidden="1" customHeight="1" outlineLevel="1" x14ac:dyDescent="0.4">
      <c r="B136" s="4" t="s">
        <v>369</v>
      </c>
      <c r="C136" s="205" t="s">
        <v>104</v>
      </c>
      <c r="D136" s="205" t="s">
        <v>104</v>
      </c>
      <c r="E136" s="205" t="s">
        <v>103</v>
      </c>
      <c r="F136" s="205" t="s">
        <v>103</v>
      </c>
      <c r="G136" s="205" t="s">
        <v>105</v>
      </c>
      <c r="H136" s="205" t="s">
        <v>105</v>
      </c>
      <c r="I136" s="205" t="s">
        <v>105</v>
      </c>
      <c r="J136" s="205" t="s">
        <v>105</v>
      </c>
      <c r="K136" s="205" t="s">
        <v>105</v>
      </c>
      <c r="L136" s="205" t="s">
        <v>105</v>
      </c>
      <c r="M136" s="205" t="s">
        <v>103</v>
      </c>
      <c r="N136" s="205" t="s">
        <v>105</v>
      </c>
      <c r="O136" s="205" t="s">
        <v>105</v>
      </c>
      <c r="P136" s="205" t="s">
        <v>105</v>
      </c>
      <c r="Q136" s="205" t="s">
        <v>105</v>
      </c>
      <c r="R136" s="205" t="s">
        <v>105</v>
      </c>
      <c r="S136" s="205" t="s">
        <v>103</v>
      </c>
      <c r="T136" s="205" t="s">
        <v>103</v>
      </c>
      <c r="U136" s="205" t="s">
        <v>105</v>
      </c>
      <c r="V136" s="205" t="s">
        <v>105</v>
      </c>
      <c r="W136" s="205" t="s">
        <v>105</v>
      </c>
      <c r="X136" s="205" t="s">
        <v>105</v>
      </c>
      <c r="Y136" s="205" t="s">
        <v>105</v>
      </c>
      <c r="Z136" s="205" t="s">
        <v>103</v>
      </c>
      <c r="AA136" s="205" t="s">
        <v>103</v>
      </c>
      <c r="AB136" s="205" t="s">
        <v>105</v>
      </c>
      <c r="AC136" s="205" t="s">
        <v>105</v>
      </c>
      <c r="AD136" s="205" t="s">
        <v>105</v>
      </c>
      <c r="AE136" s="205" t="s">
        <v>105</v>
      </c>
      <c r="AF136" s="205" t="s">
        <v>105</v>
      </c>
      <c r="AG136" s="205" t="s">
        <v>103</v>
      </c>
      <c r="AH136" s="4">
        <f t="shared" si="36"/>
        <v>0</v>
      </c>
      <c r="AI136" s="4">
        <f t="shared" si="37"/>
        <v>21</v>
      </c>
      <c r="AJ136" s="201"/>
    </row>
    <row r="137" spans="2:36" ht="20.100000000000001" hidden="1" customHeight="1" outlineLevel="1" x14ac:dyDescent="0.4">
      <c r="B137" s="4" t="s">
        <v>370</v>
      </c>
      <c r="C137" s="205" t="s">
        <v>104</v>
      </c>
      <c r="D137" s="205" t="s">
        <v>104</v>
      </c>
      <c r="E137" s="205" t="s">
        <v>103</v>
      </c>
      <c r="F137" s="205" t="s">
        <v>103</v>
      </c>
      <c r="G137" s="205" t="s">
        <v>105</v>
      </c>
      <c r="H137" s="205" t="s">
        <v>105</v>
      </c>
      <c r="I137" s="205" t="s">
        <v>105</v>
      </c>
      <c r="J137" s="205" t="s">
        <v>105</v>
      </c>
      <c r="K137" s="205" t="s">
        <v>105</v>
      </c>
      <c r="L137" s="205" t="s">
        <v>105</v>
      </c>
      <c r="M137" s="205" t="s">
        <v>103</v>
      </c>
      <c r="N137" s="205" t="s">
        <v>105</v>
      </c>
      <c r="O137" s="205" t="s">
        <v>105</v>
      </c>
      <c r="P137" s="205" t="s">
        <v>105</v>
      </c>
      <c r="Q137" s="205" t="s">
        <v>105</v>
      </c>
      <c r="R137" s="205" t="s">
        <v>105</v>
      </c>
      <c r="S137" s="205" t="s">
        <v>103</v>
      </c>
      <c r="T137" s="205" t="s">
        <v>103</v>
      </c>
      <c r="U137" s="205" t="s">
        <v>105</v>
      </c>
      <c r="V137" s="205" t="s">
        <v>105</v>
      </c>
      <c r="W137" s="205" t="s">
        <v>105</v>
      </c>
      <c r="X137" s="205" t="s">
        <v>105</v>
      </c>
      <c r="Y137" s="205" t="s">
        <v>105</v>
      </c>
      <c r="Z137" s="205" t="s">
        <v>103</v>
      </c>
      <c r="AA137" s="205" t="s">
        <v>103</v>
      </c>
      <c r="AB137" s="205" t="s">
        <v>105</v>
      </c>
      <c r="AC137" s="205" t="s">
        <v>105</v>
      </c>
      <c r="AD137" s="205" t="s">
        <v>105</v>
      </c>
      <c r="AE137" s="205" t="s">
        <v>105</v>
      </c>
      <c r="AF137" s="205" t="s">
        <v>105</v>
      </c>
      <c r="AG137" s="205" t="s">
        <v>103</v>
      </c>
      <c r="AH137" s="4">
        <f t="shared" si="36"/>
        <v>0</v>
      </c>
      <c r="AI137" s="4">
        <f t="shared" si="37"/>
        <v>21</v>
      </c>
    </row>
    <row r="138" spans="2:36" ht="20.100000000000001" hidden="1" customHeight="1" outlineLevel="1" x14ac:dyDescent="0.4">
      <c r="B138" s="4" t="s">
        <v>371</v>
      </c>
      <c r="C138" s="205" t="s">
        <v>104</v>
      </c>
      <c r="D138" s="205" t="s">
        <v>104</v>
      </c>
      <c r="E138" s="205" t="s">
        <v>103</v>
      </c>
      <c r="F138" s="205" t="s">
        <v>103</v>
      </c>
      <c r="G138" s="205" t="s">
        <v>105</v>
      </c>
      <c r="H138" s="205" t="s">
        <v>105</v>
      </c>
      <c r="I138" s="205" t="s">
        <v>105</v>
      </c>
      <c r="J138" s="205" t="s">
        <v>105</v>
      </c>
      <c r="K138" s="205" t="s">
        <v>105</v>
      </c>
      <c r="L138" s="205" t="s">
        <v>105</v>
      </c>
      <c r="M138" s="205" t="s">
        <v>103</v>
      </c>
      <c r="N138" s="205" t="s">
        <v>105</v>
      </c>
      <c r="O138" s="205" t="s">
        <v>105</v>
      </c>
      <c r="P138" s="205" t="s">
        <v>105</v>
      </c>
      <c r="Q138" s="205" t="s">
        <v>105</v>
      </c>
      <c r="R138" s="205" t="s">
        <v>105</v>
      </c>
      <c r="S138" s="205" t="s">
        <v>103</v>
      </c>
      <c r="T138" s="205" t="s">
        <v>103</v>
      </c>
      <c r="U138" s="205" t="s">
        <v>105</v>
      </c>
      <c r="V138" s="205" t="s">
        <v>105</v>
      </c>
      <c r="W138" s="205" t="s">
        <v>105</v>
      </c>
      <c r="X138" s="205" t="s">
        <v>105</v>
      </c>
      <c r="Y138" s="205" t="s">
        <v>105</v>
      </c>
      <c r="Z138" s="205" t="s">
        <v>103</v>
      </c>
      <c r="AA138" s="205" t="s">
        <v>103</v>
      </c>
      <c r="AB138" s="205" t="s">
        <v>105</v>
      </c>
      <c r="AC138" s="205" t="s">
        <v>105</v>
      </c>
      <c r="AD138" s="205" t="s">
        <v>105</v>
      </c>
      <c r="AE138" s="205" t="s">
        <v>105</v>
      </c>
      <c r="AF138" s="205" t="s">
        <v>105</v>
      </c>
      <c r="AG138" s="205" t="s">
        <v>103</v>
      </c>
      <c r="AH138" s="4">
        <f t="shared" si="34"/>
        <v>0</v>
      </c>
      <c r="AI138" s="4">
        <f t="shared" si="35"/>
        <v>21</v>
      </c>
    </row>
    <row r="139" spans="2:36" ht="20.100000000000001" hidden="1" customHeight="1" outlineLevel="1" x14ac:dyDescent="0.4">
      <c r="B139" s="4" t="s">
        <v>372</v>
      </c>
      <c r="C139" s="205" t="s">
        <v>104</v>
      </c>
      <c r="D139" s="205" t="s">
        <v>104</v>
      </c>
      <c r="E139" s="205" t="s">
        <v>103</v>
      </c>
      <c r="F139" s="205" t="s">
        <v>103</v>
      </c>
      <c r="G139" s="205" t="s">
        <v>105</v>
      </c>
      <c r="H139" s="205" t="s">
        <v>105</v>
      </c>
      <c r="I139" s="205" t="s">
        <v>105</v>
      </c>
      <c r="J139" s="205" t="s">
        <v>105</v>
      </c>
      <c r="K139" s="205" t="s">
        <v>105</v>
      </c>
      <c r="L139" s="205" t="s">
        <v>105</v>
      </c>
      <c r="M139" s="205" t="s">
        <v>103</v>
      </c>
      <c r="N139" s="205" t="s">
        <v>105</v>
      </c>
      <c r="O139" s="205" t="s">
        <v>105</v>
      </c>
      <c r="P139" s="205" t="s">
        <v>105</v>
      </c>
      <c r="Q139" s="205" t="s">
        <v>105</v>
      </c>
      <c r="R139" s="205" t="s">
        <v>105</v>
      </c>
      <c r="S139" s="205" t="s">
        <v>103</v>
      </c>
      <c r="T139" s="205" t="s">
        <v>103</v>
      </c>
      <c r="U139" s="205" t="s">
        <v>105</v>
      </c>
      <c r="V139" s="205" t="s">
        <v>105</v>
      </c>
      <c r="W139" s="205" t="s">
        <v>105</v>
      </c>
      <c r="X139" s="205" t="s">
        <v>105</v>
      </c>
      <c r="Y139" s="205" t="s">
        <v>105</v>
      </c>
      <c r="Z139" s="205" t="s">
        <v>103</v>
      </c>
      <c r="AA139" s="205" t="s">
        <v>103</v>
      </c>
      <c r="AB139" s="205" t="s">
        <v>105</v>
      </c>
      <c r="AC139" s="205" t="s">
        <v>105</v>
      </c>
      <c r="AD139" s="205" t="s">
        <v>105</v>
      </c>
      <c r="AE139" s="205" t="s">
        <v>105</v>
      </c>
      <c r="AF139" s="205" t="s">
        <v>105</v>
      </c>
      <c r="AG139" s="205" t="s">
        <v>103</v>
      </c>
      <c r="AH139" s="4">
        <f t="shared" si="34"/>
        <v>0</v>
      </c>
      <c r="AI139" s="4">
        <f t="shared" si="35"/>
        <v>21</v>
      </c>
    </row>
    <row r="140" spans="2:36" ht="20.100000000000001" customHeight="1" collapsed="1" x14ac:dyDescent="0.4">
      <c r="AI140" s="201">
        <f>AI143*7.5</f>
        <v>127.5</v>
      </c>
    </row>
    <row r="141" spans="2:36" ht="20.100000000000001" customHeight="1" x14ac:dyDescent="0.4">
      <c r="B141" s="607">
        <f>DATE(YEAR(B131),MONTH(B131)+1,DAY(B131))</f>
        <v>46054</v>
      </c>
      <c r="C141" s="6">
        <v>1</v>
      </c>
      <c r="D141" s="6">
        <v>2</v>
      </c>
      <c r="E141" s="6">
        <v>3</v>
      </c>
      <c r="F141" s="6">
        <v>4</v>
      </c>
      <c r="G141" s="6">
        <v>5</v>
      </c>
      <c r="H141" s="6">
        <v>6</v>
      </c>
      <c r="I141" s="6">
        <v>7</v>
      </c>
      <c r="J141" s="6">
        <v>8</v>
      </c>
      <c r="K141" s="6">
        <v>9</v>
      </c>
      <c r="L141" s="6">
        <v>10</v>
      </c>
      <c r="M141" s="6">
        <v>11</v>
      </c>
      <c r="N141" s="6">
        <v>12</v>
      </c>
      <c r="O141" s="6">
        <v>13</v>
      </c>
      <c r="P141" s="6">
        <v>14</v>
      </c>
      <c r="Q141" s="6">
        <v>15</v>
      </c>
      <c r="R141" s="6">
        <v>16</v>
      </c>
      <c r="S141" s="6">
        <v>17</v>
      </c>
      <c r="T141" s="6">
        <v>18</v>
      </c>
      <c r="U141" s="6">
        <v>19</v>
      </c>
      <c r="V141" s="6">
        <v>20</v>
      </c>
      <c r="W141" s="6">
        <v>21</v>
      </c>
      <c r="X141" s="6">
        <v>22</v>
      </c>
      <c r="Y141" s="6">
        <v>23</v>
      </c>
      <c r="Z141" s="6">
        <v>24</v>
      </c>
      <c r="AA141" s="6">
        <v>25</v>
      </c>
      <c r="AB141" s="6">
        <v>26</v>
      </c>
      <c r="AC141" s="6">
        <v>27</v>
      </c>
      <c r="AD141" s="6">
        <v>28</v>
      </c>
      <c r="AE141" s="6"/>
      <c r="AF141" s="6"/>
      <c r="AG141" s="6"/>
      <c r="AH141" s="473" t="s">
        <v>106</v>
      </c>
      <c r="AI141" s="478" t="s">
        <v>107</v>
      </c>
      <c r="AJ141" s="189" t="s">
        <v>533</v>
      </c>
    </row>
    <row r="142" spans="2:36" ht="20.100000000000001" customHeight="1" x14ac:dyDescent="0.4">
      <c r="B142" s="608"/>
      <c r="C142" s="6" t="s">
        <v>112</v>
      </c>
      <c r="D142" s="6" t="s">
        <v>70</v>
      </c>
      <c r="E142" s="6" t="s">
        <v>72</v>
      </c>
      <c r="F142" s="6" t="s">
        <v>108</v>
      </c>
      <c r="G142" s="6" t="s">
        <v>109</v>
      </c>
      <c r="H142" s="6" t="s">
        <v>365</v>
      </c>
      <c r="I142" s="6" t="s">
        <v>111</v>
      </c>
      <c r="J142" s="6" t="s">
        <v>112</v>
      </c>
      <c r="K142" s="6" t="s">
        <v>70</v>
      </c>
      <c r="L142" s="6" t="s">
        <v>72</v>
      </c>
      <c r="M142" s="6" t="s">
        <v>108</v>
      </c>
      <c r="N142" s="6" t="s">
        <v>364</v>
      </c>
      <c r="O142" s="6" t="s">
        <v>365</v>
      </c>
      <c r="P142" s="6" t="s">
        <v>111</v>
      </c>
      <c r="Q142" s="6" t="s">
        <v>112</v>
      </c>
      <c r="R142" s="6" t="s">
        <v>70</v>
      </c>
      <c r="S142" s="6" t="s">
        <v>696</v>
      </c>
      <c r="T142" s="6" t="s">
        <v>108</v>
      </c>
      <c r="U142" s="6" t="s">
        <v>109</v>
      </c>
      <c r="V142" s="6" t="s">
        <v>365</v>
      </c>
      <c r="W142" s="6" t="s">
        <v>111</v>
      </c>
      <c r="X142" s="6" t="s">
        <v>112</v>
      </c>
      <c r="Y142" s="6" t="s">
        <v>70</v>
      </c>
      <c r="Z142" s="6" t="s">
        <v>72</v>
      </c>
      <c r="AA142" s="6" t="s">
        <v>108</v>
      </c>
      <c r="AB142" s="6" t="s">
        <v>109</v>
      </c>
      <c r="AC142" s="6" t="s">
        <v>365</v>
      </c>
      <c r="AD142" s="6" t="s">
        <v>111</v>
      </c>
      <c r="AE142" s="6"/>
      <c r="AF142" s="6"/>
      <c r="AG142" s="6"/>
      <c r="AH142" s="475"/>
      <c r="AI142" s="480"/>
      <c r="AJ142" s="189" t="s">
        <v>534</v>
      </c>
    </row>
    <row r="143" spans="2:36" ht="20.100000000000001" customHeight="1" x14ac:dyDescent="0.4">
      <c r="B143" s="4" t="s">
        <v>163</v>
      </c>
      <c r="C143" s="205" t="s">
        <v>103</v>
      </c>
      <c r="D143" s="205" t="s">
        <v>105</v>
      </c>
      <c r="E143" s="205" t="s">
        <v>105</v>
      </c>
      <c r="F143" s="205" t="s">
        <v>105</v>
      </c>
      <c r="G143" s="205" t="s">
        <v>105</v>
      </c>
      <c r="H143" s="205" t="s">
        <v>105</v>
      </c>
      <c r="I143" s="205" t="s">
        <v>103</v>
      </c>
      <c r="J143" s="205" t="s">
        <v>103</v>
      </c>
      <c r="K143" s="205" t="s">
        <v>105</v>
      </c>
      <c r="L143" s="205" t="s">
        <v>105</v>
      </c>
      <c r="M143" s="205" t="s">
        <v>105</v>
      </c>
      <c r="N143" s="205" t="s">
        <v>104</v>
      </c>
      <c r="O143" s="205" t="s">
        <v>104</v>
      </c>
      <c r="P143" s="205" t="s">
        <v>103</v>
      </c>
      <c r="Q143" s="205" t="s">
        <v>103</v>
      </c>
      <c r="R143" s="205" t="s">
        <v>104</v>
      </c>
      <c r="S143" s="205" t="s">
        <v>104</v>
      </c>
      <c r="T143" s="205" t="s">
        <v>105</v>
      </c>
      <c r="U143" s="205" t="s">
        <v>105</v>
      </c>
      <c r="V143" s="205" t="s">
        <v>105</v>
      </c>
      <c r="W143" s="205" t="s">
        <v>105</v>
      </c>
      <c r="X143" s="205" t="s">
        <v>103</v>
      </c>
      <c r="Y143" s="205" t="s">
        <v>105</v>
      </c>
      <c r="Z143" s="205" t="s">
        <v>105</v>
      </c>
      <c r="AA143" s="205" t="s">
        <v>105</v>
      </c>
      <c r="AB143" s="205" t="s">
        <v>105</v>
      </c>
      <c r="AC143" s="205" t="s">
        <v>105</v>
      </c>
      <c r="AD143" s="205" t="s">
        <v>103</v>
      </c>
      <c r="AE143" s="205"/>
      <c r="AF143" s="62"/>
      <c r="AG143" s="62"/>
      <c r="AH143" s="4">
        <f>COUNTIF(C143:AG143,"L")</f>
        <v>0</v>
      </c>
      <c r="AI143" s="4">
        <f>COUNTIF(C143:AG143,"A")</f>
        <v>17</v>
      </c>
      <c r="AJ143" s="189" t="s">
        <v>921</v>
      </c>
    </row>
    <row r="144" spans="2:36" ht="20.100000000000001" customHeight="1" x14ac:dyDescent="0.4">
      <c r="B144" s="4" t="s">
        <v>368</v>
      </c>
      <c r="C144" s="205" t="s">
        <v>103</v>
      </c>
      <c r="D144" s="205" t="s">
        <v>105</v>
      </c>
      <c r="E144" s="205" t="s">
        <v>105</v>
      </c>
      <c r="F144" s="205" t="s">
        <v>105</v>
      </c>
      <c r="G144" s="205" t="s">
        <v>105</v>
      </c>
      <c r="H144" s="205" t="s">
        <v>105</v>
      </c>
      <c r="I144" s="205" t="s">
        <v>103</v>
      </c>
      <c r="J144" s="205" t="s">
        <v>103</v>
      </c>
      <c r="K144" s="205" t="s">
        <v>105</v>
      </c>
      <c r="L144" s="205" t="s">
        <v>105</v>
      </c>
      <c r="M144" s="205" t="s">
        <v>105</v>
      </c>
      <c r="N144" s="205" t="s">
        <v>104</v>
      </c>
      <c r="O144" s="205" t="s">
        <v>104</v>
      </c>
      <c r="P144" s="205" t="s">
        <v>103</v>
      </c>
      <c r="Q144" s="205" t="s">
        <v>103</v>
      </c>
      <c r="R144" s="205" t="s">
        <v>104</v>
      </c>
      <c r="S144" s="205" t="s">
        <v>104</v>
      </c>
      <c r="T144" s="205" t="s">
        <v>105</v>
      </c>
      <c r="U144" s="205" t="s">
        <v>105</v>
      </c>
      <c r="V144" s="205" t="s">
        <v>105</v>
      </c>
      <c r="W144" s="205" t="s">
        <v>105</v>
      </c>
      <c r="X144" s="205" t="s">
        <v>103</v>
      </c>
      <c r="Y144" s="205" t="s">
        <v>105</v>
      </c>
      <c r="Z144" s="205" t="s">
        <v>105</v>
      </c>
      <c r="AA144" s="205" t="s">
        <v>105</v>
      </c>
      <c r="AB144" s="205" t="s">
        <v>105</v>
      </c>
      <c r="AC144" s="205" t="s">
        <v>105</v>
      </c>
      <c r="AD144" s="205" t="s">
        <v>103</v>
      </c>
      <c r="AE144" s="205"/>
      <c r="AF144" s="62"/>
      <c r="AG144" s="62"/>
      <c r="AH144" s="4">
        <f t="shared" ref="AH144:AH149" si="38">COUNTIF(C144:AG144,"L")</f>
        <v>0</v>
      </c>
      <c r="AI144" s="4">
        <f t="shared" ref="AI144:AI149" si="39">COUNTIF(C144:AG144,"A")</f>
        <v>17</v>
      </c>
      <c r="AJ144" s="189" t="s">
        <v>920</v>
      </c>
    </row>
    <row r="145" spans="2:36" ht="20.100000000000001" customHeight="1" x14ac:dyDescent="0.4">
      <c r="B145" s="4" t="s">
        <v>172</v>
      </c>
      <c r="C145" s="205" t="s">
        <v>103</v>
      </c>
      <c r="D145" s="205" t="s">
        <v>105</v>
      </c>
      <c r="E145" s="205" t="s">
        <v>105</v>
      </c>
      <c r="F145" s="205" t="s">
        <v>105</v>
      </c>
      <c r="G145" s="205" t="s">
        <v>105</v>
      </c>
      <c r="H145" s="205" t="s">
        <v>105</v>
      </c>
      <c r="I145" s="205" t="s">
        <v>103</v>
      </c>
      <c r="J145" s="205" t="s">
        <v>103</v>
      </c>
      <c r="K145" s="205" t="s">
        <v>105</v>
      </c>
      <c r="L145" s="205" t="s">
        <v>105</v>
      </c>
      <c r="M145" s="205" t="s">
        <v>105</v>
      </c>
      <c r="N145" s="205" t="s">
        <v>104</v>
      </c>
      <c r="O145" s="205" t="s">
        <v>104</v>
      </c>
      <c r="P145" s="205" t="s">
        <v>103</v>
      </c>
      <c r="Q145" s="205" t="s">
        <v>103</v>
      </c>
      <c r="R145" s="205" t="s">
        <v>104</v>
      </c>
      <c r="S145" s="205" t="s">
        <v>104</v>
      </c>
      <c r="T145" s="205" t="s">
        <v>105</v>
      </c>
      <c r="U145" s="205" t="s">
        <v>105</v>
      </c>
      <c r="V145" s="205" t="s">
        <v>105</v>
      </c>
      <c r="W145" s="205" t="s">
        <v>105</v>
      </c>
      <c r="X145" s="205" t="s">
        <v>103</v>
      </c>
      <c r="Y145" s="205" t="s">
        <v>105</v>
      </c>
      <c r="Z145" s="205" t="s">
        <v>105</v>
      </c>
      <c r="AA145" s="205" t="s">
        <v>105</v>
      </c>
      <c r="AB145" s="205" t="s">
        <v>105</v>
      </c>
      <c r="AC145" s="205" t="s">
        <v>105</v>
      </c>
      <c r="AD145" s="205" t="s">
        <v>103</v>
      </c>
      <c r="AE145" s="205"/>
      <c r="AF145" s="78"/>
      <c r="AG145" s="78"/>
      <c r="AH145" s="4">
        <f t="shared" ref="AH145:AH147" si="40">COUNTIF(C145:AG145,"L")</f>
        <v>0</v>
      </c>
      <c r="AI145" s="4">
        <f t="shared" ref="AI145:AI147" si="41">COUNTIF(C145:AG145,"A")</f>
        <v>17</v>
      </c>
      <c r="AJ145" s="201"/>
    </row>
    <row r="146" spans="2:36" ht="20.100000000000001" customHeight="1" x14ac:dyDescent="0.4">
      <c r="B146" s="4" t="s">
        <v>369</v>
      </c>
      <c r="C146" s="205" t="s">
        <v>103</v>
      </c>
      <c r="D146" s="205" t="s">
        <v>105</v>
      </c>
      <c r="E146" s="205" t="s">
        <v>105</v>
      </c>
      <c r="F146" s="205" t="s">
        <v>105</v>
      </c>
      <c r="G146" s="205" t="s">
        <v>105</v>
      </c>
      <c r="H146" s="205" t="s">
        <v>105</v>
      </c>
      <c r="I146" s="205" t="s">
        <v>103</v>
      </c>
      <c r="J146" s="205" t="s">
        <v>103</v>
      </c>
      <c r="K146" s="205" t="s">
        <v>105</v>
      </c>
      <c r="L146" s="205" t="s">
        <v>105</v>
      </c>
      <c r="M146" s="205" t="s">
        <v>105</v>
      </c>
      <c r="N146" s="205" t="s">
        <v>104</v>
      </c>
      <c r="O146" s="205" t="s">
        <v>104</v>
      </c>
      <c r="P146" s="205" t="s">
        <v>103</v>
      </c>
      <c r="Q146" s="205" t="s">
        <v>103</v>
      </c>
      <c r="R146" s="205" t="s">
        <v>104</v>
      </c>
      <c r="S146" s="205" t="s">
        <v>104</v>
      </c>
      <c r="T146" s="205" t="s">
        <v>105</v>
      </c>
      <c r="U146" s="205" t="s">
        <v>105</v>
      </c>
      <c r="V146" s="205" t="s">
        <v>105</v>
      </c>
      <c r="W146" s="205" t="s">
        <v>105</v>
      </c>
      <c r="X146" s="205" t="s">
        <v>103</v>
      </c>
      <c r="Y146" s="205" t="s">
        <v>105</v>
      </c>
      <c r="Z146" s="205" t="s">
        <v>105</v>
      </c>
      <c r="AA146" s="205" t="s">
        <v>105</v>
      </c>
      <c r="AB146" s="205" t="s">
        <v>105</v>
      </c>
      <c r="AC146" s="205" t="s">
        <v>105</v>
      </c>
      <c r="AD146" s="205" t="s">
        <v>103</v>
      </c>
      <c r="AE146" s="205"/>
      <c r="AF146" s="78"/>
      <c r="AG146" s="78"/>
      <c r="AH146" s="4">
        <f t="shared" si="40"/>
        <v>0</v>
      </c>
      <c r="AI146" s="4">
        <f t="shared" si="41"/>
        <v>17</v>
      </c>
    </row>
    <row r="147" spans="2:36" ht="20.100000000000001" customHeight="1" x14ac:dyDescent="0.4">
      <c r="B147" s="4" t="s">
        <v>370</v>
      </c>
      <c r="C147" s="205" t="s">
        <v>103</v>
      </c>
      <c r="D147" s="205" t="s">
        <v>105</v>
      </c>
      <c r="E147" s="205" t="s">
        <v>105</v>
      </c>
      <c r="F147" s="205" t="s">
        <v>105</v>
      </c>
      <c r="G147" s="205" t="s">
        <v>105</v>
      </c>
      <c r="H147" s="205" t="s">
        <v>105</v>
      </c>
      <c r="I147" s="205" t="s">
        <v>103</v>
      </c>
      <c r="J147" s="205" t="s">
        <v>103</v>
      </c>
      <c r="K147" s="205" t="s">
        <v>105</v>
      </c>
      <c r="L147" s="205" t="s">
        <v>105</v>
      </c>
      <c r="M147" s="205" t="s">
        <v>105</v>
      </c>
      <c r="N147" s="205" t="s">
        <v>104</v>
      </c>
      <c r="O147" s="205" t="s">
        <v>104</v>
      </c>
      <c r="P147" s="205" t="s">
        <v>103</v>
      </c>
      <c r="Q147" s="205" t="s">
        <v>103</v>
      </c>
      <c r="R147" s="205" t="s">
        <v>104</v>
      </c>
      <c r="S147" s="205" t="s">
        <v>104</v>
      </c>
      <c r="T147" s="205" t="s">
        <v>105</v>
      </c>
      <c r="U147" s="205" t="s">
        <v>105</v>
      </c>
      <c r="V147" s="205" t="s">
        <v>105</v>
      </c>
      <c r="W147" s="205" t="s">
        <v>105</v>
      </c>
      <c r="X147" s="205" t="s">
        <v>103</v>
      </c>
      <c r="Y147" s="205" t="s">
        <v>105</v>
      </c>
      <c r="Z147" s="205" t="s">
        <v>105</v>
      </c>
      <c r="AA147" s="205" t="s">
        <v>105</v>
      </c>
      <c r="AB147" s="205" t="s">
        <v>105</v>
      </c>
      <c r="AC147" s="205" t="s">
        <v>105</v>
      </c>
      <c r="AD147" s="205" t="s">
        <v>103</v>
      </c>
      <c r="AE147" s="205"/>
      <c r="AF147" s="78"/>
      <c r="AG147" s="78"/>
      <c r="AH147" s="4">
        <f t="shared" si="40"/>
        <v>0</v>
      </c>
      <c r="AI147" s="4">
        <f t="shared" si="41"/>
        <v>17</v>
      </c>
    </row>
    <row r="148" spans="2:36" ht="20.100000000000001" customHeight="1" x14ac:dyDescent="0.4">
      <c r="B148" s="4" t="s">
        <v>371</v>
      </c>
      <c r="C148" s="205" t="s">
        <v>103</v>
      </c>
      <c r="D148" s="205" t="s">
        <v>105</v>
      </c>
      <c r="E148" s="205" t="s">
        <v>105</v>
      </c>
      <c r="F148" s="205" t="s">
        <v>105</v>
      </c>
      <c r="G148" s="205" t="s">
        <v>105</v>
      </c>
      <c r="H148" s="205" t="s">
        <v>105</v>
      </c>
      <c r="I148" s="205" t="s">
        <v>103</v>
      </c>
      <c r="J148" s="205" t="s">
        <v>103</v>
      </c>
      <c r="K148" s="205" t="s">
        <v>105</v>
      </c>
      <c r="L148" s="205" t="s">
        <v>105</v>
      </c>
      <c r="M148" s="205" t="s">
        <v>105</v>
      </c>
      <c r="N148" s="205" t="s">
        <v>104</v>
      </c>
      <c r="O148" s="205" t="s">
        <v>104</v>
      </c>
      <c r="P148" s="205" t="s">
        <v>103</v>
      </c>
      <c r="Q148" s="205" t="s">
        <v>103</v>
      </c>
      <c r="R148" s="205" t="s">
        <v>104</v>
      </c>
      <c r="S148" s="205" t="s">
        <v>104</v>
      </c>
      <c r="T148" s="205" t="s">
        <v>105</v>
      </c>
      <c r="U148" s="205" t="s">
        <v>105</v>
      </c>
      <c r="V148" s="205" t="s">
        <v>105</v>
      </c>
      <c r="W148" s="205" t="s">
        <v>105</v>
      </c>
      <c r="X148" s="205" t="s">
        <v>103</v>
      </c>
      <c r="Y148" s="205" t="s">
        <v>105</v>
      </c>
      <c r="Z148" s="205" t="s">
        <v>105</v>
      </c>
      <c r="AA148" s="205" t="s">
        <v>105</v>
      </c>
      <c r="AB148" s="205" t="s">
        <v>105</v>
      </c>
      <c r="AC148" s="205" t="s">
        <v>105</v>
      </c>
      <c r="AD148" s="205" t="s">
        <v>103</v>
      </c>
      <c r="AE148" s="205"/>
      <c r="AF148" s="62"/>
      <c r="AG148" s="62"/>
      <c r="AH148" s="4">
        <f t="shared" si="38"/>
        <v>0</v>
      </c>
      <c r="AI148" s="4">
        <f t="shared" si="39"/>
        <v>17</v>
      </c>
    </row>
    <row r="149" spans="2:36" ht="20.100000000000001" customHeight="1" x14ac:dyDescent="0.4">
      <c r="B149" s="4" t="s">
        <v>372</v>
      </c>
      <c r="C149" s="205" t="s">
        <v>103</v>
      </c>
      <c r="D149" s="205" t="s">
        <v>105</v>
      </c>
      <c r="E149" s="205" t="s">
        <v>105</v>
      </c>
      <c r="F149" s="205" t="s">
        <v>105</v>
      </c>
      <c r="G149" s="205" t="s">
        <v>105</v>
      </c>
      <c r="H149" s="205" t="s">
        <v>105</v>
      </c>
      <c r="I149" s="205" t="s">
        <v>103</v>
      </c>
      <c r="J149" s="205" t="s">
        <v>103</v>
      </c>
      <c r="K149" s="205" t="s">
        <v>105</v>
      </c>
      <c r="L149" s="205" t="s">
        <v>105</v>
      </c>
      <c r="M149" s="205" t="s">
        <v>105</v>
      </c>
      <c r="N149" s="205" t="s">
        <v>104</v>
      </c>
      <c r="O149" s="205" t="s">
        <v>104</v>
      </c>
      <c r="P149" s="205" t="s">
        <v>103</v>
      </c>
      <c r="Q149" s="205" t="s">
        <v>103</v>
      </c>
      <c r="R149" s="205" t="s">
        <v>104</v>
      </c>
      <c r="S149" s="205" t="s">
        <v>104</v>
      </c>
      <c r="T149" s="205" t="s">
        <v>105</v>
      </c>
      <c r="U149" s="205" t="s">
        <v>105</v>
      </c>
      <c r="V149" s="205" t="s">
        <v>105</v>
      </c>
      <c r="W149" s="205" t="s">
        <v>105</v>
      </c>
      <c r="X149" s="205" t="s">
        <v>103</v>
      </c>
      <c r="Y149" s="205" t="s">
        <v>105</v>
      </c>
      <c r="Z149" s="205" t="s">
        <v>105</v>
      </c>
      <c r="AA149" s="205" t="s">
        <v>105</v>
      </c>
      <c r="AB149" s="205" t="s">
        <v>105</v>
      </c>
      <c r="AC149" s="205" t="s">
        <v>105</v>
      </c>
      <c r="AD149" s="205" t="s">
        <v>103</v>
      </c>
      <c r="AE149" s="205"/>
      <c r="AF149" s="62"/>
      <c r="AG149" s="62"/>
      <c r="AH149" s="4">
        <f t="shared" si="38"/>
        <v>0</v>
      </c>
      <c r="AI149" s="4">
        <f t="shared" si="39"/>
        <v>17</v>
      </c>
    </row>
    <row r="151" spans="2:36" ht="20.100000000000001" customHeight="1" x14ac:dyDescent="0.4">
      <c r="B151" s="607">
        <f>DATE(YEAR(B141),MONTH(B141)+1,DAY(B141))</f>
        <v>46082</v>
      </c>
      <c r="C151" s="6">
        <v>1</v>
      </c>
      <c r="D151" s="6">
        <v>2</v>
      </c>
      <c r="E151" s="6">
        <v>3</v>
      </c>
      <c r="F151" s="6">
        <v>4</v>
      </c>
      <c r="G151" s="6">
        <v>5</v>
      </c>
      <c r="H151" s="6">
        <v>6</v>
      </c>
      <c r="I151" s="6">
        <v>7</v>
      </c>
      <c r="J151" s="6">
        <v>8</v>
      </c>
      <c r="K151" s="6">
        <v>9</v>
      </c>
      <c r="L151" s="6">
        <v>10</v>
      </c>
      <c r="M151" s="6">
        <v>11</v>
      </c>
      <c r="N151" s="6">
        <v>12</v>
      </c>
      <c r="O151" s="6">
        <v>13</v>
      </c>
      <c r="P151" s="6">
        <v>14</v>
      </c>
      <c r="Q151" s="6">
        <v>15</v>
      </c>
      <c r="R151" s="6">
        <v>16</v>
      </c>
      <c r="S151" s="6">
        <v>17</v>
      </c>
      <c r="T151" s="6">
        <v>18</v>
      </c>
      <c r="U151" s="6">
        <v>19</v>
      </c>
      <c r="V151" s="6">
        <v>20</v>
      </c>
      <c r="W151" s="6">
        <v>21</v>
      </c>
      <c r="X151" s="6">
        <v>22</v>
      </c>
      <c r="Y151" s="6">
        <v>23</v>
      </c>
      <c r="Z151" s="6">
        <v>24</v>
      </c>
      <c r="AA151" s="6">
        <v>25</v>
      </c>
      <c r="AB151" s="6">
        <v>26</v>
      </c>
      <c r="AC151" s="6">
        <v>27</v>
      </c>
      <c r="AD151" s="6">
        <v>28</v>
      </c>
      <c r="AE151" s="6">
        <v>29</v>
      </c>
      <c r="AF151" s="6">
        <v>30</v>
      </c>
      <c r="AG151" s="6">
        <v>31</v>
      </c>
      <c r="AH151" s="473" t="s">
        <v>106</v>
      </c>
      <c r="AI151" s="478" t="s">
        <v>107</v>
      </c>
      <c r="AJ151" s="323" t="s">
        <v>922</v>
      </c>
    </row>
    <row r="152" spans="2:36" ht="20.100000000000001" customHeight="1" x14ac:dyDescent="0.4">
      <c r="B152" s="608"/>
      <c r="C152" s="6" t="s">
        <v>112</v>
      </c>
      <c r="D152" s="6" t="s">
        <v>367</v>
      </c>
      <c r="E152" s="6" t="s">
        <v>696</v>
      </c>
      <c r="F152" s="6" t="s">
        <v>108</v>
      </c>
      <c r="G152" s="6" t="s">
        <v>109</v>
      </c>
      <c r="H152" s="6" t="s">
        <v>110</v>
      </c>
      <c r="I152" s="6" t="s">
        <v>111</v>
      </c>
      <c r="J152" s="6" t="s">
        <v>112</v>
      </c>
      <c r="K152" s="6" t="s">
        <v>70</v>
      </c>
      <c r="L152" s="6" t="s">
        <v>72</v>
      </c>
      <c r="M152" s="6" t="s">
        <v>108</v>
      </c>
      <c r="N152" s="6" t="s">
        <v>109</v>
      </c>
      <c r="O152" s="6" t="s">
        <v>110</v>
      </c>
      <c r="P152" s="6" t="s">
        <v>111</v>
      </c>
      <c r="Q152" s="6" t="s">
        <v>112</v>
      </c>
      <c r="R152" s="6" t="s">
        <v>70</v>
      </c>
      <c r="S152" s="6" t="s">
        <v>72</v>
      </c>
      <c r="T152" s="6" t="s">
        <v>108</v>
      </c>
      <c r="U152" s="6" t="s">
        <v>109</v>
      </c>
      <c r="V152" s="6" t="s">
        <v>110</v>
      </c>
      <c r="W152" s="6" t="s">
        <v>111</v>
      </c>
      <c r="X152" s="6" t="s">
        <v>112</v>
      </c>
      <c r="Y152" s="6" t="s">
        <v>70</v>
      </c>
      <c r="Z152" s="6" t="s">
        <v>72</v>
      </c>
      <c r="AA152" s="6" t="s">
        <v>108</v>
      </c>
      <c r="AB152" s="6" t="s">
        <v>109</v>
      </c>
      <c r="AC152" s="6" t="s">
        <v>110</v>
      </c>
      <c r="AD152" s="6" t="s">
        <v>111</v>
      </c>
      <c r="AE152" s="6" t="s">
        <v>112</v>
      </c>
      <c r="AF152" s="6" t="s">
        <v>70</v>
      </c>
      <c r="AG152" s="6" t="s">
        <v>72</v>
      </c>
      <c r="AH152" s="475"/>
      <c r="AI152" s="480"/>
      <c r="AJ152" s="323" t="s">
        <v>948</v>
      </c>
    </row>
    <row r="153" spans="2:36" ht="20.100000000000001" customHeight="1" x14ac:dyDescent="0.4">
      <c r="B153" s="4" t="s">
        <v>163</v>
      </c>
      <c r="C153" s="205" t="s">
        <v>103</v>
      </c>
      <c r="D153" s="205" t="s">
        <v>104</v>
      </c>
      <c r="E153" s="205" t="s">
        <v>105</v>
      </c>
      <c r="F153" s="205" t="s">
        <v>105</v>
      </c>
      <c r="G153" s="205" t="s">
        <v>105</v>
      </c>
      <c r="H153" s="205" t="s">
        <v>105</v>
      </c>
      <c r="I153" s="205" t="s">
        <v>103</v>
      </c>
      <c r="J153" s="205" t="s">
        <v>103</v>
      </c>
      <c r="K153" s="205" t="s">
        <v>105</v>
      </c>
      <c r="L153" s="205" t="s">
        <v>105</v>
      </c>
      <c r="M153" s="205" t="s">
        <v>105</v>
      </c>
      <c r="N153" s="205" t="s">
        <v>105</v>
      </c>
      <c r="O153" s="205" t="s">
        <v>105</v>
      </c>
      <c r="P153" s="205" t="s">
        <v>103</v>
      </c>
      <c r="Q153" s="205" t="s">
        <v>103</v>
      </c>
      <c r="R153" s="205" t="s">
        <v>105</v>
      </c>
      <c r="S153" s="205" t="s">
        <v>105</v>
      </c>
      <c r="T153" s="205" t="s">
        <v>105</v>
      </c>
      <c r="U153" s="205" t="s">
        <v>105</v>
      </c>
      <c r="V153" s="205" t="s">
        <v>105</v>
      </c>
      <c r="W153" s="205" t="s">
        <v>103</v>
      </c>
      <c r="X153" s="205" t="s">
        <v>103</v>
      </c>
      <c r="Y153" s="205" t="s">
        <v>105</v>
      </c>
      <c r="Z153" s="205" t="s">
        <v>105</v>
      </c>
      <c r="AA153" s="205" t="s">
        <v>105</v>
      </c>
      <c r="AB153" s="205" t="s">
        <v>105</v>
      </c>
      <c r="AC153" s="205" t="s">
        <v>104</v>
      </c>
      <c r="AD153" s="205" t="s">
        <v>103</v>
      </c>
      <c r="AE153" s="205" t="s">
        <v>103</v>
      </c>
      <c r="AF153" s="205" t="s">
        <v>105</v>
      </c>
      <c r="AG153" s="205" t="s">
        <v>105</v>
      </c>
      <c r="AH153" s="4">
        <f>COUNTIF(C153:AG153,"L")</f>
        <v>0</v>
      </c>
      <c r="AI153" s="4">
        <f>COUNTIF(C153:AG153,"A")</f>
        <v>20</v>
      </c>
      <c r="AJ153" s="323" t="s">
        <v>923</v>
      </c>
    </row>
    <row r="154" spans="2:36" ht="20.100000000000001" customHeight="1" x14ac:dyDescent="0.4">
      <c r="B154" s="4" t="s">
        <v>368</v>
      </c>
      <c r="C154" s="205" t="s">
        <v>103</v>
      </c>
      <c r="D154" s="205" t="s">
        <v>104</v>
      </c>
      <c r="E154" s="205" t="s">
        <v>77</v>
      </c>
      <c r="F154" s="205" t="s">
        <v>77</v>
      </c>
      <c r="G154" s="205" t="s">
        <v>77</v>
      </c>
      <c r="H154" s="205" t="s">
        <v>77</v>
      </c>
      <c r="I154" s="205" t="s">
        <v>103</v>
      </c>
      <c r="J154" s="205" t="s">
        <v>103</v>
      </c>
      <c r="K154" s="205" t="s">
        <v>77</v>
      </c>
      <c r="L154" s="205" t="s">
        <v>77</v>
      </c>
      <c r="M154" s="205" t="s">
        <v>77</v>
      </c>
      <c r="N154" s="205" t="s">
        <v>77</v>
      </c>
      <c r="O154" s="205" t="s">
        <v>77</v>
      </c>
      <c r="P154" s="205" t="s">
        <v>103</v>
      </c>
      <c r="Q154" s="205" t="s">
        <v>103</v>
      </c>
      <c r="R154" s="205" t="s">
        <v>77</v>
      </c>
      <c r="S154" s="205" t="s">
        <v>77</v>
      </c>
      <c r="T154" s="205" t="s">
        <v>77</v>
      </c>
      <c r="U154" s="205" t="s">
        <v>77</v>
      </c>
      <c r="V154" s="205" t="s">
        <v>77</v>
      </c>
      <c r="W154" s="205" t="s">
        <v>103</v>
      </c>
      <c r="X154" s="205" t="s">
        <v>103</v>
      </c>
      <c r="Y154" s="205" t="s">
        <v>77</v>
      </c>
      <c r="Z154" s="205" t="s">
        <v>77</v>
      </c>
      <c r="AA154" s="205" t="s">
        <v>77</v>
      </c>
      <c r="AB154" s="205" t="s">
        <v>77</v>
      </c>
      <c r="AC154" s="205" t="s">
        <v>104</v>
      </c>
      <c r="AD154" s="205" t="s">
        <v>103</v>
      </c>
      <c r="AE154" s="205" t="s">
        <v>103</v>
      </c>
      <c r="AF154" s="205" t="s">
        <v>77</v>
      </c>
      <c r="AG154" s="205" t="s">
        <v>77</v>
      </c>
      <c r="AH154" s="4">
        <f t="shared" ref="AH154:AH159" si="42">COUNTIF(C154:AG154,"L")</f>
        <v>20</v>
      </c>
      <c r="AI154" s="4">
        <f t="shared" ref="AI154:AI159" si="43">COUNTIF(C154:AG154,"A")</f>
        <v>0</v>
      </c>
    </row>
    <row r="155" spans="2:36" ht="20.100000000000001" customHeight="1" x14ac:dyDescent="0.4">
      <c r="B155" s="4" t="s">
        <v>172</v>
      </c>
      <c r="C155" s="205" t="s">
        <v>103</v>
      </c>
      <c r="D155" s="205" t="s">
        <v>104</v>
      </c>
      <c r="E155" s="205" t="s">
        <v>105</v>
      </c>
      <c r="F155" s="205" t="s">
        <v>105</v>
      </c>
      <c r="G155" s="205" t="s">
        <v>105</v>
      </c>
      <c r="H155" s="205" t="s">
        <v>105</v>
      </c>
      <c r="I155" s="205" t="s">
        <v>103</v>
      </c>
      <c r="J155" s="205" t="s">
        <v>103</v>
      </c>
      <c r="K155" s="205" t="s">
        <v>105</v>
      </c>
      <c r="L155" s="205" t="s">
        <v>105</v>
      </c>
      <c r="M155" s="205" t="s">
        <v>105</v>
      </c>
      <c r="N155" s="205" t="s">
        <v>105</v>
      </c>
      <c r="O155" s="205" t="s">
        <v>105</v>
      </c>
      <c r="P155" s="205" t="s">
        <v>103</v>
      </c>
      <c r="Q155" s="205" t="s">
        <v>103</v>
      </c>
      <c r="R155" s="205" t="s">
        <v>105</v>
      </c>
      <c r="S155" s="205" t="s">
        <v>105</v>
      </c>
      <c r="T155" s="205" t="s">
        <v>105</v>
      </c>
      <c r="U155" s="205" t="s">
        <v>105</v>
      </c>
      <c r="V155" s="205" t="s">
        <v>105</v>
      </c>
      <c r="W155" s="205" t="s">
        <v>103</v>
      </c>
      <c r="X155" s="205" t="s">
        <v>103</v>
      </c>
      <c r="Y155" s="205" t="s">
        <v>105</v>
      </c>
      <c r="Z155" s="205" t="s">
        <v>105</v>
      </c>
      <c r="AA155" s="205" t="s">
        <v>105</v>
      </c>
      <c r="AB155" s="205" t="s">
        <v>105</v>
      </c>
      <c r="AC155" s="205" t="s">
        <v>104</v>
      </c>
      <c r="AD155" s="205" t="s">
        <v>103</v>
      </c>
      <c r="AE155" s="205" t="s">
        <v>103</v>
      </c>
      <c r="AF155" s="205" t="s">
        <v>105</v>
      </c>
      <c r="AG155" s="205" t="s">
        <v>105</v>
      </c>
      <c r="AH155" s="4">
        <f t="shared" ref="AH155:AH157" si="44">COUNTIF(C155:AG155,"L")</f>
        <v>0</v>
      </c>
      <c r="AI155" s="4">
        <f t="shared" ref="AI155:AI157" si="45">COUNTIF(C155:AG155,"A")</f>
        <v>20</v>
      </c>
    </row>
    <row r="156" spans="2:36" ht="20.100000000000001" customHeight="1" x14ac:dyDescent="0.4">
      <c r="B156" s="4" t="s">
        <v>369</v>
      </c>
      <c r="C156" s="205" t="s">
        <v>103</v>
      </c>
      <c r="D156" s="205" t="s">
        <v>104</v>
      </c>
      <c r="E156" s="205" t="s">
        <v>105</v>
      </c>
      <c r="F156" s="205" t="s">
        <v>105</v>
      </c>
      <c r="G156" s="205" t="s">
        <v>105</v>
      </c>
      <c r="H156" s="205" t="s">
        <v>105</v>
      </c>
      <c r="I156" s="205" t="s">
        <v>103</v>
      </c>
      <c r="J156" s="205" t="s">
        <v>103</v>
      </c>
      <c r="K156" s="205" t="s">
        <v>105</v>
      </c>
      <c r="L156" s="205" t="s">
        <v>105</v>
      </c>
      <c r="M156" s="205" t="s">
        <v>105</v>
      </c>
      <c r="N156" s="205" t="s">
        <v>105</v>
      </c>
      <c r="O156" s="205" t="s">
        <v>105</v>
      </c>
      <c r="P156" s="205" t="s">
        <v>103</v>
      </c>
      <c r="Q156" s="205" t="s">
        <v>103</v>
      </c>
      <c r="R156" s="205" t="s">
        <v>105</v>
      </c>
      <c r="S156" s="205" t="s">
        <v>105</v>
      </c>
      <c r="T156" s="205" t="s">
        <v>105</v>
      </c>
      <c r="U156" s="205" t="s">
        <v>105</v>
      </c>
      <c r="V156" s="205" t="s">
        <v>105</v>
      </c>
      <c r="W156" s="205" t="s">
        <v>103</v>
      </c>
      <c r="X156" s="205" t="s">
        <v>103</v>
      </c>
      <c r="Y156" s="205" t="s">
        <v>105</v>
      </c>
      <c r="Z156" s="205" t="s">
        <v>105</v>
      </c>
      <c r="AA156" s="205" t="s">
        <v>105</v>
      </c>
      <c r="AB156" s="205" t="s">
        <v>105</v>
      </c>
      <c r="AC156" s="205" t="s">
        <v>104</v>
      </c>
      <c r="AD156" s="205" t="s">
        <v>103</v>
      </c>
      <c r="AE156" s="205" t="s">
        <v>103</v>
      </c>
      <c r="AF156" s="205" t="s">
        <v>105</v>
      </c>
      <c r="AG156" s="205" t="s">
        <v>105</v>
      </c>
      <c r="AH156" s="4">
        <f t="shared" si="44"/>
        <v>0</v>
      </c>
      <c r="AI156" s="4">
        <f t="shared" si="45"/>
        <v>20</v>
      </c>
    </row>
    <row r="157" spans="2:36" ht="20.100000000000001" customHeight="1" x14ac:dyDescent="0.4">
      <c r="B157" s="4" t="s">
        <v>370</v>
      </c>
      <c r="C157" s="205" t="s">
        <v>103</v>
      </c>
      <c r="D157" s="205" t="s">
        <v>104</v>
      </c>
      <c r="E157" s="205" t="s">
        <v>105</v>
      </c>
      <c r="F157" s="205" t="s">
        <v>105</v>
      </c>
      <c r="G157" s="205" t="s">
        <v>105</v>
      </c>
      <c r="H157" s="205" t="s">
        <v>105</v>
      </c>
      <c r="I157" s="205" t="s">
        <v>103</v>
      </c>
      <c r="J157" s="205" t="s">
        <v>103</v>
      </c>
      <c r="K157" s="205" t="s">
        <v>105</v>
      </c>
      <c r="L157" s="205" t="s">
        <v>105</v>
      </c>
      <c r="M157" s="205" t="s">
        <v>105</v>
      </c>
      <c r="N157" s="205" t="s">
        <v>105</v>
      </c>
      <c r="O157" s="205" t="s">
        <v>105</v>
      </c>
      <c r="P157" s="205" t="s">
        <v>103</v>
      </c>
      <c r="Q157" s="205" t="s">
        <v>103</v>
      </c>
      <c r="R157" s="205" t="s">
        <v>105</v>
      </c>
      <c r="S157" s="205" t="s">
        <v>105</v>
      </c>
      <c r="T157" s="205" t="s">
        <v>105</v>
      </c>
      <c r="U157" s="205" t="s">
        <v>105</v>
      </c>
      <c r="V157" s="205" t="s">
        <v>105</v>
      </c>
      <c r="W157" s="205" t="s">
        <v>103</v>
      </c>
      <c r="X157" s="205" t="s">
        <v>103</v>
      </c>
      <c r="Y157" s="205" t="s">
        <v>105</v>
      </c>
      <c r="Z157" s="205" t="s">
        <v>105</v>
      </c>
      <c r="AA157" s="205" t="s">
        <v>105</v>
      </c>
      <c r="AB157" s="205" t="s">
        <v>105</v>
      </c>
      <c r="AC157" s="205" t="s">
        <v>104</v>
      </c>
      <c r="AD157" s="205" t="s">
        <v>103</v>
      </c>
      <c r="AE157" s="205" t="s">
        <v>103</v>
      </c>
      <c r="AF157" s="205" t="s">
        <v>105</v>
      </c>
      <c r="AG157" s="205" t="s">
        <v>105</v>
      </c>
      <c r="AH157" s="4">
        <f t="shared" si="44"/>
        <v>0</v>
      </c>
      <c r="AI157" s="4">
        <f t="shared" si="45"/>
        <v>20</v>
      </c>
    </row>
    <row r="158" spans="2:36" ht="20.100000000000001" customHeight="1" x14ac:dyDescent="0.4">
      <c r="B158" s="4" t="s">
        <v>371</v>
      </c>
      <c r="C158" s="205" t="s">
        <v>103</v>
      </c>
      <c r="D158" s="205" t="s">
        <v>104</v>
      </c>
      <c r="E158" s="205" t="s">
        <v>105</v>
      </c>
      <c r="F158" s="205" t="s">
        <v>105</v>
      </c>
      <c r="G158" s="205" t="s">
        <v>105</v>
      </c>
      <c r="H158" s="205" t="s">
        <v>105</v>
      </c>
      <c r="I158" s="205" t="s">
        <v>103</v>
      </c>
      <c r="J158" s="205" t="s">
        <v>103</v>
      </c>
      <c r="K158" s="205" t="s">
        <v>105</v>
      </c>
      <c r="L158" s="205" t="s">
        <v>105</v>
      </c>
      <c r="M158" s="205" t="s">
        <v>105</v>
      </c>
      <c r="N158" s="205" t="s">
        <v>105</v>
      </c>
      <c r="O158" s="205" t="s">
        <v>105</v>
      </c>
      <c r="P158" s="205" t="s">
        <v>103</v>
      </c>
      <c r="Q158" s="205" t="s">
        <v>103</v>
      </c>
      <c r="R158" s="205" t="s">
        <v>105</v>
      </c>
      <c r="S158" s="205" t="s">
        <v>105</v>
      </c>
      <c r="T158" s="205" t="s">
        <v>105</v>
      </c>
      <c r="U158" s="205" t="s">
        <v>105</v>
      </c>
      <c r="V158" s="205" t="s">
        <v>105</v>
      </c>
      <c r="W158" s="205" t="s">
        <v>103</v>
      </c>
      <c r="X158" s="205" t="s">
        <v>103</v>
      </c>
      <c r="Y158" s="205" t="s">
        <v>105</v>
      </c>
      <c r="Z158" s="205" t="s">
        <v>105</v>
      </c>
      <c r="AA158" s="205" t="s">
        <v>105</v>
      </c>
      <c r="AB158" s="205" t="s">
        <v>105</v>
      </c>
      <c r="AC158" s="205" t="s">
        <v>104</v>
      </c>
      <c r="AD158" s="205" t="s">
        <v>103</v>
      </c>
      <c r="AE158" s="205" t="s">
        <v>103</v>
      </c>
      <c r="AF158" s="205" t="s">
        <v>105</v>
      </c>
      <c r="AG158" s="205" t="s">
        <v>105</v>
      </c>
      <c r="AH158" s="4">
        <f t="shared" si="42"/>
        <v>0</v>
      </c>
      <c r="AI158" s="4">
        <f t="shared" si="43"/>
        <v>20</v>
      </c>
    </row>
    <row r="159" spans="2:36" ht="20.100000000000001" customHeight="1" x14ac:dyDescent="0.4">
      <c r="B159" s="4" t="s">
        <v>372</v>
      </c>
      <c r="C159" s="205" t="s">
        <v>103</v>
      </c>
      <c r="D159" s="205" t="s">
        <v>104</v>
      </c>
      <c r="E159" s="205" t="s">
        <v>105</v>
      </c>
      <c r="F159" s="205" t="s">
        <v>105</v>
      </c>
      <c r="G159" s="205" t="s">
        <v>105</v>
      </c>
      <c r="H159" s="205" t="s">
        <v>105</v>
      </c>
      <c r="I159" s="205" t="s">
        <v>103</v>
      </c>
      <c r="J159" s="205" t="s">
        <v>103</v>
      </c>
      <c r="K159" s="205" t="s">
        <v>105</v>
      </c>
      <c r="L159" s="205" t="s">
        <v>105</v>
      </c>
      <c r="M159" s="205" t="s">
        <v>105</v>
      </c>
      <c r="N159" s="205" t="s">
        <v>105</v>
      </c>
      <c r="O159" s="205" t="s">
        <v>105</v>
      </c>
      <c r="P159" s="205" t="s">
        <v>103</v>
      </c>
      <c r="Q159" s="205" t="s">
        <v>103</v>
      </c>
      <c r="R159" s="205" t="s">
        <v>105</v>
      </c>
      <c r="S159" s="205" t="s">
        <v>105</v>
      </c>
      <c r="T159" s="205" t="s">
        <v>105</v>
      </c>
      <c r="U159" s="205" t="s">
        <v>105</v>
      </c>
      <c r="V159" s="205" t="s">
        <v>105</v>
      </c>
      <c r="W159" s="205" t="s">
        <v>103</v>
      </c>
      <c r="X159" s="205" t="s">
        <v>103</v>
      </c>
      <c r="Y159" s="205" t="s">
        <v>105</v>
      </c>
      <c r="Z159" s="205" t="s">
        <v>105</v>
      </c>
      <c r="AA159" s="205" t="s">
        <v>105</v>
      </c>
      <c r="AB159" s="205" t="s">
        <v>105</v>
      </c>
      <c r="AC159" s="205" t="s">
        <v>104</v>
      </c>
      <c r="AD159" s="205" t="s">
        <v>103</v>
      </c>
      <c r="AE159" s="205" t="s">
        <v>103</v>
      </c>
      <c r="AF159" s="205" t="s">
        <v>105</v>
      </c>
      <c r="AG159" s="205" t="s">
        <v>105</v>
      </c>
      <c r="AH159" s="4">
        <f t="shared" si="42"/>
        <v>0</v>
      </c>
      <c r="AI159" s="4">
        <f t="shared" si="43"/>
        <v>20</v>
      </c>
    </row>
    <row r="161" spans="2:35" ht="20.100000000000001" customHeight="1" x14ac:dyDescent="0.4">
      <c r="B161" s="607">
        <f>DATE(YEAR(B151),MONTH(B151)+1,DAY(B151))</f>
        <v>46113</v>
      </c>
      <c r="C161" s="6">
        <v>1</v>
      </c>
      <c r="D161" s="6">
        <v>2</v>
      </c>
      <c r="E161" s="6">
        <v>3</v>
      </c>
      <c r="F161" s="6">
        <v>4</v>
      </c>
      <c r="G161" s="6">
        <v>5</v>
      </c>
      <c r="H161" s="6">
        <v>6</v>
      </c>
      <c r="I161" s="6">
        <v>7</v>
      </c>
      <c r="J161" s="6">
        <v>8</v>
      </c>
      <c r="K161" s="6">
        <v>9</v>
      </c>
      <c r="L161" s="6">
        <v>10</v>
      </c>
      <c r="M161" s="6">
        <v>11</v>
      </c>
      <c r="N161" s="6">
        <v>12</v>
      </c>
      <c r="O161" s="6">
        <v>13</v>
      </c>
      <c r="P161" s="6">
        <v>14</v>
      </c>
      <c r="Q161" s="6">
        <v>15</v>
      </c>
      <c r="R161" s="6">
        <v>16</v>
      </c>
      <c r="S161" s="6">
        <v>17</v>
      </c>
      <c r="T161" s="6">
        <v>18</v>
      </c>
      <c r="U161" s="6">
        <v>19</v>
      </c>
      <c r="V161" s="6">
        <v>20</v>
      </c>
      <c r="W161" s="6">
        <v>21</v>
      </c>
      <c r="X161" s="6">
        <v>22</v>
      </c>
      <c r="Y161" s="6">
        <v>23</v>
      </c>
      <c r="Z161" s="6">
        <v>24</v>
      </c>
      <c r="AA161" s="6">
        <v>25</v>
      </c>
      <c r="AB161" s="6">
        <v>26</v>
      </c>
      <c r="AC161" s="6">
        <v>27</v>
      </c>
      <c r="AD161" s="6">
        <v>28</v>
      </c>
      <c r="AE161" s="6">
        <v>29</v>
      </c>
      <c r="AF161" s="6">
        <v>30</v>
      </c>
      <c r="AG161" s="6"/>
      <c r="AH161" s="473" t="s">
        <v>106</v>
      </c>
      <c r="AI161" s="478" t="s">
        <v>107</v>
      </c>
    </row>
    <row r="162" spans="2:35" ht="20.100000000000001" customHeight="1" x14ac:dyDescent="0.4">
      <c r="B162" s="608"/>
      <c r="C162" s="6" t="s">
        <v>108</v>
      </c>
      <c r="D162" s="6" t="s">
        <v>109</v>
      </c>
      <c r="E162" s="6" t="s">
        <v>110</v>
      </c>
      <c r="F162" s="6" t="s">
        <v>111</v>
      </c>
      <c r="G162" s="6" t="s">
        <v>112</v>
      </c>
      <c r="H162" s="6" t="s">
        <v>70</v>
      </c>
      <c r="I162" s="6" t="s">
        <v>72</v>
      </c>
      <c r="J162" s="6" t="s">
        <v>108</v>
      </c>
      <c r="K162" s="6" t="s">
        <v>109</v>
      </c>
      <c r="L162" s="6" t="s">
        <v>110</v>
      </c>
      <c r="M162" s="6" t="s">
        <v>111</v>
      </c>
      <c r="N162" s="6" t="s">
        <v>112</v>
      </c>
      <c r="O162" s="6" t="s">
        <v>70</v>
      </c>
      <c r="P162" s="6" t="s">
        <v>72</v>
      </c>
      <c r="Q162" s="6" t="s">
        <v>108</v>
      </c>
      <c r="R162" s="6" t="s">
        <v>109</v>
      </c>
      <c r="S162" s="6" t="s">
        <v>110</v>
      </c>
      <c r="T162" s="6" t="s">
        <v>111</v>
      </c>
      <c r="U162" s="6" t="s">
        <v>112</v>
      </c>
      <c r="V162" s="6" t="s">
        <v>70</v>
      </c>
      <c r="W162" s="6" t="s">
        <v>72</v>
      </c>
      <c r="X162" s="6" t="s">
        <v>108</v>
      </c>
      <c r="Y162" s="6" t="s">
        <v>109</v>
      </c>
      <c r="Z162" s="6" t="s">
        <v>110</v>
      </c>
      <c r="AA162" s="6" t="s">
        <v>111</v>
      </c>
      <c r="AB162" s="6" t="s">
        <v>112</v>
      </c>
      <c r="AC162" s="6" t="s">
        <v>70</v>
      </c>
      <c r="AD162" s="6" t="s">
        <v>72</v>
      </c>
      <c r="AE162" s="6" t="s">
        <v>108</v>
      </c>
      <c r="AF162" s="6" t="s">
        <v>109</v>
      </c>
      <c r="AG162" s="6"/>
      <c r="AH162" s="475"/>
      <c r="AI162" s="480"/>
    </row>
    <row r="163" spans="2:35" ht="20.100000000000001" customHeight="1" x14ac:dyDescent="0.4">
      <c r="B163" s="4" t="s">
        <v>163</v>
      </c>
      <c r="C163" s="205" t="s">
        <v>105</v>
      </c>
      <c r="D163" s="205" t="s">
        <v>105</v>
      </c>
      <c r="E163" s="205" t="s">
        <v>105</v>
      </c>
      <c r="F163" s="205" t="s">
        <v>103</v>
      </c>
      <c r="G163" s="205" t="s">
        <v>103</v>
      </c>
      <c r="H163" s="205" t="s">
        <v>105</v>
      </c>
      <c r="I163" s="205" t="s">
        <v>105</v>
      </c>
      <c r="J163" s="205" t="s">
        <v>105</v>
      </c>
      <c r="K163" s="205" t="s">
        <v>105</v>
      </c>
      <c r="L163" s="205" t="s">
        <v>105</v>
      </c>
      <c r="M163" s="205" t="s">
        <v>103</v>
      </c>
      <c r="N163" s="205" t="s">
        <v>103</v>
      </c>
      <c r="O163" s="205" t="s">
        <v>104</v>
      </c>
      <c r="P163" s="205" t="s">
        <v>104</v>
      </c>
      <c r="Q163" s="205" t="s">
        <v>104</v>
      </c>
      <c r="R163" s="205" t="s">
        <v>104</v>
      </c>
      <c r="S163" s="205" t="s">
        <v>104</v>
      </c>
      <c r="T163" s="205" t="s">
        <v>103</v>
      </c>
      <c r="U163" s="205" t="s">
        <v>103</v>
      </c>
      <c r="V163" s="205" t="s">
        <v>105</v>
      </c>
      <c r="W163" s="205" t="s">
        <v>105</v>
      </c>
      <c r="X163" s="205" t="s">
        <v>105</v>
      </c>
      <c r="Y163" s="205" t="s">
        <v>105</v>
      </c>
      <c r="Z163" s="205" t="s">
        <v>105</v>
      </c>
      <c r="AA163" s="205" t="s">
        <v>103</v>
      </c>
      <c r="AB163" s="205" t="s">
        <v>103</v>
      </c>
      <c r="AC163" s="205" t="s">
        <v>105</v>
      </c>
      <c r="AD163" s="205" t="s">
        <v>105</v>
      </c>
      <c r="AE163" s="205" t="s">
        <v>105</v>
      </c>
      <c r="AF163" s="205" t="s">
        <v>104</v>
      </c>
      <c r="AG163" s="205"/>
      <c r="AH163" s="4">
        <f>COUNTIF(C163:AG163,"L")</f>
        <v>0</v>
      </c>
      <c r="AI163" s="4">
        <f>COUNTIF(C163:AG163,"A")</f>
        <v>16</v>
      </c>
    </row>
    <row r="164" spans="2:35" ht="20.100000000000001" customHeight="1" x14ac:dyDescent="0.4">
      <c r="B164" s="4" t="s">
        <v>368</v>
      </c>
      <c r="C164" s="205" t="s">
        <v>77</v>
      </c>
      <c r="D164" s="205" t="s">
        <v>77</v>
      </c>
      <c r="E164" s="205" t="s">
        <v>77</v>
      </c>
      <c r="F164" s="205" t="s">
        <v>103</v>
      </c>
      <c r="G164" s="205" t="s">
        <v>103</v>
      </c>
      <c r="H164" s="205" t="s">
        <v>77</v>
      </c>
      <c r="I164" s="205" t="s">
        <v>77</v>
      </c>
      <c r="J164" s="205" t="s">
        <v>77</v>
      </c>
      <c r="K164" s="205" t="s">
        <v>77</v>
      </c>
      <c r="L164" s="205" t="s">
        <v>77</v>
      </c>
      <c r="M164" s="205" t="s">
        <v>103</v>
      </c>
      <c r="N164" s="205" t="s">
        <v>103</v>
      </c>
      <c r="O164" s="205" t="s">
        <v>104</v>
      </c>
      <c r="P164" s="205" t="s">
        <v>104</v>
      </c>
      <c r="Q164" s="205" t="s">
        <v>104</v>
      </c>
      <c r="R164" s="205" t="s">
        <v>104</v>
      </c>
      <c r="S164" s="205" t="s">
        <v>104</v>
      </c>
      <c r="T164" s="205" t="s">
        <v>103</v>
      </c>
      <c r="U164" s="205" t="s">
        <v>103</v>
      </c>
      <c r="V164" s="205" t="s">
        <v>77</v>
      </c>
      <c r="W164" s="205" t="s">
        <v>77</v>
      </c>
      <c r="X164" s="205" t="s">
        <v>77</v>
      </c>
      <c r="Y164" s="205" t="s">
        <v>77</v>
      </c>
      <c r="Z164" s="205" t="s">
        <v>77</v>
      </c>
      <c r="AA164" s="205" t="s">
        <v>103</v>
      </c>
      <c r="AB164" s="205" t="s">
        <v>103</v>
      </c>
      <c r="AC164" s="205" t="s">
        <v>77</v>
      </c>
      <c r="AD164" s="205" t="s">
        <v>77</v>
      </c>
      <c r="AE164" s="205" t="s">
        <v>77</v>
      </c>
      <c r="AF164" s="205" t="s">
        <v>104</v>
      </c>
      <c r="AG164" s="205"/>
      <c r="AH164" s="4">
        <f t="shared" ref="AH164:AH169" si="46">COUNTIF(C164:AG164,"L")</f>
        <v>16</v>
      </c>
      <c r="AI164" s="4">
        <f t="shared" ref="AI164:AI169" si="47">COUNTIF(C164:AG164,"A")</f>
        <v>0</v>
      </c>
    </row>
    <row r="165" spans="2:35" ht="20.100000000000001" customHeight="1" x14ac:dyDescent="0.4">
      <c r="B165" s="4" t="s">
        <v>172</v>
      </c>
      <c r="C165" s="205" t="s">
        <v>105</v>
      </c>
      <c r="D165" s="205" t="s">
        <v>105</v>
      </c>
      <c r="E165" s="205" t="s">
        <v>105</v>
      </c>
      <c r="F165" s="205" t="s">
        <v>103</v>
      </c>
      <c r="G165" s="205" t="s">
        <v>103</v>
      </c>
      <c r="H165" s="205" t="s">
        <v>105</v>
      </c>
      <c r="I165" s="205" t="s">
        <v>105</v>
      </c>
      <c r="J165" s="205" t="s">
        <v>105</v>
      </c>
      <c r="K165" s="205" t="s">
        <v>105</v>
      </c>
      <c r="L165" s="205" t="s">
        <v>105</v>
      </c>
      <c r="M165" s="205" t="s">
        <v>103</v>
      </c>
      <c r="N165" s="205" t="s">
        <v>103</v>
      </c>
      <c r="O165" s="205" t="s">
        <v>104</v>
      </c>
      <c r="P165" s="205" t="s">
        <v>104</v>
      </c>
      <c r="Q165" s="205" t="s">
        <v>104</v>
      </c>
      <c r="R165" s="205" t="s">
        <v>104</v>
      </c>
      <c r="S165" s="205" t="s">
        <v>104</v>
      </c>
      <c r="T165" s="205" t="s">
        <v>103</v>
      </c>
      <c r="U165" s="205" t="s">
        <v>103</v>
      </c>
      <c r="V165" s="205" t="s">
        <v>105</v>
      </c>
      <c r="W165" s="205" t="s">
        <v>105</v>
      </c>
      <c r="X165" s="205" t="s">
        <v>105</v>
      </c>
      <c r="Y165" s="205" t="s">
        <v>105</v>
      </c>
      <c r="Z165" s="205" t="s">
        <v>105</v>
      </c>
      <c r="AA165" s="205" t="s">
        <v>103</v>
      </c>
      <c r="AB165" s="205" t="s">
        <v>103</v>
      </c>
      <c r="AC165" s="205" t="s">
        <v>105</v>
      </c>
      <c r="AD165" s="205" t="s">
        <v>105</v>
      </c>
      <c r="AE165" s="205" t="s">
        <v>105</v>
      </c>
      <c r="AF165" s="205" t="s">
        <v>104</v>
      </c>
      <c r="AG165" s="205"/>
      <c r="AH165" s="4">
        <f t="shared" si="46"/>
        <v>0</v>
      </c>
      <c r="AI165" s="4">
        <f t="shared" si="47"/>
        <v>16</v>
      </c>
    </row>
    <row r="166" spans="2:35" ht="20.100000000000001" customHeight="1" x14ac:dyDescent="0.4">
      <c r="B166" s="4" t="s">
        <v>369</v>
      </c>
      <c r="C166" s="205" t="s">
        <v>105</v>
      </c>
      <c r="D166" s="205" t="s">
        <v>105</v>
      </c>
      <c r="E166" s="205" t="s">
        <v>105</v>
      </c>
      <c r="F166" s="205" t="s">
        <v>103</v>
      </c>
      <c r="G166" s="205" t="s">
        <v>103</v>
      </c>
      <c r="H166" s="205" t="s">
        <v>105</v>
      </c>
      <c r="I166" s="205" t="s">
        <v>105</v>
      </c>
      <c r="J166" s="205" t="s">
        <v>105</v>
      </c>
      <c r="K166" s="205" t="s">
        <v>105</v>
      </c>
      <c r="L166" s="205" t="s">
        <v>105</v>
      </c>
      <c r="M166" s="205" t="s">
        <v>103</v>
      </c>
      <c r="N166" s="205" t="s">
        <v>103</v>
      </c>
      <c r="O166" s="205" t="s">
        <v>104</v>
      </c>
      <c r="P166" s="205" t="s">
        <v>104</v>
      </c>
      <c r="Q166" s="205" t="s">
        <v>104</v>
      </c>
      <c r="R166" s="205" t="s">
        <v>104</v>
      </c>
      <c r="S166" s="205" t="s">
        <v>104</v>
      </c>
      <c r="T166" s="205" t="s">
        <v>103</v>
      </c>
      <c r="U166" s="205" t="s">
        <v>103</v>
      </c>
      <c r="V166" s="205" t="s">
        <v>105</v>
      </c>
      <c r="W166" s="205" t="s">
        <v>105</v>
      </c>
      <c r="X166" s="205" t="s">
        <v>105</v>
      </c>
      <c r="Y166" s="205" t="s">
        <v>105</v>
      </c>
      <c r="Z166" s="205" t="s">
        <v>105</v>
      </c>
      <c r="AA166" s="205" t="s">
        <v>103</v>
      </c>
      <c r="AB166" s="205" t="s">
        <v>103</v>
      </c>
      <c r="AC166" s="205" t="s">
        <v>105</v>
      </c>
      <c r="AD166" s="205" t="s">
        <v>105</v>
      </c>
      <c r="AE166" s="205" t="s">
        <v>105</v>
      </c>
      <c r="AF166" s="205" t="s">
        <v>104</v>
      </c>
      <c r="AG166" s="205"/>
      <c r="AH166" s="4">
        <f t="shared" si="46"/>
        <v>0</v>
      </c>
      <c r="AI166" s="4">
        <f t="shared" si="47"/>
        <v>16</v>
      </c>
    </row>
    <row r="167" spans="2:35" ht="20.100000000000001" customHeight="1" x14ac:dyDescent="0.4">
      <c r="B167" s="4" t="s">
        <v>370</v>
      </c>
      <c r="C167" s="205" t="s">
        <v>105</v>
      </c>
      <c r="D167" s="205" t="s">
        <v>105</v>
      </c>
      <c r="E167" s="205" t="s">
        <v>105</v>
      </c>
      <c r="F167" s="205" t="s">
        <v>103</v>
      </c>
      <c r="G167" s="205" t="s">
        <v>103</v>
      </c>
      <c r="H167" s="205" t="s">
        <v>105</v>
      </c>
      <c r="I167" s="205" t="s">
        <v>105</v>
      </c>
      <c r="J167" s="205" t="s">
        <v>105</v>
      </c>
      <c r="K167" s="205" t="s">
        <v>105</v>
      </c>
      <c r="L167" s="205" t="s">
        <v>105</v>
      </c>
      <c r="M167" s="205" t="s">
        <v>103</v>
      </c>
      <c r="N167" s="205" t="s">
        <v>103</v>
      </c>
      <c r="O167" s="205" t="s">
        <v>104</v>
      </c>
      <c r="P167" s="205" t="s">
        <v>104</v>
      </c>
      <c r="Q167" s="205" t="s">
        <v>104</v>
      </c>
      <c r="R167" s="205" t="s">
        <v>104</v>
      </c>
      <c r="S167" s="205" t="s">
        <v>104</v>
      </c>
      <c r="T167" s="205" t="s">
        <v>103</v>
      </c>
      <c r="U167" s="205" t="s">
        <v>103</v>
      </c>
      <c r="V167" s="205" t="s">
        <v>105</v>
      </c>
      <c r="W167" s="205" t="s">
        <v>105</v>
      </c>
      <c r="X167" s="205" t="s">
        <v>105</v>
      </c>
      <c r="Y167" s="205" t="s">
        <v>105</v>
      </c>
      <c r="Z167" s="205" t="s">
        <v>105</v>
      </c>
      <c r="AA167" s="205" t="s">
        <v>103</v>
      </c>
      <c r="AB167" s="205" t="s">
        <v>103</v>
      </c>
      <c r="AC167" s="205" t="s">
        <v>105</v>
      </c>
      <c r="AD167" s="205" t="s">
        <v>105</v>
      </c>
      <c r="AE167" s="205" t="s">
        <v>105</v>
      </c>
      <c r="AF167" s="205" t="s">
        <v>104</v>
      </c>
      <c r="AG167" s="205"/>
      <c r="AH167" s="4">
        <f t="shared" si="46"/>
        <v>0</v>
      </c>
      <c r="AI167" s="4">
        <f t="shared" si="47"/>
        <v>16</v>
      </c>
    </row>
    <row r="168" spans="2:35" ht="20.100000000000001" customHeight="1" x14ac:dyDescent="0.4">
      <c r="B168" s="4" t="s">
        <v>371</v>
      </c>
      <c r="C168" s="205" t="s">
        <v>105</v>
      </c>
      <c r="D168" s="205" t="s">
        <v>105</v>
      </c>
      <c r="E168" s="205" t="s">
        <v>105</v>
      </c>
      <c r="F168" s="205" t="s">
        <v>103</v>
      </c>
      <c r="G168" s="205" t="s">
        <v>103</v>
      </c>
      <c r="H168" s="205" t="s">
        <v>105</v>
      </c>
      <c r="I168" s="205" t="s">
        <v>105</v>
      </c>
      <c r="J168" s="205" t="s">
        <v>105</v>
      </c>
      <c r="K168" s="205" t="s">
        <v>105</v>
      </c>
      <c r="L168" s="205" t="s">
        <v>105</v>
      </c>
      <c r="M168" s="205" t="s">
        <v>103</v>
      </c>
      <c r="N168" s="205" t="s">
        <v>103</v>
      </c>
      <c r="O168" s="205" t="s">
        <v>104</v>
      </c>
      <c r="P168" s="205" t="s">
        <v>104</v>
      </c>
      <c r="Q168" s="205" t="s">
        <v>104</v>
      </c>
      <c r="R168" s="205" t="s">
        <v>104</v>
      </c>
      <c r="S168" s="205" t="s">
        <v>104</v>
      </c>
      <c r="T168" s="205" t="s">
        <v>103</v>
      </c>
      <c r="U168" s="205" t="s">
        <v>103</v>
      </c>
      <c r="V168" s="205" t="s">
        <v>105</v>
      </c>
      <c r="W168" s="205" t="s">
        <v>105</v>
      </c>
      <c r="X168" s="205" t="s">
        <v>105</v>
      </c>
      <c r="Y168" s="205" t="s">
        <v>105</v>
      </c>
      <c r="Z168" s="205" t="s">
        <v>105</v>
      </c>
      <c r="AA168" s="205" t="s">
        <v>103</v>
      </c>
      <c r="AB168" s="205" t="s">
        <v>103</v>
      </c>
      <c r="AC168" s="205" t="s">
        <v>105</v>
      </c>
      <c r="AD168" s="205" t="s">
        <v>105</v>
      </c>
      <c r="AE168" s="205" t="s">
        <v>105</v>
      </c>
      <c r="AF168" s="205" t="s">
        <v>104</v>
      </c>
      <c r="AG168" s="205"/>
      <c r="AH168" s="4">
        <f t="shared" si="46"/>
        <v>0</v>
      </c>
      <c r="AI168" s="4">
        <f t="shared" si="47"/>
        <v>16</v>
      </c>
    </row>
    <row r="169" spans="2:35" ht="20.100000000000001" customHeight="1" x14ac:dyDescent="0.4">
      <c r="B169" s="4" t="s">
        <v>372</v>
      </c>
      <c r="C169" s="205" t="s">
        <v>105</v>
      </c>
      <c r="D169" s="205" t="s">
        <v>105</v>
      </c>
      <c r="E169" s="205" t="s">
        <v>105</v>
      </c>
      <c r="F169" s="205" t="s">
        <v>103</v>
      </c>
      <c r="G169" s="205" t="s">
        <v>103</v>
      </c>
      <c r="H169" s="205" t="s">
        <v>105</v>
      </c>
      <c r="I169" s="205" t="s">
        <v>105</v>
      </c>
      <c r="J169" s="205" t="s">
        <v>105</v>
      </c>
      <c r="K169" s="205" t="s">
        <v>105</v>
      </c>
      <c r="L169" s="205" t="s">
        <v>105</v>
      </c>
      <c r="M169" s="205" t="s">
        <v>103</v>
      </c>
      <c r="N169" s="205" t="s">
        <v>103</v>
      </c>
      <c r="O169" s="205" t="s">
        <v>104</v>
      </c>
      <c r="P169" s="205" t="s">
        <v>104</v>
      </c>
      <c r="Q169" s="205" t="s">
        <v>104</v>
      </c>
      <c r="R169" s="205" t="s">
        <v>104</v>
      </c>
      <c r="S169" s="205" t="s">
        <v>104</v>
      </c>
      <c r="T169" s="205" t="s">
        <v>103</v>
      </c>
      <c r="U169" s="205" t="s">
        <v>103</v>
      </c>
      <c r="V169" s="205" t="s">
        <v>105</v>
      </c>
      <c r="W169" s="205" t="s">
        <v>105</v>
      </c>
      <c r="X169" s="205" t="s">
        <v>105</v>
      </c>
      <c r="Y169" s="205" t="s">
        <v>105</v>
      </c>
      <c r="Z169" s="205" t="s">
        <v>105</v>
      </c>
      <c r="AA169" s="205" t="s">
        <v>103</v>
      </c>
      <c r="AB169" s="205" t="s">
        <v>103</v>
      </c>
      <c r="AC169" s="205" t="s">
        <v>105</v>
      </c>
      <c r="AD169" s="205" t="s">
        <v>105</v>
      </c>
      <c r="AE169" s="205" t="s">
        <v>105</v>
      </c>
      <c r="AF169" s="205" t="s">
        <v>104</v>
      </c>
      <c r="AG169" s="205"/>
      <c r="AH169" s="4">
        <f t="shared" si="46"/>
        <v>0</v>
      </c>
      <c r="AI169" s="4">
        <f t="shared" si="47"/>
        <v>16</v>
      </c>
    </row>
    <row r="171" spans="2:35" ht="20.100000000000001" customHeight="1" x14ac:dyDescent="0.4">
      <c r="B171" s="607">
        <f>DATE(YEAR(B161),MONTH(B161)+1,DAY(B161))</f>
        <v>46143</v>
      </c>
      <c r="C171" s="6">
        <v>1</v>
      </c>
      <c r="D171" s="6">
        <v>2</v>
      </c>
      <c r="E171" s="6">
        <v>3</v>
      </c>
      <c r="F171" s="6">
        <v>4</v>
      </c>
      <c r="G171" s="6">
        <v>5</v>
      </c>
      <c r="H171" s="6">
        <v>6</v>
      </c>
      <c r="I171" s="6">
        <v>7</v>
      </c>
      <c r="J171" s="6">
        <v>8</v>
      </c>
      <c r="K171" s="6">
        <v>9</v>
      </c>
      <c r="L171" s="6">
        <v>10</v>
      </c>
      <c r="M171" s="6">
        <v>11</v>
      </c>
      <c r="N171" s="6">
        <v>12</v>
      </c>
      <c r="O171" s="6">
        <v>13</v>
      </c>
      <c r="P171" s="6">
        <v>14</v>
      </c>
      <c r="Q171" s="6">
        <v>15</v>
      </c>
      <c r="R171" s="6">
        <v>16</v>
      </c>
      <c r="S171" s="6">
        <v>17</v>
      </c>
      <c r="T171" s="6">
        <v>18</v>
      </c>
      <c r="U171" s="6">
        <v>19</v>
      </c>
      <c r="V171" s="6">
        <v>20</v>
      </c>
      <c r="W171" s="6">
        <v>21</v>
      </c>
      <c r="X171" s="6">
        <v>22</v>
      </c>
      <c r="Y171" s="6">
        <v>23</v>
      </c>
      <c r="Z171" s="6">
        <v>24</v>
      </c>
      <c r="AA171" s="6">
        <v>25</v>
      </c>
      <c r="AB171" s="6">
        <v>26</v>
      </c>
      <c r="AC171" s="6">
        <v>27</v>
      </c>
      <c r="AD171" s="6">
        <v>28</v>
      </c>
      <c r="AE171" s="6">
        <v>29</v>
      </c>
      <c r="AF171" s="6">
        <v>30</v>
      </c>
      <c r="AG171" s="6">
        <v>31</v>
      </c>
      <c r="AH171" s="473" t="s">
        <v>106</v>
      </c>
      <c r="AI171" s="478" t="s">
        <v>107</v>
      </c>
    </row>
    <row r="172" spans="2:35" ht="20.100000000000001" customHeight="1" x14ac:dyDescent="0.4">
      <c r="B172" s="608"/>
      <c r="C172" s="6" t="s">
        <v>110</v>
      </c>
      <c r="D172" s="6" t="s">
        <v>111</v>
      </c>
      <c r="E172" s="6" t="s">
        <v>112</v>
      </c>
      <c r="F172" s="6" t="s">
        <v>70</v>
      </c>
      <c r="G172" s="6" t="s">
        <v>72</v>
      </c>
      <c r="H172" s="6" t="s">
        <v>108</v>
      </c>
      <c r="I172" s="6" t="s">
        <v>109</v>
      </c>
      <c r="J172" s="6" t="s">
        <v>110</v>
      </c>
      <c r="K172" s="6" t="s">
        <v>111</v>
      </c>
      <c r="L172" s="6" t="s">
        <v>112</v>
      </c>
      <c r="M172" s="6" t="s">
        <v>70</v>
      </c>
      <c r="N172" s="6" t="s">
        <v>72</v>
      </c>
      <c r="O172" s="6" t="s">
        <v>108</v>
      </c>
      <c r="P172" s="6" t="s">
        <v>109</v>
      </c>
      <c r="Q172" s="6" t="s">
        <v>110</v>
      </c>
      <c r="R172" s="6" t="s">
        <v>111</v>
      </c>
      <c r="S172" s="6" t="s">
        <v>112</v>
      </c>
      <c r="T172" s="6" t="s">
        <v>70</v>
      </c>
      <c r="U172" s="6" t="s">
        <v>72</v>
      </c>
      <c r="V172" s="6" t="s">
        <v>108</v>
      </c>
      <c r="W172" s="6" t="s">
        <v>109</v>
      </c>
      <c r="X172" s="6" t="s">
        <v>110</v>
      </c>
      <c r="Y172" s="6" t="s">
        <v>111</v>
      </c>
      <c r="Z172" s="6" t="s">
        <v>112</v>
      </c>
      <c r="AA172" s="6" t="s">
        <v>70</v>
      </c>
      <c r="AB172" s="6" t="s">
        <v>72</v>
      </c>
      <c r="AC172" s="6" t="s">
        <v>108</v>
      </c>
      <c r="AD172" s="6" t="s">
        <v>109</v>
      </c>
      <c r="AE172" s="6" t="s">
        <v>110</v>
      </c>
      <c r="AF172" s="6" t="s">
        <v>111</v>
      </c>
      <c r="AG172" s="6" t="s">
        <v>112</v>
      </c>
      <c r="AH172" s="475"/>
      <c r="AI172" s="480"/>
    </row>
    <row r="173" spans="2:35" ht="20.100000000000001" customHeight="1" x14ac:dyDescent="0.4">
      <c r="B173" s="4" t="s">
        <v>163</v>
      </c>
      <c r="C173" s="205" t="s">
        <v>104</v>
      </c>
      <c r="D173" s="205" t="s">
        <v>103</v>
      </c>
      <c r="E173" s="205" t="s">
        <v>103</v>
      </c>
      <c r="F173" s="205" t="s">
        <v>105</v>
      </c>
      <c r="G173" s="205" t="s">
        <v>105</v>
      </c>
      <c r="H173" s="205" t="s">
        <v>105</v>
      </c>
      <c r="I173" s="205" t="s">
        <v>105</v>
      </c>
      <c r="J173" s="205" t="s">
        <v>105</v>
      </c>
      <c r="K173" s="205" t="s">
        <v>103</v>
      </c>
      <c r="L173" s="205" t="s">
        <v>103</v>
      </c>
      <c r="M173" s="205" t="s">
        <v>105</v>
      </c>
      <c r="N173" s="205" t="s">
        <v>105</v>
      </c>
      <c r="O173" s="205" t="s">
        <v>105</v>
      </c>
      <c r="P173" s="205" t="s">
        <v>105</v>
      </c>
      <c r="Q173" s="205" t="s">
        <v>105</v>
      </c>
      <c r="R173" s="205" t="s">
        <v>103</v>
      </c>
      <c r="S173" s="205" t="s">
        <v>103</v>
      </c>
      <c r="T173" s="205" t="s">
        <v>105</v>
      </c>
      <c r="U173" s="205" t="s">
        <v>105</v>
      </c>
      <c r="V173" s="205" t="s">
        <v>105</v>
      </c>
      <c r="W173" s="205" t="s">
        <v>105</v>
      </c>
      <c r="X173" s="205" t="s">
        <v>105</v>
      </c>
      <c r="Y173" s="205" t="s">
        <v>103</v>
      </c>
      <c r="Z173" s="205" t="s">
        <v>103</v>
      </c>
      <c r="AA173" s="205" t="s">
        <v>105</v>
      </c>
      <c r="AB173" s="205" t="s">
        <v>105</v>
      </c>
      <c r="AC173" s="205" t="s">
        <v>105</v>
      </c>
      <c r="AD173" s="205" t="s">
        <v>105</v>
      </c>
      <c r="AE173" s="205" t="s">
        <v>105</v>
      </c>
      <c r="AF173" s="205" t="s">
        <v>103</v>
      </c>
      <c r="AG173" s="205" t="s">
        <v>103</v>
      </c>
      <c r="AH173" s="4">
        <f>COUNTIF(C173:AG173,"L")</f>
        <v>0</v>
      </c>
      <c r="AI173" s="4">
        <f>COUNTIF(C173:AG173,"A")</f>
        <v>20</v>
      </c>
    </row>
    <row r="174" spans="2:35" ht="20.100000000000001" customHeight="1" x14ac:dyDescent="0.4">
      <c r="B174" s="4" t="s">
        <v>368</v>
      </c>
      <c r="C174" s="205" t="s">
        <v>104</v>
      </c>
      <c r="D174" s="205" t="s">
        <v>103</v>
      </c>
      <c r="E174" s="205" t="s">
        <v>103</v>
      </c>
      <c r="F174" s="205" t="s">
        <v>77</v>
      </c>
      <c r="G174" s="205" t="s">
        <v>77</v>
      </c>
      <c r="H174" s="205" t="s">
        <v>77</v>
      </c>
      <c r="I174" s="205" t="s">
        <v>77</v>
      </c>
      <c r="J174" s="205" t="s">
        <v>77</v>
      </c>
      <c r="K174" s="205" t="s">
        <v>103</v>
      </c>
      <c r="L174" s="205" t="s">
        <v>103</v>
      </c>
      <c r="M174" s="205" t="s">
        <v>77</v>
      </c>
      <c r="N174" s="205" t="s">
        <v>77</v>
      </c>
      <c r="O174" s="205" t="s">
        <v>77</v>
      </c>
      <c r="P174" s="205" t="s">
        <v>77</v>
      </c>
      <c r="Q174" s="205" t="s">
        <v>77</v>
      </c>
      <c r="R174" s="205" t="s">
        <v>103</v>
      </c>
      <c r="S174" s="205" t="s">
        <v>103</v>
      </c>
      <c r="T174" s="205" t="s">
        <v>77</v>
      </c>
      <c r="U174" s="205" t="s">
        <v>77</v>
      </c>
      <c r="V174" s="205" t="s">
        <v>77</v>
      </c>
      <c r="W174" s="205" t="s">
        <v>77</v>
      </c>
      <c r="X174" s="205" t="s">
        <v>77</v>
      </c>
      <c r="Y174" s="205" t="s">
        <v>103</v>
      </c>
      <c r="Z174" s="205" t="s">
        <v>103</v>
      </c>
      <c r="AA174" s="205" t="s">
        <v>77</v>
      </c>
      <c r="AB174" s="205" t="s">
        <v>77</v>
      </c>
      <c r="AC174" s="205" t="s">
        <v>77</v>
      </c>
      <c r="AD174" s="205" t="s">
        <v>77</v>
      </c>
      <c r="AE174" s="205" t="s">
        <v>77</v>
      </c>
      <c r="AF174" s="205" t="s">
        <v>103</v>
      </c>
      <c r="AG174" s="205" t="s">
        <v>103</v>
      </c>
      <c r="AH174" s="4">
        <f t="shared" ref="AH174:AH179" si="48">COUNTIF(C174:AG174,"L")</f>
        <v>20</v>
      </c>
      <c r="AI174" s="4">
        <f t="shared" ref="AI174:AI179" si="49">COUNTIF(C174:AG174,"A")</f>
        <v>0</v>
      </c>
    </row>
    <row r="175" spans="2:35" ht="20.100000000000001" customHeight="1" x14ac:dyDescent="0.4">
      <c r="B175" s="4" t="s">
        <v>172</v>
      </c>
      <c r="C175" s="205" t="s">
        <v>104</v>
      </c>
      <c r="D175" s="205" t="s">
        <v>103</v>
      </c>
      <c r="E175" s="205" t="s">
        <v>103</v>
      </c>
      <c r="F175" s="205" t="s">
        <v>105</v>
      </c>
      <c r="G175" s="205" t="s">
        <v>105</v>
      </c>
      <c r="H175" s="205" t="s">
        <v>105</v>
      </c>
      <c r="I175" s="205" t="s">
        <v>105</v>
      </c>
      <c r="J175" s="205" t="s">
        <v>105</v>
      </c>
      <c r="K175" s="205" t="s">
        <v>103</v>
      </c>
      <c r="L175" s="205" t="s">
        <v>103</v>
      </c>
      <c r="M175" s="205" t="s">
        <v>105</v>
      </c>
      <c r="N175" s="205" t="s">
        <v>105</v>
      </c>
      <c r="O175" s="205" t="s">
        <v>105</v>
      </c>
      <c r="P175" s="205" t="s">
        <v>105</v>
      </c>
      <c r="Q175" s="205" t="s">
        <v>105</v>
      </c>
      <c r="R175" s="205" t="s">
        <v>103</v>
      </c>
      <c r="S175" s="205" t="s">
        <v>103</v>
      </c>
      <c r="T175" s="205" t="s">
        <v>105</v>
      </c>
      <c r="U175" s="205" t="s">
        <v>105</v>
      </c>
      <c r="V175" s="205" t="s">
        <v>105</v>
      </c>
      <c r="W175" s="205" t="s">
        <v>105</v>
      </c>
      <c r="X175" s="205" t="s">
        <v>105</v>
      </c>
      <c r="Y175" s="205" t="s">
        <v>103</v>
      </c>
      <c r="Z175" s="205" t="s">
        <v>103</v>
      </c>
      <c r="AA175" s="205" t="s">
        <v>105</v>
      </c>
      <c r="AB175" s="205" t="s">
        <v>105</v>
      </c>
      <c r="AC175" s="205" t="s">
        <v>105</v>
      </c>
      <c r="AD175" s="205" t="s">
        <v>105</v>
      </c>
      <c r="AE175" s="205" t="s">
        <v>105</v>
      </c>
      <c r="AF175" s="205" t="s">
        <v>103</v>
      </c>
      <c r="AG175" s="205" t="s">
        <v>103</v>
      </c>
      <c r="AH175" s="4">
        <f t="shared" si="48"/>
        <v>0</v>
      </c>
      <c r="AI175" s="4">
        <f t="shared" si="49"/>
        <v>20</v>
      </c>
    </row>
    <row r="176" spans="2:35" ht="20.100000000000001" customHeight="1" x14ac:dyDescent="0.4">
      <c r="B176" s="4" t="s">
        <v>369</v>
      </c>
      <c r="C176" s="205" t="s">
        <v>104</v>
      </c>
      <c r="D176" s="205" t="s">
        <v>103</v>
      </c>
      <c r="E176" s="205" t="s">
        <v>103</v>
      </c>
      <c r="F176" s="205" t="s">
        <v>105</v>
      </c>
      <c r="G176" s="205" t="s">
        <v>105</v>
      </c>
      <c r="H176" s="205" t="s">
        <v>105</v>
      </c>
      <c r="I176" s="205" t="s">
        <v>105</v>
      </c>
      <c r="J176" s="205" t="s">
        <v>105</v>
      </c>
      <c r="K176" s="205" t="s">
        <v>103</v>
      </c>
      <c r="L176" s="205" t="s">
        <v>103</v>
      </c>
      <c r="M176" s="205" t="s">
        <v>105</v>
      </c>
      <c r="N176" s="205" t="s">
        <v>105</v>
      </c>
      <c r="O176" s="205" t="s">
        <v>105</v>
      </c>
      <c r="P176" s="205" t="s">
        <v>105</v>
      </c>
      <c r="Q176" s="205" t="s">
        <v>105</v>
      </c>
      <c r="R176" s="205" t="s">
        <v>103</v>
      </c>
      <c r="S176" s="205" t="s">
        <v>103</v>
      </c>
      <c r="T176" s="205" t="s">
        <v>105</v>
      </c>
      <c r="U176" s="205" t="s">
        <v>105</v>
      </c>
      <c r="V176" s="205" t="s">
        <v>105</v>
      </c>
      <c r="W176" s="205" t="s">
        <v>105</v>
      </c>
      <c r="X176" s="205" t="s">
        <v>105</v>
      </c>
      <c r="Y176" s="205" t="s">
        <v>103</v>
      </c>
      <c r="Z176" s="205" t="s">
        <v>103</v>
      </c>
      <c r="AA176" s="205" t="s">
        <v>105</v>
      </c>
      <c r="AB176" s="205" t="s">
        <v>105</v>
      </c>
      <c r="AC176" s="205" t="s">
        <v>105</v>
      </c>
      <c r="AD176" s="205" t="s">
        <v>105</v>
      </c>
      <c r="AE176" s="205" t="s">
        <v>105</v>
      </c>
      <c r="AF176" s="205" t="s">
        <v>103</v>
      </c>
      <c r="AG176" s="205" t="s">
        <v>103</v>
      </c>
      <c r="AH176" s="4">
        <f t="shared" si="48"/>
        <v>0</v>
      </c>
      <c r="AI176" s="4">
        <f t="shared" si="49"/>
        <v>20</v>
      </c>
    </row>
    <row r="177" spans="2:35" ht="20.100000000000001" customHeight="1" x14ac:dyDescent="0.4">
      <c r="B177" s="4" t="s">
        <v>370</v>
      </c>
      <c r="C177" s="205" t="s">
        <v>104</v>
      </c>
      <c r="D177" s="205" t="s">
        <v>103</v>
      </c>
      <c r="E177" s="205" t="s">
        <v>103</v>
      </c>
      <c r="F177" s="205" t="s">
        <v>105</v>
      </c>
      <c r="G177" s="205" t="s">
        <v>105</v>
      </c>
      <c r="H177" s="205" t="s">
        <v>105</v>
      </c>
      <c r="I177" s="205" t="s">
        <v>105</v>
      </c>
      <c r="J177" s="205" t="s">
        <v>105</v>
      </c>
      <c r="K177" s="205" t="s">
        <v>103</v>
      </c>
      <c r="L177" s="205" t="s">
        <v>103</v>
      </c>
      <c r="M177" s="205" t="s">
        <v>105</v>
      </c>
      <c r="N177" s="205" t="s">
        <v>105</v>
      </c>
      <c r="O177" s="205" t="s">
        <v>105</v>
      </c>
      <c r="P177" s="205" t="s">
        <v>105</v>
      </c>
      <c r="Q177" s="205" t="s">
        <v>105</v>
      </c>
      <c r="R177" s="205" t="s">
        <v>103</v>
      </c>
      <c r="S177" s="205" t="s">
        <v>103</v>
      </c>
      <c r="T177" s="205" t="s">
        <v>105</v>
      </c>
      <c r="U177" s="205" t="s">
        <v>105</v>
      </c>
      <c r="V177" s="205" t="s">
        <v>105</v>
      </c>
      <c r="W177" s="205" t="s">
        <v>105</v>
      </c>
      <c r="X177" s="205" t="s">
        <v>105</v>
      </c>
      <c r="Y177" s="205" t="s">
        <v>103</v>
      </c>
      <c r="Z177" s="205" t="s">
        <v>103</v>
      </c>
      <c r="AA177" s="205" t="s">
        <v>105</v>
      </c>
      <c r="AB177" s="205" t="s">
        <v>105</v>
      </c>
      <c r="AC177" s="205" t="s">
        <v>105</v>
      </c>
      <c r="AD177" s="205" t="s">
        <v>105</v>
      </c>
      <c r="AE177" s="205" t="s">
        <v>105</v>
      </c>
      <c r="AF177" s="205" t="s">
        <v>103</v>
      </c>
      <c r="AG177" s="205" t="s">
        <v>103</v>
      </c>
      <c r="AH177" s="4">
        <f t="shared" si="48"/>
        <v>0</v>
      </c>
      <c r="AI177" s="4">
        <f t="shared" si="49"/>
        <v>20</v>
      </c>
    </row>
    <row r="178" spans="2:35" ht="20.100000000000001" customHeight="1" x14ac:dyDescent="0.4">
      <c r="B178" s="4" t="s">
        <v>371</v>
      </c>
      <c r="C178" s="205" t="s">
        <v>104</v>
      </c>
      <c r="D178" s="205" t="s">
        <v>103</v>
      </c>
      <c r="E178" s="205" t="s">
        <v>103</v>
      </c>
      <c r="F178" s="205" t="s">
        <v>105</v>
      </c>
      <c r="G178" s="205" t="s">
        <v>105</v>
      </c>
      <c r="H178" s="205" t="s">
        <v>105</v>
      </c>
      <c r="I178" s="205" t="s">
        <v>105</v>
      </c>
      <c r="J178" s="205" t="s">
        <v>105</v>
      </c>
      <c r="K178" s="205" t="s">
        <v>103</v>
      </c>
      <c r="L178" s="205" t="s">
        <v>103</v>
      </c>
      <c r="M178" s="205" t="s">
        <v>105</v>
      </c>
      <c r="N178" s="205" t="s">
        <v>105</v>
      </c>
      <c r="O178" s="205" t="s">
        <v>105</v>
      </c>
      <c r="P178" s="205" t="s">
        <v>105</v>
      </c>
      <c r="Q178" s="205" t="s">
        <v>105</v>
      </c>
      <c r="R178" s="205" t="s">
        <v>103</v>
      </c>
      <c r="S178" s="205" t="s">
        <v>103</v>
      </c>
      <c r="T178" s="205" t="s">
        <v>105</v>
      </c>
      <c r="U178" s="205" t="s">
        <v>105</v>
      </c>
      <c r="V178" s="205" t="s">
        <v>105</v>
      </c>
      <c r="W178" s="205" t="s">
        <v>105</v>
      </c>
      <c r="X178" s="205" t="s">
        <v>105</v>
      </c>
      <c r="Y178" s="205" t="s">
        <v>103</v>
      </c>
      <c r="Z178" s="205" t="s">
        <v>103</v>
      </c>
      <c r="AA178" s="205" t="s">
        <v>105</v>
      </c>
      <c r="AB178" s="205" t="s">
        <v>105</v>
      </c>
      <c r="AC178" s="205" t="s">
        <v>105</v>
      </c>
      <c r="AD178" s="205" t="s">
        <v>105</v>
      </c>
      <c r="AE178" s="205" t="s">
        <v>105</v>
      </c>
      <c r="AF178" s="205" t="s">
        <v>103</v>
      </c>
      <c r="AG178" s="205" t="s">
        <v>103</v>
      </c>
      <c r="AH178" s="4">
        <f t="shared" si="48"/>
        <v>0</v>
      </c>
      <c r="AI178" s="4">
        <f t="shared" si="49"/>
        <v>20</v>
      </c>
    </row>
    <row r="179" spans="2:35" ht="20.100000000000001" customHeight="1" x14ac:dyDescent="0.4">
      <c r="B179" s="4" t="s">
        <v>372</v>
      </c>
      <c r="C179" s="205" t="s">
        <v>104</v>
      </c>
      <c r="D179" s="205" t="s">
        <v>103</v>
      </c>
      <c r="E179" s="205" t="s">
        <v>103</v>
      </c>
      <c r="F179" s="205" t="s">
        <v>105</v>
      </c>
      <c r="G179" s="205" t="s">
        <v>105</v>
      </c>
      <c r="H179" s="205" t="s">
        <v>105</v>
      </c>
      <c r="I179" s="205" t="s">
        <v>105</v>
      </c>
      <c r="J179" s="205" t="s">
        <v>105</v>
      </c>
      <c r="K179" s="205" t="s">
        <v>103</v>
      </c>
      <c r="L179" s="205" t="s">
        <v>103</v>
      </c>
      <c r="M179" s="205" t="s">
        <v>105</v>
      </c>
      <c r="N179" s="205" t="s">
        <v>105</v>
      </c>
      <c r="O179" s="205" t="s">
        <v>105</v>
      </c>
      <c r="P179" s="205" t="s">
        <v>105</v>
      </c>
      <c r="Q179" s="205" t="s">
        <v>105</v>
      </c>
      <c r="R179" s="205" t="s">
        <v>103</v>
      </c>
      <c r="S179" s="205" t="s">
        <v>103</v>
      </c>
      <c r="T179" s="205" t="s">
        <v>105</v>
      </c>
      <c r="U179" s="205" t="s">
        <v>105</v>
      </c>
      <c r="V179" s="205" t="s">
        <v>105</v>
      </c>
      <c r="W179" s="205" t="s">
        <v>105</v>
      </c>
      <c r="X179" s="205" t="s">
        <v>105</v>
      </c>
      <c r="Y179" s="205" t="s">
        <v>103</v>
      </c>
      <c r="Z179" s="205" t="s">
        <v>103</v>
      </c>
      <c r="AA179" s="205" t="s">
        <v>105</v>
      </c>
      <c r="AB179" s="205" t="s">
        <v>105</v>
      </c>
      <c r="AC179" s="205" t="s">
        <v>105</v>
      </c>
      <c r="AD179" s="205" t="s">
        <v>105</v>
      </c>
      <c r="AE179" s="205" t="s">
        <v>105</v>
      </c>
      <c r="AF179" s="205" t="s">
        <v>103</v>
      </c>
      <c r="AG179" s="205" t="s">
        <v>103</v>
      </c>
      <c r="AH179" s="4">
        <f t="shared" si="48"/>
        <v>0</v>
      </c>
      <c r="AI179" s="4">
        <f t="shared" si="49"/>
        <v>20</v>
      </c>
    </row>
    <row r="181" spans="2:35" ht="20.100000000000001" customHeight="1" x14ac:dyDescent="0.4">
      <c r="B181" s="607">
        <f>DATE(YEAR(B171),MONTH(B171)+1,DAY(B171))</f>
        <v>46174</v>
      </c>
      <c r="C181" s="6">
        <v>1</v>
      </c>
      <c r="D181" s="6">
        <v>2</v>
      </c>
      <c r="E181" s="6">
        <v>3</v>
      </c>
      <c r="F181" s="6">
        <v>4</v>
      </c>
      <c r="G181" s="6">
        <v>5</v>
      </c>
      <c r="H181" s="6">
        <v>6</v>
      </c>
      <c r="I181" s="6">
        <v>7</v>
      </c>
      <c r="J181" s="6">
        <v>8</v>
      </c>
      <c r="K181" s="6">
        <v>9</v>
      </c>
      <c r="L181" s="6">
        <v>10</v>
      </c>
      <c r="M181" s="6">
        <v>11</v>
      </c>
      <c r="N181" s="6">
        <v>12</v>
      </c>
      <c r="O181" s="6">
        <v>13</v>
      </c>
      <c r="P181" s="6">
        <v>14</v>
      </c>
      <c r="Q181" s="6">
        <v>15</v>
      </c>
      <c r="R181" s="6">
        <v>16</v>
      </c>
      <c r="S181" s="6">
        <v>17</v>
      </c>
      <c r="T181" s="6">
        <v>18</v>
      </c>
      <c r="U181" s="6">
        <v>19</v>
      </c>
      <c r="V181" s="6">
        <v>20</v>
      </c>
      <c r="W181" s="6">
        <v>21</v>
      </c>
      <c r="X181" s="6">
        <v>22</v>
      </c>
      <c r="Y181" s="6">
        <v>23</v>
      </c>
      <c r="Z181" s="6">
        <v>24</v>
      </c>
      <c r="AA181" s="6">
        <v>25</v>
      </c>
      <c r="AB181" s="6">
        <v>26</v>
      </c>
      <c r="AC181" s="6">
        <v>27</v>
      </c>
      <c r="AD181" s="6">
        <v>28</v>
      </c>
      <c r="AE181" s="6">
        <v>29</v>
      </c>
      <c r="AF181" s="6">
        <v>30</v>
      </c>
      <c r="AG181" s="6"/>
      <c r="AH181" s="473" t="s">
        <v>106</v>
      </c>
      <c r="AI181" s="478" t="s">
        <v>107</v>
      </c>
    </row>
    <row r="182" spans="2:35" ht="20.100000000000001" customHeight="1" x14ac:dyDescent="0.4">
      <c r="B182" s="608"/>
      <c r="C182" s="6" t="s">
        <v>70</v>
      </c>
      <c r="D182" s="6" t="s">
        <v>72</v>
      </c>
      <c r="E182" s="6" t="s">
        <v>108</v>
      </c>
      <c r="F182" s="6" t="s">
        <v>109</v>
      </c>
      <c r="G182" s="6" t="s">
        <v>110</v>
      </c>
      <c r="H182" s="6" t="s">
        <v>111</v>
      </c>
      <c r="I182" s="6" t="s">
        <v>112</v>
      </c>
      <c r="J182" s="6" t="s">
        <v>70</v>
      </c>
      <c r="K182" s="6" t="s">
        <v>72</v>
      </c>
      <c r="L182" s="6" t="s">
        <v>108</v>
      </c>
      <c r="M182" s="6" t="s">
        <v>109</v>
      </c>
      <c r="N182" s="6" t="s">
        <v>110</v>
      </c>
      <c r="O182" s="6" t="s">
        <v>111</v>
      </c>
      <c r="P182" s="6" t="s">
        <v>112</v>
      </c>
      <c r="Q182" s="6" t="s">
        <v>70</v>
      </c>
      <c r="R182" s="6" t="s">
        <v>72</v>
      </c>
      <c r="S182" s="6" t="s">
        <v>108</v>
      </c>
      <c r="T182" s="6" t="s">
        <v>109</v>
      </c>
      <c r="U182" s="6" t="s">
        <v>110</v>
      </c>
      <c r="V182" s="6" t="s">
        <v>111</v>
      </c>
      <c r="W182" s="6" t="s">
        <v>112</v>
      </c>
      <c r="X182" s="6" t="s">
        <v>70</v>
      </c>
      <c r="Y182" s="6" t="s">
        <v>72</v>
      </c>
      <c r="Z182" s="6" t="s">
        <v>108</v>
      </c>
      <c r="AA182" s="6" t="s">
        <v>109</v>
      </c>
      <c r="AB182" s="6" t="s">
        <v>110</v>
      </c>
      <c r="AC182" s="6" t="s">
        <v>111</v>
      </c>
      <c r="AD182" s="6" t="s">
        <v>112</v>
      </c>
      <c r="AE182" s="6" t="s">
        <v>70</v>
      </c>
      <c r="AF182" s="6" t="s">
        <v>72</v>
      </c>
      <c r="AG182" s="6"/>
      <c r="AH182" s="475"/>
      <c r="AI182" s="480"/>
    </row>
    <row r="183" spans="2:35" ht="20.100000000000001" customHeight="1" x14ac:dyDescent="0.4">
      <c r="B183" s="4" t="s">
        <v>163</v>
      </c>
      <c r="C183" s="205" t="s">
        <v>105</v>
      </c>
      <c r="D183" s="205" t="s">
        <v>105</v>
      </c>
      <c r="E183" s="205" t="s">
        <v>105</v>
      </c>
      <c r="F183" s="205" t="s">
        <v>105</v>
      </c>
      <c r="G183" s="205" t="s">
        <v>105</v>
      </c>
      <c r="H183" s="205" t="s">
        <v>103</v>
      </c>
      <c r="I183" s="205" t="s">
        <v>103</v>
      </c>
      <c r="J183" s="205" t="s">
        <v>105</v>
      </c>
      <c r="K183" s="205" t="s">
        <v>105</v>
      </c>
      <c r="L183" s="205" t="s">
        <v>105</v>
      </c>
      <c r="M183" s="205" t="s">
        <v>105</v>
      </c>
      <c r="N183" s="205" t="s">
        <v>105</v>
      </c>
      <c r="O183" s="205" t="s">
        <v>103</v>
      </c>
      <c r="P183" s="205" t="s">
        <v>103</v>
      </c>
      <c r="Q183" s="205" t="s">
        <v>105</v>
      </c>
      <c r="R183" s="205" t="s">
        <v>105</v>
      </c>
      <c r="S183" s="205" t="s">
        <v>105</v>
      </c>
      <c r="T183" s="205" t="s">
        <v>105</v>
      </c>
      <c r="U183" s="205" t="s">
        <v>105</v>
      </c>
      <c r="V183" s="205" t="s">
        <v>103</v>
      </c>
      <c r="W183" s="205" t="s">
        <v>103</v>
      </c>
      <c r="X183" s="205" t="s">
        <v>105</v>
      </c>
      <c r="Y183" s="205" t="s">
        <v>105</v>
      </c>
      <c r="Z183" s="205" t="s">
        <v>105</v>
      </c>
      <c r="AA183" s="205" t="s">
        <v>105</v>
      </c>
      <c r="AB183" s="205" t="s">
        <v>105</v>
      </c>
      <c r="AC183" s="205" t="s">
        <v>103</v>
      </c>
      <c r="AD183" s="205" t="s">
        <v>103</v>
      </c>
      <c r="AE183" s="205" t="s">
        <v>105</v>
      </c>
      <c r="AF183" s="205" t="s">
        <v>105</v>
      </c>
      <c r="AG183" s="205"/>
      <c r="AH183" s="4">
        <f>COUNTIF(C183:AG183,"L")</f>
        <v>0</v>
      </c>
      <c r="AI183" s="4">
        <f>COUNTIF(C183:AG183,"A")</f>
        <v>22</v>
      </c>
    </row>
    <row r="184" spans="2:35" ht="20.100000000000001" customHeight="1" x14ac:dyDescent="0.4">
      <c r="B184" s="4" t="s">
        <v>368</v>
      </c>
      <c r="C184" s="205" t="s">
        <v>77</v>
      </c>
      <c r="D184" s="205" t="s">
        <v>77</v>
      </c>
      <c r="E184" s="205" t="s">
        <v>77</v>
      </c>
      <c r="F184" s="205" t="s">
        <v>77</v>
      </c>
      <c r="G184" s="205" t="s">
        <v>77</v>
      </c>
      <c r="H184" s="205" t="s">
        <v>103</v>
      </c>
      <c r="I184" s="205" t="s">
        <v>103</v>
      </c>
      <c r="J184" s="205" t="s">
        <v>77</v>
      </c>
      <c r="K184" s="205" t="s">
        <v>77</v>
      </c>
      <c r="L184" s="205" t="s">
        <v>77</v>
      </c>
      <c r="M184" s="205" t="s">
        <v>77</v>
      </c>
      <c r="N184" s="205" t="s">
        <v>77</v>
      </c>
      <c r="O184" s="205" t="s">
        <v>103</v>
      </c>
      <c r="P184" s="205" t="s">
        <v>103</v>
      </c>
      <c r="Q184" s="205" t="s">
        <v>77</v>
      </c>
      <c r="R184" s="205" t="s">
        <v>105</v>
      </c>
      <c r="S184" s="205" t="s">
        <v>105</v>
      </c>
      <c r="T184" s="205" t="s">
        <v>105</v>
      </c>
      <c r="U184" s="205" t="s">
        <v>105</v>
      </c>
      <c r="V184" s="205" t="s">
        <v>103</v>
      </c>
      <c r="W184" s="205" t="s">
        <v>103</v>
      </c>
      <c r="X184" s="205" t="s">
        <v>105</v>
      </c>
      <c r="Y184" s="205" t="s">
        <v>105</v>
      </c>
      <c r="Z184" s="205" t="s">
        <v>105</v>
      </c>
      <c r="AA184" s="205" t="s">
        <v>105</v>
      </c>
      <c r="AB184" s="205" t="s">
        <v>105</v>
      </c>
      <c r="AC184" s="205" t="s">
        <v>103</v>
      </c>
      <c r="AD184" s="205" t="s">
        <v>103</v>
      </c>
      <c r="AE184" s="205" t="s">
        <v>105</v>
      </c>
      <c r="AF184" s="205" t="s">
        <v>105</v>
      </c>
      <c r="AG184" s="205"/>
      <c r="AH184" s="4">
        <f t="shared" ref="AH184:AH189" si="50">COUNTIF(C184:AG184,"L")</f>
        <v>11</v>
      </c>
      <c r="AI184" s="4">
        <f t="shared" ref="AI184:AI189" si="51">COUNTIF(C184:AG184,"A")</f>
        <v>11</v>
      </c>
    </row>
    <row r="185" spans="2:35" ht="20.100000000000001" customHeight="1" x14ac:dyDescent="0.4">
      <c r="B185" s="4" t="s">
        <v>172</v>
      </c>
      <c r="C185" s="205" t="s">
        <v>105</v>
      </c>
      <c r="D185" s="205" t="s">
        <v>105</v>
      </c>
      <c r="E185" s="205" t="s">
        <v>105</v>
      </c>
      <c r="F185" s="205" t="s">
        <v>105</v>
      </c>
      <c r="G185" s="205" t="s">
        <v>105</v>
      </c>
      <c r="H185" s="205" t="s">
        <v>103</v>
      </c>
      <c r="I185" s="205" t="s">
        <v>103</v>
      </c>
      <c r="J185" s="205" t="s">
        <v>105</v>
      </c>
      <c r="K185" s="205" t="s">
        <v>105</v>
      </c>
      <c r="L185" s="205" t="s">
        <v>105</v>
      </c>
      <c r="M185" s="205" t="s">
        <v>105</v>
      </c>
      <c r="N185" s="205" t="s">
        <v>105</v>
      </c>
      <c r="O185" s="205" t="s">
        <v>103</v>
      </c>
      <c r="P185" s="205" t="s">
        <v>103</v>
      </c>
      <c r="Q185" s="205" t="s">
        <v>105</v>
      </c>
      <c r="R185" s="205" t="s">
        <v>105</v>
      </c>
      <c r="S185" s="205" t="s">
        <v>105</v>
      </c>
      <c r="T185" s="205" t="s">
        <v>105</v>
      </c>
      <c r="U185" s="205" t="s">
        <v>105</v>
      </c>
      <c r="V185" s="205" t="s">
        <v>103</v>
      </c>
      <c r="W185" s="205" t="s">
        <v>103</v>
      </c>
      <c r="X185" s="205" t="s">
        <v>105</v>
      </c>
      <c r="Y185" s="205" t="s">
        <v>105</v>
      </c>
      <c r="Z185" s="205" t="s">
        <v>105</v>
      </c>
      <c r="AA185" s="205" t="s">
        <v>105</v>
      </c>
      <c r="AB185" s="205" t="s">
        <v>105</v>
      </c>
      <c r="AC185" s="205" t="s">
        <v>103</v>
      </c>
      <c r="AD185" s="205" t="s">
        <v>103</v>
      </c>
      <c r="AE185" s="205" t="s">
        <v>105</v>
      </c>
      <c r="AF185" s="205" t="s">
        <v>105</v>
      </c>
      <c r="AG185" s="205"/>
      <c r="AH185" s="4">
        <f t="shared" si="50"/>
        <v>0</v>
      </c>
      <c r="AI185" s="4">
        <f t="shared" si="51"/>
        <v>22</v>
      </c>
    </row>
    <row r="186" spans="2:35" ht="20.100000000000001" customHeight="1" x14ac:dyDescent="0.4">
      <c r="B186" s="4" t="s">
        <v>369</v>
      </c>
      <c r="C186" s="205" t="s">
        <v>105</v>
      </c>
      <c r="D186" s="205" t="s">
        <v>105</v>
      </c>
      <c r="E186" s="205" t="s">
        <v>105</v>
      </c>
      <c r="F186" s="205" t="s">
        <v>105</v>
      </c>
      <c r="G186" s="205" t="s">
        <v>105</v>
      </c>
      <c r="H186" s="205" t="s">
        <v>103</v>
      </c>
      <c r="I186" s="205" t="s">
        <v>103</v>
      </c>
      <c r="J186" s="205" t="s">
        <v>105</v>
      </c>
      <c r="K186" s="205" t="s">
        <v>105</v>
      </c>
      <c r="L186" s="205" t="s">
        <v>105</v>
      </c>
      <c r="M186" s="205" t="s">
        <v>105</v>
      </c>
      <c r="N186" s="205" t="s">
        <v>105</v>
      </c>
      <c r="O186" s="205" t="s">
        <v>103</v>
      </c>
      <c r="P186" s="205" t="s">
        <v>103</v>
      </c>
      <c r="Q186" s="205" t="s">
        <v>105</v>
      </c>
      <c r="R186" s="205" t="s">
        <v>105</v>
      </c>
      <c r="S186" s="205" t="s">
        <v>105</v>
      </c>
      <c r="T186" s="205" t="s">
        <v>105</v>
      </c>
      <c r="U186" s="205" t="s">
        <v>105</v>
      </c>
      <c r="V186" s="205" t="s">
        <v>103</v>
      </c>
      <c r="W186" s="205" t="s">
        <v>103</v>
      </c>
      <c r="X186" s="205" t="s">
        <v>105</v>
      </c>
      <c r="Y186" s="205" t="s">
        <v>105</v>
      </c>
      <c r="Z186" s="205" t="s">
        <v>105</v>
      </c>
      <c r="AA186" s="205" t="s">
        <v>105</v>
      </c>
      <c r="AB186" s="205" t="s">
        <v>105</v>
      </c>
      <c r="AC186" s="205" t="s">
        <v>103</v>
      </c>
      <c r="AD186" s="205" t="s">
        <v>103</v>
      </c>
      <c r="AE186" s="205" t="s">
        <v>105</v>
      </c>
      <c r="AF186" s="205" t="s">
        <v>105</v>
      </c>
      <c r="AG186" s="205"/>
      <c r="AH186" s="4">
        <f t="shared" si="50"/>
        <v>0</v>
      </c>
      <c r="AI186" s="4">
        <f t="shared" si="51"/>
        <v>22</v>
      </c>
    </row>
    <row r="187" spans="2:35" ht="20.100000000000001" customHeight="1" x14ac:dyDescent="0.4">
      <c r="B187" s="4" t="s">
        <v>370</v>
      </c>
      <c r="C187" s="205" t="s">
        <v>105</v>
      </c>
      <c r="D187" s="205" t="s">
        <v>105</v>
      </c>
      <c r="E187" s="205" t="s">
        <v>105</v>
      </c>
      <c r="F187" s="205" t="s">
        <v>105</v>
      </c>
      <c r="G187" s="205" t="s">
        <v>105</v>
      </c>
      <c r="H187" s="205" t="s">
        <v>103</v>
      </c>
      <c r="I187" s="205" t="s">
        <v>103</v>
      </c>
      <c r="J187" s="205" t="s">
        <v>105</v>
      </c>
      <c r="K187" s="205" t="s">
        <v>105</v>
      </c>
      <c r="L187" s="205" t="s">
        <v>105</v>
      </c>
      <c r="M187" s="205" t="s">
        <v>105</v>
      </c>
      <c r="N187" s="205" t="s">
        <v>105</v>
      </c>
      <c r="O187" s="205" t="s">
        <v>103</v>
      </c>
      <c r="P187" s="205" t="s">
        <v>103</v>
      </c>
      <c r="Q187" s="205" t="s">
        <v>105</v>
      </c>
      <c r="R187" s="205" t="s">
        <v>105</v>
      </c>
      <c r="S187" s="205" t="s">
        <v>105</v>
      </c>
      <c r="T187" s="205" t="s">
        <v>105</v>
      </c>
      <c r="U187" s="205" t="s">
        <v>105</v>
      </c>
      <c r="V187" s="205" t="s">
        <v>103</v>
      </c>
      <c r="W187" s="205" t="s">
        <v>103</v>
      </c>
      <c r="X187" s="205" t="s">
        <v>105</v>
      </c>
      <c r="Y187" s="205" t="s">
        <v>105</v>
      </c>
      <c r="Z187" s="205" t="s">
        <v>105</v>
      </c>
      <c r="AA187" s="205" t="s">
        <v>105</v>
      </c>
      <c r="AB187" s="205" t="s">
        <v>105</v>
      </c>
      <c r="AC187" s="205" t="s">
        <v>103</v>
      </c>
      <c r="AD187" s="205" t="s">
        <v>103</v>
      </c>
      <c r="AE187" s="205" t="s">
        <v>105</v>
      </c>
      <c r="AF187" s="205" t="s">
        <v>105</v>
      </c>
      <c r="AG187" s="205"/>
      <c r="AH187" s="4">
        <f t="shared" si="50"/>
        <v>0</v>
      </c>
      <c r="AI187" s="4">
        <f t="shared" si="51"/>
        <v>22</v>
      </c>
    </row>
    <row r="188" spans="2:35" ht="20.100000000000001" customHeight="1" x14ac:dyDescent="0.4">
      <c r="B188" s="4" t="s">
        <v>371</v>
      </c>
      <c r="C188" s="205" t="s">
        <v>105</v>
      </c>
      <c r="D188" s="205" t="s">
        <v>105</v>
      </c>
      <c r="E188" s="205" t="s">
        <v>105</v>
      </c>
      <c r="F188" s="205" t="s">
        <v>105</v>
      </c>
      <c r="G188" s="205" t="s">
        <v>105</v>
      </c>
      <c r="H188" s="205" t="s">
        <v>103</v>
      </c>
      <c r="I188" s="205" t="s">
        <v>103</v>
      </c>
      <c r="J188" s="205" t="s">
        <v>105</v>
      </c>
      <c r="K188" s="205" t="s">
        <v>105</v>
      </c>
      <c r="L188" s="205" t="s">
        <v>105</v>
      </c>
      <c r="M188" s="205" t="s">
        <v>105</v>
      </c>
      <c r="N188" s="205" t="s">
        <v>105</v>
      </c>
      <c r="O188" s="205" t="s">
        <v>103</v>
      </c>
      <c r="P188" s="205" t="s">
        <v>103</v>
      </c>
      <c r="Q188" s="205" t="s">
        <v>105</v>
      </c>
      <c r="R188" s="205" t="s">
        <v>105</v>
      </c>
      <c r="S188" s="205" t="s">
        <v>105</v>
      </c>
      <c r="T188" s="205" t="s">
        <v>105</v>
      </c>
      <c r="U188" s="205" t="s">
        <v>105</v>
      </c>
      <c r="V188" s="205" t="s">
        <v>103</v>
      </c>
      <c r="W188" s="205" t="s">
        <v>103</v>
      </c>
      <c r="X188" s="205" t="s">
        <v>105</v>
      </c>
      <c r="Y188" s="205" t="s">
        <v>105</v>
      </c>
      <c r="Z188" s="205" t="s">
        <v>105</v>
      </c>
      <c r="AA188" s="205" t="s">
        <v>105</v>
      </c>
      <c r="AB188" s="205" t="s">
        <v>105</v>
      </c>
      <c r="AC188" s="205" t="s">
        <v>103</v>
      </c>
      <c r="AD188" s="205" t="s">
        <v>103</v>
      </c>
      <c r="AE188" s="205" t="s">
        <v>105</v>
      </c>
      <c r="AF188" s="205" t="s">
        <v>105</v>
      </c>
      <c r="AG188" s="205"/>
      <c r="AH188" s="4">
        <f t="shared" si="50"/>
        <v>0</v>
      </c>
      <c r="AI188" s="4">
        <f t="shared" si="51"/>
        <v>22</v>
      </c>
    </row>
    <row r="189" spans="2:35" ht="20.100000000000001" customHeight="1" x14ac:dyDescent="0.4">
      <c r="B189" s="4" t="s">
        <v>372</v>
      </c>
      <c r="C189" s="205" t="s">
        <v>105</v>
      </c>
      <c r="D189" s="205" t="s">
        <v>105</v>
      </c>
      <c r="E189" s="205" t="s">
        <v>105</v>
      </c>
      <c r="F189" s="205" t="s">
        <v>105</v>
      </c>
      <c r="G189" s="205" t="s">
        <v>105</v>
      </c>
      <c r="H189" s="205" t="s">
        <v>103</v>
      </c>
      <c r="I189" s="205" t="s">
        <v>103</v>
      </c>
      <c r="J189" s="205" t="s">
        <v>105</v>
      </c>
      <c r="K189" s="205" t="s">
        <v>105</v>
      </c>
      <c r="L189" s="205" t="s">
        <v>105</v>
      </c>
      <c r="M189" s="205" t="s">
        <v>105</v>
      </c>
      <c r="N189" s="205" t="s">
        <v>105</v>
      </c>
      <c r="O189" s="205" t="s">
        <v>103</v>
      </c>
      <c r="P189" s="205" t="s">
        <v>103</v>
      </c>
      <c r="Q189" s="205" t="s">
        <v>105</v>
      </c>
      <c r="R189" s="205" t="s">
        <v>105</v>
      </c>
      <c r="S189" s="205" t="s">
        <v>105</v>
      </c>
      <c r="T189" s="205" t="s">
        <v>105</v>
      </c>
      <c r="U189" s="205" t="s">
        <v>105</v>
      </c>
      <c r="V189" s="205" t="s">
        <v>103</v>
      </c>
      <c r="W189" s="205" t="s">
        <v>103</v>
      </c>
      <c r="X189" s="205" t="s">
        <v>105</v>
      </c>
      <c r="Y189" s="205" t="s">
        <v>105</v>
      </c>
      <c r="Z189" s="205" t="s">
        <v>105</v>
      </c>
      <c r="AA189" s="205" t="s">
        <v>105</v>
      </c>
      <c r="AB189" s="205" t="s">
        <v>105</v>
      </c>
      <c r="AC189" s="205" t="s">
        <v>103</v>
      </c>
      <c r="AD189" s="205" t="s">
        <v>103</v>
      </c>
      <c r="AE189" s="205" t="s">
        <v>105</v>
      </c>
      <c r="AF189" s="205" t="s">
        <v>105</v>
      </c>
      <c r="AG189" s="205"/>
      <c r="AH189" s="4">
        <f t="shared" si="50"/>
        <v>0</v>
      </c>
      <c r="AI189" s="4">
        <f t="shared" si="51"/>
        <v>22</v>
      </c>
    </row>
    <row r="190" spans="2:35" ht="20.100000000000001" hidden="1" customHeight="1" outlineLevel="1" x14ac:dyDescent="0.4"/>
    <row r="191" spans="2:35" ht="20.100000000000001" hidden="1" customHeight="1" outlineLevel="1" x14ac:dyDescent="0.4">
      <c r="B191" s="607">
        <f>DATE(YEAR(B181),MONTH(B181)+1,DAY(B181))</f>
        <v>46204</v>
      </c>
      <c r="C191" s="6">
        <v>1</v>
      </c>
      <c r="D191" s="6">
        <v>2</v>
      </c>
      <c r="E191" s="6">
        <v>3</v>
      </c>
      <c r="F191" s="6">
        <v>4</v>
      </c>
      <c r="G191" s="6">
        <v>5</v>
      </c>
      <c r="H191" s="6">
        <v>6</v>
      </c>
      <c r="I191" s="6">
        <v>7</v>
      </c>
      <c r="J191" s="6">
        <v>8</v>
      </c>
      <c r="K191" s="6">
        <v>9</v>
      </c>
      <c r="L191" s="6">
        <v>10</v>
      </c>
      <c r="M191" s="6">
        <v>11</v>
      </c>
      <c r="N191" s="6">
        <v>12</v>
      </c>
      <c r="O191" s="6">
        <v>13</v>
      </c>
      <c r="P191" s="6">
        <v>14</v>
      </c>
      <c r="Q191" s="6">
        <v>15</v>
      </c>
      <c r="R191" s="6">
        <v>16</v>
      </c>
      <c r="S191" s="6">
        <v>17</v>
      </c>
      <c r="T191" s="6">
        <v>18</v>
      </c>
      <c r="U191" s="6">
        <v>19</v>
      </c>
      <c r="V191" s="6">
        <v>20</v>
      </c>
      <c r="W191" s="6">
        <v>21</v>
      </c>
      <c r="X191" s="6">
        <v>22</v>
      </c>
      <c r="Y191" s="6">
        <v>23</v>
      </c>
      <c r="Z191" s="6">
        <v>24</v>
      </c>
      <c r="AA191" s="6">
        <v>25</v>
      </c>
      <c r="AB191" s="6">
        <v>26</v>
      </c>
      <c r="AC191" s="6">
        <v>27</v>
      </c>
      <c r="AD191" s="6">
        <v>28</v>
      </c>
      <c r="AE191" s="6">
        <v>29</v>
      </c>
      <c r="AF191" s="6">
        <v>30</v>
      </c>
      <c r="AG191" s="6"/>
      <c r="AH191" s="473" t="s">
        <v>106</v>
      </c>
      <c r="AI191" s="478" t="s">
        <v>107</v>
      </c>
    </row>
    <row r="192" spans="2:35" ht="20.100000000000001" hidden="1" customHeight="1" outlineLevel="1" x14ac:dyDescent="0.4">
      <c r="B192" s="608"/>
      <c r="C192" s="6" t="s">
        <v>108</v>
      </c>
      <c r="D192" s="6" t="s">
        <v>109</v>
      </c>
      <c r="E192" s="6" t="s">
        <v>110</v>
      </c>
      <c r="F192" s="6" t="s">
        <v>111</v>
      </c>
      <c r="G192" s="6" t="s">
        <v>112</v>
      </c>
      <c r="H192" s="6" t="s">
        <v>70</v>
      </c>
      <c r="I192" s="6" t="s">
        <v>72</v>
      </c>
      <c r="J192" s="6" t="s">
        <v>108</v>
      </c>
      <c r="K192" s="6" t="s">
        <v>109</v>
      </c>
      <c r="L192" s="6" t="s">
        <v>110</v>
      </c>
      <c r="M192" s="6" t="s">
        <v>111</v>
      </c>
      <c r="N192" s="6" t="s">
        <v>112</v>
      </c>
      <c r="O192" s="6" t="s">
        <v>70</v>
      </c>
      <c r="P192" s="6" t="s">
        <v>72</v>
      </c>
      <c r="Q192" s="6" t="s">
        <v>108</v>
      </c>
      <c r="R192" s="6" t="s">
        <v>109</v>
      </c>
      <c r="S192" s="6" t="s">
        <v>110</v>
      </c>
      <c r="T192" s="6" t="s">
        <v>111</v>
      </c>
      <c r="U192" s="6" t="s">
        <v>112</v>
      </c>
      <c r="V192" s="6" t="s">
        <v>70</v>
      </c>
      <c r="W192" s="6" t="s">
        <v>72</v>
      </c>
      <c r="X192" s="6" t="s">
        <v>108</v>
      </c>
      <c r="Y192" s="6" t="s">
        <v>109</v>
      </c>
      <c r="Z192" s="6" t="s">
        <v>110</v>
      </c>
      <c r="AA192" s="6" t="s">
        <v>111</v>
      </c>
      <c r="AB192" s="6" t="s">
        <v>112</v>
      </c>
      <c r="AC192" s="6" t="s">
        <v>70</v>
      </c>
      <c r="AD192" s="6" t="s">
        <v>72</v>
      </c>
      <c r="AE192" s="6" t="s">
        <v>108</v>
      </c>
      <c r="AF192" s="6" t="s">
        <v>109</v>
      </c>
      <c r="AG192" s="6"/>
      <c r="AH192" s="475"/>
      <c r="AI192" s="480"/>
    </row>
    <row r="193" spans="2:35" ht="20.100000000000001" hidden="1" customHeight="1" outlineLevel="1" x14ac:dyDescent="0.4">
      <c r="B193" s="4" t="s">
        <v>163</v>
      </c>
      <c r="C193" s="205" t="s">
        <v>105</v>
      </c>
      <c r="D193" s="205" t="s">
        <v>105</v>
      </c>
      <c r="E193" s="205" t="s">
        <v>105</v>
      </c>
      <c r="F193" s="205" t="s">
        <v>103</v>
      </c>
      <c r="G193" s="205" t="s">
        <v>103</v>
      </c>
      <c r="H193" s="205" t="s">
        <v>105</v>
      </c>
      <c r="I193" s="205" t="s">
        <v>105</v>
      </c>
      <c r="J193" s="205" t="s">
        <v>105</v>
      </c>
      <c r="K193" s="205" t="s">
        <v>105</v>
      </c>
      <c r="L193" s="205" t="s">
        <v>105</v>
      </c>
      <c r="M193" s="205" t="s">
        <v>103</v>
      </c>
      <c r="N193" s="205" t="s">
        <v>103</v>
      </c>
      <c r="O193" s="205" t="s">
        <v>105</v>
      </c>
      <c r="P193" s="205" t="s">
        <v>105</v>
      </c>
      <c r="Q193" s="205" t="s">
        <v>105</v>
      </c>
      <c r="R193" s="205" t="s">
        <v>105</v>
      </c>
      <c r="S193" s="205" t="s">
        <v>105</v>
      </c>
      <c r="T193" s="205" t="s">
        <v>103</v>
      </c>
      <c r="U193" s="205" t="s">
        <v>103</v>
      </c>
      <c r="V193" s="205" t="s">
        <v>105</v>
      </c>
      <c r="W193" s="205" t="s">
        <v>105</v>
      </c>
      <c r="X193" s="205" t="s">
        <v>105</v>
      </c>
      <c r="Y193" s="205" t="s">
        <v>105</v>
      </c>
      <c r="Z193" s="205" t="s">
        <v>105</v>
      </c>
      <c r="AA193" s="205" t="s">
        <v>103</v>
      </c>
      <c r="AB193" s="205" t="s">
        <v>103</v>
      </c>
      <c r="AC193" s="205" t="s">
        <v>105</v>
      </c>
      <c r="AD193" s="205" t="s">
        <v>105</v>
      </c>
      <c r="AE193" s="205" t="s">
        <v>104</v>
      </c>
      <c r="AF193" s="205" t="s">
        <v>105</v>
      </c>
      <c r="AG193" s="205"/>
      <c r="AH193" s="4">
        <f>COUNTIF(C193:AG193,"L")</f>
        <v>0</v>
      </c>
      <c r="AI193" s="4">
        <f>COUNTIF(C193:AG193,"A")</f>
        <v>21</v>
      </c>
    </row>
    <row r="194" spans="2:35" ht="20.100000000000001" hidden="1" customHeight="1" outlineLevel="1" x14ac:dyDescent="0.4">
      <c r="B194" s="4" t="s">
        <v>368</v>
      </c>
      <c r="C194" s="205" t="s">
        <v>105</v>
      </c>
      <c r="D194" s="205" t="s">
        <v>105</v>
      </c>
      <c r="E194" s="205" t="s">
        <v>105</v>
      </c>
      <c r="F194" s="205" t="s">
        <v>103</v>
      </c>
      <c r="G194" s="205" t="s">
        <v>103</v>
      </c>
      <c r="H194" s="205" t="s">
        <v>105</v>
      </c>
      <c r="I194" s="205" t="s">
        <v>105</v>
      </c>
      <c r="J194" s="205" t="s">
        <v>105</v>
      </c>
      <c r="K194" s="205" t="s">
        <v>105</v>
      </c>
      <c r="L194" s="205" t="s">
        <v>105</v>
      </c>
      <c r="M194" s="205" t="s">
        <v>103</v>
      </c>
      <c r="N194" s="205" t="s">
        <v>103</v>
      </c>
      <c r="O194" s="205" t="s">
        <v>105</v>
      </c>
      <c r="P194" s="205" t="s">
        <v>105</v>
      </c>
      <c r="Q194" s="205" t="s">
        <v>105</v>
      </c>
      <c r="R194" s="205" t="s">
        <v>105</v>
      </c>
      <c r="S194" s="205" t="s">
        <v>105</v>
      </c>
      <c r="T194" s="205" t="s">
        <v>103</v>
      </c>
      <c r="U194" s="205" t="s">
        <v>103</v>
      </c>
      <c r="V194" s="205" t="s">
        <v>105</v>
      </c>
      <c r="W194" s="205" t="s">
        <v>105</v>
      </c>
      <c r="X194" s="205" t="s">
        <v>105</v>
      </c>
      <c r="Y194" s="205" t="s">
        <v>105</v>
      </c>
      <c r="Z194" s="205" t="s">
        <v>105</v>
      </c>
      <c r="AA194" s="205" t="s">
        <v>103</v>
      </c>
      <c r="AB194" s="205" t="s">
        <v>103</v>
      </c>
      <c r="AC194" s="205" t="s">
        <v>105</v>
      </c>
      <c r="AD194" s="205" t="s">
        <v>105</v>
      </c>
      <c r="AE194" s="205" t="s">
        <v>104</v>
      </c>
      <c r="AF194" s="205" t="s">
        <v>105</v>
      </c>
      <c r="AG194" s="205"/>
      <c r="AH194" s="4">
        <f t="shared" ref="AH194:AH199" si="52">COUNTIF(C194:AG194,"L")</f>
        <v>0</v>
      </c>
      <c r="AI194" s="4">
        <f t="shared" ref="AI194:AI199" si="53">COUNTIF(C194:AG194,"A")</f>
        <v>21</v>
      </c>
    </row>
    <row r="195" spans="2:35" ht="20.100000000000001" hidden="1" customHeight="1" outlineLevel="1" x14ac:dyDescent="0.4">
      <c r="B195" s="4" t="s">
        <v>172</v>
      </c>
      <c r="C195" s="205" t="s">
        <v>105</v>
      </c>
      <c r="D195" s="205" t="s">
        <v>105</v>
      </c>
      <c r="E195" s="205" t="s">
        <v>105</v>
      </c>
      <c r="F195" s="205" t="s">
        <v>103</v>
      </c>
      <c r="G195" s="205" t="s">
        <v>103</v>
      </c>
      <c r="H195" s="205" t="s">
        <v>105</v>
      </c>
      <c r="I195" s="205" t="s">
        <v>105</v>
      </c>
      <c r="J195" s="205" t="s">
        <v>105</v>
      </c>
      <c r="K195" s="205" t="s">
        <v>105</v>
      </c>
      <c r="L195" s="205" t="s">
        <v>105</v>
      </c>
      <c r="M195" s="205" t="s">
        <v>103</v>
      </c>
      <c r="N195" s="205" t="s">
        <v>103</v>
      </c>
      <c r="O195" s="205" t="s">
        <v>105</v>
      </c>
      <c r="P195" s="205" t="s">
        <v>105</v>
      </c>
      <c r="Q195" s="205" t="s">
        <v>105</v>
      </c>
      <c r="R195" s="205" t="s">
        <v>105</v>
      </c>
      <c r="S195" s="205" t="s">
        <v>105</v>
      </c>
      <c r="T195" s="205" t="s">
        <v>103</v>
      </c>
      <c r="U195" s="205" t="s">
        <v>103</v>
      </c>
      <c r="V195" s="205" t="s">
        <v>105</v>
      </c>
      <c r="W195" s="205" t="s">
        <v>105</v>
      </c>
      <c r="X195" s="205" t="s">
        <v>105</v>
      </c>
      <c r="Y195" s="205" t="s">
        <v>105</v>
      </c>
      <c r="Z195" s="205" t="s">
        <v>105</v>
      </c>
      <c r="AA195" s="205" t="s">
        <v>103</v>
      </c>
      <c r="AB195" s="205" t="s">
        <v>103</v>
      </c>
      <c r="AC195" s="205" t="s">
        <v>105</v>
      </c>
      <c r="AD195" s="205" t="s">
        <v>105</v>
      </c>
      <c r="AE195" s="205" t="s">
        <v>104</v>
      </c>
      <c r="AF195" s="205" t="s">
        <v>105</v>
      </c>
      <c r="AG195" s="205"/>
      <c r="AH195" s="4">
        <f t="shared" si="52"/>
        <v>0</v>
      </c>
      <c r="AI195" s="4">
        <f t="shared" si="53"/>
        <v>21</v>
      </c>
    </row>
    <row r="196" spans="2:35" ht="20.100000000000001" hidden="1" customHeight="1" outlineLevel="1" x14ac:dyDescent="0.4">
      <c r="B196" s="4" t="s">
        <v>369</v>
      </c>
      <c r="C196" s="205" t="s">
        <v>105</v>
      </c>
      <c r="D196" s="205" t="s">
        <v>105</v>
      </c>
      <c r="E196" s="205" t="s">
        <v>105</v>
      </c>
      <c r="F196" s="205" t="s">
        <v>103</v>
      </c>
      <c r="G196" s="205" t="s">
        <v>103</v>
      </c>
      <c r="H196" s="205" t="s">
        <v>105</v>
      </c>
      <c r="I196" s="205" t="s">
        <v>105</v>
      </c>
      <c r="J196" s="205" t="s">
        <v>105</v>
      </c>
      <c r="K196" s="205" t="s">
        <v>105</v>
      </c>
      <c r="L196" s="205" t="s">
        <v>105</v>
      </c>
      <c r="M196" s="205" t="s">
        <v>103</v>
      </c>
      <c r="N196" s="205" t="s">
        <v>103</v>
      </c>
      <c r="O196" s="205" t="s">
        <v>105</v>
      </c>
      <c r="P196" s="205" t="s">
        <v>105</v>
      </c>
      <c r="Q196" s="205" t="s">
        <v>105</v>
      </c>
      <c r="R196" s="205" t="s">
        <v>105</v>
      </c>
      <c r="S196" s="205" t="s">
        <v>105</v>
      </c>
      <c r="T196" s="205" t="s">
        <v>103</v>
      </c>
      <c r="U196" s="205" t="s">
        <v>103</v>
      </c>
      <c r="V196" s="205" t="s">
        <v>105</v>
      </c>
      <c r="W196" s="205" t="s">
        <v>105</v>
      </c>
      <c r="X196" s="205" t="s">
        <v>105</v>
      </c>
      <c r="Y196" s="205" t="s">
        <v>105</v>
      </c>
      <c r="Z196" s="205" t="s">
        <v>105</v>
      </c>
      <c r="AA196" s="205" t="s">
        <v>103</v>
      </c>
      <c r="AB196" s="205" t="s">
        <v>103</v>
      </c>
      <c r="AC196" s="205" t="s">
        <v>105</v>
      </c>
      <c r="AD196" s="205" t="s">
        <v>105</v>
      </c>
      <c r="AE196" s="205" t="s">
        <v>104</v>
      </c>
      <c r="AF196" s="205" t="s">
        <v>105</v>
      </c>
      <c r="AG196" s="205"/>
      <c r="AH196" s="4">
        <f t="shared" si="52"/>
        <v>0</v>
      </c>
      <c r="AI196" s="4">
        <f t="shared" si="53"/>
        <v>21</v>
      </c>
    </row>
    <row r="197" spans="2:35" ht="20.100000000000001" hidden="1" customHeight="1" outlineLevel="1" x14ac:dyDescent="0.4">
      <c r="B197" s="4" t="s">
        <v>370</v>
      </c>
      <c r="C197" s="205" t="s">
        <v>105</v>
      </c>
      <c r="D197" s="205" t="s">
        <v>105</v>
      </c>
      <c r="E197" s="205" t="s">
        <v>105</v>
      </c>
      <c r="F197" s="205" t="s">
        <v>103</v>
      </c>
      <c r="G197" s="205" t="s">
        <v>103</v>
      </c>
      <c r="H197" s="205" t="s">
        <v>105</v>
      </c>
      <c r="I197" s="205" t="s">
        <v>105</v>
      </c>
      <c r="J197" s="205" t="s">
        <v>105</v>
      </c>
      <c r="K197" s="205" t="s">
        <v>105</v>
      </c>
      <c r="L197" s="205" t="s">
        <v>105</v>
      </c>
      <c r="M197" s="205" t="s">
        <v>103</v>
      </c>
      <c r="N197" s="205" t="s">
        <v>103</v>
      </c>
      <c r="O197" s="205" t="s">
        <v>105</v>
      </c>
      <c r="P197" s="205" t="s">
        <v>105</v>
      </c>
      <c r="Q197" s="205" t="s">
        <v>105</v>
      </c>
      <c r="R197" s="205" t="s">
        <v>105</v>
      </c>
      <c r="S197" s="205" t="s">
        <v>105</v>
      </c>
      <c r="T197" s="205" t="s">
        <v>103</v>
      </c>
      <c r="U197" s="205" t="s">
        <v>103</v>
      </c>
      <c r="V197" s="205" t="s">
        <v>105</v>
      </c>
      <c r="W197" s="205" t="s">
        <v>105</v>
      </c>
      <c r="X197" s="205" t="s">
        <v>105</v>
      </c>
      <c r="Y197" s="205" t="s">
        <v>105</v>
      </c>
      <c r="Z197" s="205" t="s">
        <v>105</v>
      </c>
      <c r="AA197" s="205" t="s">
        <v>103</v>
      </c>
      <c r="AB197" s="205" t="s">
        <v>103</v>
      </c>
      <c r="AC197" s="205" t="s">
        <v>105</v>
      </c>
      <c r="AD197" s="205" t="s">
        <v>105</v>
      </c>
      <c r="AE197" s="205" t="s">
        <v>104</v>
      </c>
      <c r="AF197" s="205" t="s">
        <v>105</v>
      </c>
      <c r="AG197" s="205"/>
      <c r="AH197" s="4">
        <f t="shared" si="52"/>
        <v>0</v>
      </c>
      <c r="AI197" s="4">
        <f t="shared" si="53"/>
        <v>21</v>
      </c>
    </row>
    <row r="198" spans="2:35" ht="20.100000000000001" hidden="1" customHeight="1" outlineLevel="1" x14ac:dyDescent="0.4">
      <c r="B198" s="4" t="s">
        <v>371</v>
      </c>
      <c r="C198" s="205" t="s">
        <v>105</v>
      </c>
      <c r="D198" s="205" t="s">
        <v>105</v>
      </c>
      <c r="E198" s="205" t="s">
        <v>105</v>
      </c>
      <c r="F198" s="205" t="s">
        <v>103</v>
      </c>
      <c r="G198" s="205" t="s">
        <v>103</v>
      </c>
      <c r="H198" s="205" t="s">
        <v>105</v>
      </c>
      <c r="I198" s="205" t="s">
        <v>105</v>
      </c>
      <c r="J198" s="205" t="s">
        <v>105</v>
      </c>
      <c r="K198" s="205" t="s">
        <v>105</v>
      </c>
      <c r="L198" s="205" t="s">
        <v>105</v>
      </c>
      <c r="M198" s="205" t="s">
        <v>103</v>
      </c>
      <c r="N198" s="205" t="s">
        <v>103</v>
      </c>
      <c r="O198" s="205" t="s">
        <v>105</v>
      </c>
      <c r="P198" s="205" t="s">
        <v>105</v>
      </c>
      <c r="Q198" s="205" t="s">
        <v>105</v>
      </c>
      <c r="R198" s="205" t="s">
        <v>105</v>
      </c>
      <c r="S198" s="205" t="s">
        <v>105</v>
      </c>
      <c r="T198" s="205" t="s">
        <v>103</v>
      </c>
      <c r="U198" s="205" t="s">
        <v>103</v>
      </c>
      <c r="V198" s="205" t="s">
        <v>105</v>
      </c>
      <c r="W198" s="205" t="s">
        <v>105</v>
      </c>
      <c r="X198" s="205" t="s">
        <v>105</v>
      </c>
      <c r="Y198" s="205" t="s">
        <v>105</v>
      </c>
      <c r="Z198" s="205" t="s">
        <v>105</v>
      </c>
      <c r="AA198" s="205" t="s">
        <v>103</v>
      </c>
      <c r="AB198" s="205" t="s">
        <v>103</v>
      </c>
      <c r="AC198" s="205" t="s">
        <v>105</v>
      </c>
      <c r="AD198" s="205" t="s">
        <v>105</v>
      </c>
      <c r="AE198" s="205" t="s">
        <v>104</v>
      </c>
      <c r="AF198" s="205" t="s">
        <v>105</v>
      </c>
      <c r="AG198" s="205"/>
      <c r="AH198" s="4">
        <f t="shared" si="52"/>
        <v>0</v>
      </c>
      <c r="AI198" s="4">
        <f t="shared" si="53"/>
        <v>21</v>
      </c>
    </row>
    <row r="199" spans="2:35" ht="20.100000000000001" hidden="1" customHeight="1" outlineLevel="1" x14ac:dyDescent="0.4">
      <c r="B199" s="4" t="s">
        <v>372</v>
      </c>
      <c r="C199" s="205" t="s">
        <v>105</v>
      </c>
      <c r="D199" s="205" t="s">
        <v>105</v>
      </c>
      <c r="E199" s="205" t="s">
        <v>105</v>
      </c>
      <c r="F199" s="205" t="s">
        <v>103</v>
      </c>
      <c r="G199" s="205" t="s">
        <v>103</v>
      </c>
      <c r="H199" s="205" t="s">
        <v>105</v>
      </c>
      <c r="I199" s="205" t="s">
        <v>105</v>
      </c>
      <c r="J199" s="205" t="s">
        <v>105</v>
      </c>
      <c r="K199" s="205" t="s">
        <v>105</v>
      </c>
      <c r="L199" s="205" t="s">
        <v>105</v>
      </c>
      <c r="M199" s="205" t="s">
        <v>103</v>
      </c>
      <c r="N199" s="205" t="s">
        <v>103</v>
      </c>
      <c r="O199" s="205" t="s">
        <v>105</v>
      </c>
      <c r="P199" s="205" t="s">
        <v>105</v>
      </c>
      <c r="Q199" s="205" t="s">
        <v>105</v>
      </c>
      <c r="R199" s="205" t="s">
        <v>105</v>
      </c>
      <c r="S199" s="205" t="s">
        <v>105</v>
      </c>
      <c r="T199" s="205" t="s">
        <v>103</v>
      </c>
      <c r="U199" s="205" t="s">
        <v>103</v>
      </c>
      <c r="V199" s="205" t="s">
        <v>105</v>
      </c>
      <c r="W199" s="205" t="s">
        <v>105</v>
      </c>
      <c r="X199" s="205" t="s">
        <v>105</v>
      </c>
      <c r="Y199" s="205" t="s">
        <v>105</v>
      </c>
      <c r="Z199" s="205" t="s">
        <v>105</v>
      </c>
      <c r="AA199" s="205" t="s">
        <v>103</v>
      </c>
      <c r="AB199" s="205" t="s">
        <v>103</v>
      </c>
      <c r="AC199" s="205" t="s">
        <v>105</v>
      </c>
      <c r="AD199" s="205" t="s">
        <v>105</v>
      </c>
      <c r="AE199" s="205" t="s">
        <v>104</v>
      </c>
      <c r="AF199" s="205" t="s">
        <v>105</v>
      </c>
      <c r="AG199" s="205"/>
      <c r="AH199" s="4">
        <f t="shared" si="52"/>
        <v>0</v>
      </c>
      <c r="AI199" s="4">
        <f t="shared" si="53"/>
        <v>21</v>
      </c>
    </row>
    <row r="200" spans="2:35" ht="20.100000000000001" customHeight="1" collapsed="1" x14ac:dyDescent="0.4"/>
  </sheetData>
  <mergeCells count="50">
    <mergeCell ref="B30:B31"/>
    <mergeCell ref="AH30:AH31"/>
    <mergeCell ref="AI30:AI31"/>
    <mergeCell ref="B2:B3"/>
    <mergeCell ref="B16:B17"/>
    <mergeCell ref="AH16:AH17"/>
    <mergeCell ref="AI16:AI17"/>
    <mergeCell ref="N28:W28"/>
    <mergeCell ref="B43:B44"/>
    <mergeCell ref="AH43:AH44"/>
    <mergeCell ref="AI43:AI44"/>
    <mergeCell ref="B56:B57"/>
    <mergeCell ref="AH56:AH57"/>
    <mergeCell ref="AI56:AI57"/>
    <mergeCell ref="B69:B70"/>
    <mergeCell ref="AH69:AH70"/>
    <mergeCell ref="AI69:AI70"/>
    <mergeCell ref="B82:B83"/>
    <mergeCell ref="AH82:AH83"/>
    <mergeCell ref="AI82:AI83"/>
    <mergeCell ref="B95:B96"/>
    <mergeCell ref="AH95:AH96"/>
    <mergeCell ref="AI95:AI96"/>
    <mergeCell ref="B108:B109"/>
    <mergeCell ref="AH108:AH109"/>
    <mergeCell ref="AI108:AI109"/>
    <mergeCell ref="B121:B122"/>
    <mergeCell ref="AH121:AH122"/>
    <mergeCell ref="AI121:AI122"/>
    <mergeCell ref="B151:B152"/>
    <mergeCell ref="AH151:AH152"/>
    <mergeCell ref="AI151:AI152"/>
    <mergeCell ref="B131:B132"/>
    <mergeCell ref="AH131:AH132"/>
    <mergeCell ref="AI131:AI132"/>
    <mergeCell ref="B141:B142"/>
    <mergeCell ref="AH141:AH142"/>
    <mergeCell ref="AI141:AI142"/>
    <mergeCell ref="B161:B162"/>
    <mergeCell ref="AH161:AH162"/>
    <mergeCell ref="AI161:AI162"/>
    <mergeCell ref="B171:B172"/>
    <mergeCell ref="AH171:AH172"/>
    <mergeCell ref="AI171:AI172"/>
    <mergeCell ref="B181:B182"/>
    <mergeCell ref="AH181:AH182"/>
    <mergeCell ref="AI181:AI182"/>
    <mergeCell ref="B191:B192"/>
    <mergeCell ref="AH191:AH192"/>
    <mergeCell ref="AI191:AI192"/>
  </mergeCells>
  <phoneticPr fontId="2"/>
  <conditionalFormatting sqref="C33:C41 C123:AG129">
    <cfRule type="cellIs" dxfId="250" priority="757" operator="equal">
      <formula>"H"</formula>
    </cfRule>
    <cfRule type="cellIs" dxfId="249" priority="758" operator="equal">
      <formula>"S"</formula>
    </cfRule>
    <cfRule type="cellIs" dxfId="248" priority="759" operator="equal">
      <formula>"L"</formula>
    </cfRule>
    <cfRule type="cellIs" dxfId="247" priority="760" operator="equal">
      <formula>"HL"</formula>
    </cfRule>
  </conditionalFormatting>
  <conditionalFormatting sqref="C19:D29">
    <cfRule type="cellIs" dxfId="246" priority="853" operator="equal">
      <formula>"H"</formula>
    </cfRule>
    <cfRule type="cellIs" dxfId="245" priority="854" operator="equal">
      <formula>"S"</formula>
    </cfRule>
    <cfRule type="cellIs" dxfId="244" priority="855" operator="equal">
      <formula>"L"</formula>
    </cfRule>
    <cfRule type="cellIs" dxfId="243" priority="856" operator="equal">
      <formula>"HL"</formula>
    </cfRule>
  </conditionalFormatting>
  <conditionalFormatting sqref="C33:D42">
    <cfRule type="cellIs" dxfId="242" priority="813" operator="equal">
      <formula>"H"</formula>
    </cfRule>
    <cfRule type="cellIs" dxfId="241" priority="814" operator="equal">
      <formula>"S"</formula>
    </cfRule>
    <cfRule type="cellIs" dxfId="240" priority="815" operator="equal">
      <formula>"L"</formula>
    </cfRule>
    <cfRule type="cellIs" dxfId="239" priority="816" operator="equal">
      <formula>"HL"</formula>
    </cfRule>
  </conditionalFormatting>
  <conditionalFormatting sqref="C154:D159">
    <cfRule type="cellIs" dxfId="238" priority="8789" operator="equal">
      <formula>"H"</formula>
    </cfRule>
    <cfRule type="cellIs" dxfId="237" priority="8790" operator="equal">
      <formula>"S"</formula>
    </cfRule>
    <cfRule type="cellIs" dxfId="236" priority="8791" operator="equal">
      <formula>"L"</formula>
    </cfRule>
    <cfRule type="cellIs" dxfId="235" priority="8792" operator="equal">
      <formula>"HL"</formula>
    </cfRule>
  </conditionalFormatting>
  <conditionalFormatting sqref="C185:D189">
    <cfRule type="cellIs" dxfId="234" priority="317" operator="equal">
      <formula>"H"</formula>
    </cfRule>
    <cfRule type="cellIs" dxfId="233" priority="318" operator="equal">
      <formula>"S"</formula>
    </cfRule>
    <cfRule type="cellIs" dxfId="232" priority="319" operator="equal">
      <formula>"L"</formula>
    </cfRule>
    <cfRule type="cellIs" dxfId="231" priority="320" operator="equal">
      <formula>"HL"</formula>
    </cfRule>
  </conditionalFormatting>
  <conditionalFormatting sqref="C194:D199">
    <cfRule type="cellIs" dxfId="230" priority="201" operator="equal">
      <formula>"H"</formula>
    </cfRule>
    <cfRule type="cellIs" dxfId="229" priority="202" operator="equal">
      <formula>"S"</formula>
    </cfRule>
    <cfRule type="cellIs" dxfId="228" priority="203" operator="equal">
      <formula>"L"</formula>
    </cfRule>
    <cfRule type="cellIs" dxfId="227" priority="204" operator="equal">
      <formula>"HL"</formula>
    </cfRule>
  </conditionalFormatting>
  <conditionalFormatting sqref="C42:M42 O42:AG42">
    <cfRule type="cellIs" dxfId="226" priority="797" operator="equal">
      <formula>"H"</formula>
    </cfRule>
    <cfRule type="cellIs" dxfId="225" priority="798" operator="equal">
      <formula>"S"</formula>
    </cfRule>
    <cfRule type="cellIs" dxfId="224" priority="799" operator="equal">
      <formula>"L"</formula>
    </cfRule>
    <cfRule type="cellIs" dxfId="223" priority="800" operator="equal">
      <formula>"HL"</formula>
    </cfRule>
  </conditionalFormatting>
  <conditionalFormatting sqref="C4:AE10">
    <cfRule type="expression" dxfId="222" priority="57873">
      <formula>C$3="H"</formula>
    </cfRule>
    <cfRule type="expression" dxfId="221" priority="57874">
      <formula>C$3="日"</formula>
    </cfRule>
    <cfRule type="expression" dxfId="220" priority="57875">
      <formula>C$3="土"</formula>
    </cfRule>
  </conditionalFormatting>
  <conditionalFormatting sqref="C18:AG27 X28:AG28 C28:M29 O29:AG29">
    <cfRule type="cellIs" dxfId="219" priority="837" operator="equal">
      <formula>"H"</formula>
    </cfRule>
    <cfRule type="cellIs" dxfId="218" priority="838" operator="equal">
      <formula>"S"</formula>
    </cfRule>
    <cfRule type="cellIs" dxfId="217" priority="839" operator="equal">
      <formula>"L"</formula>
    </cfRule>
    <cfRule type="cellIs" dxfId="216" priority="840" operator="equal">
      <formula>"HL"</formula>
    </cfRule>
  </conditionalFormatting>
  <conditionalFormatting sqref="C32:AG41">
    <cfRule type="cellIs" dxfId="215" priority="817" operator="equal">
      <formula>"H"</formula>
    </cfRule>
    <cfRule type="cellIs" dxfId="214" priority="818" operator="equal">
      <formula>"S"</formula>
    </cfRule>
    <cfRule type="cellIs" dxfId="213" priority="819" operator="equal">
      <formula>"L"</formula>
    </cfRule>
    <cfRule type="cellIs" dxfId="212" priority="820" operator="equal">
      <formula>"HL"</formula>
    </cfRule>
  </conditionalFormatting>
  <conditionalFormatting sqref="C45:AG54">
    <cfRule type="cellIs" dxfId="211" priority="661" operator="equal">
      <formula>"H"</formula>
    </cfRule>
    <cfRule type="cellIs" dxfId="210" priority="662" operator="equal">
      <formula>"S"</formula>
    </cfRule>
    <cfRule type="cellIs" dxfId="209" priority="663" operator="equal">
      <formula>"L"</formula>
    </cfRule>
    <cfRule type="cellIs" dxfId="208" priority="664" operator="equal">
      <formula>"HL"</formula>
    </cfRule>
  </conditionalFormatting>
  <conditionalFormatting sqref="C58:AG67">
    <cfRule type="cellIs" dxfId="207" priority="617" operator="equal">
      <formula>"H"</formula>
    </cfRule>
    <cfRule type="cellIs" dxfId="206" priority="618" operator="equal">
      <formula>"S"</formula>
    </cfRule>
    <cfRule type="cellIs" dxfId="205" priority="619" operator="equal">
      <formula>"L"</formula>
    </cfRule>
    <cfRule type="cellIs" dxfId="204" priority="620" operator="equal">
      <formula>"HL"</formula>
    </cfRule>
  </conditionalFormatting>
  <conditionalFormatting sqref="C71:AG80">
    <cfRule type="cellIs" dxfId="203" priority="3269" operator="equal">
      <formula>"H"</formula>
    </cfRule>
    <cfRule type="cellIs" dxfId="202" priority="3270" operator="equal">
      <formula>"S"</formula>
    </cfRule>
    <cfRule type="cellIs" dxfId="201" priority="3271" operator="equal">
      <formula>"L"</formula>
    </cfRule>
    <cfRule type="cellIs" dxfId="200" priority="3272" operator="equal">
      <formula>"HL"</formula>
    </cfRule>
  </conditionalFormatting>
  <conditionalFormatting sqref="C84:AG93">
    <cfRule type="cellIs" dxfId="199" priority="565" operator="equal">
      <formula>"H"</formula>
    </cfRule>
    <cfRule type="cellIs" dxfId="198" priority="566" operator="equal">
      <formula>"S"</formula>
    </cfRule>
    <cfRule type="cellIs" dxfId="197" priority="567" operator="equal">
      <formula>"L"</formula>
    </cfRule>
    <cfRule type="cellIs" dxfId="196" priority="568" operator="equal">
      <formula>"HL"</formula>
    </cfRule>
  </conditionalFormatting>
  <conditionalFormatting sqref="C97:AG106">
    <cfRule type="cellIs" dxfId="195" priority="545" operator="equal">
      <formula>"H"</formula>
    </cfRule>
    <cfRule type="cellIs" dxfId="194" priority="546" operator="equal">
      <formula>"S"</formula>
    </cfRule>
    <cfRule type="cellIs" dxfId="193" priority="547" operator="equal">
      <formula>"L"</formula>
    </cfRule>
    <cfRule type="cellIs" dxfId="192" priority="548" operator="equal">
      <formula>"HL"</formula>
    </cfRule>
  </conditionalFormatting>
  <conditionalFormatting sqref="C110:AG119">
    <cfRule type="cellIs" dxfId="191" priority="501" operator="equal">
      <formula>"H"</formula>
    </cfRule>
    <cfRule type="cellIs" dxfId="190" priority="502" operator="equal">
      <formula>"S"</formula>
    </cfRule>
    <cfRule type="cellIs" dxfId="189" priority="503" operator="equal">
      <formula>"L"</formula>
    </cfRule>
    <cfRule type="cellIs" dxfId="188" priority="504" operator="equal">
      <formula>"HL"</formula>
    </cfRule>
  </conditionalFormatting>
  <conditionalFormatting sqref="C133:AG139">
    <cfRule type="cellIs" dxfId="187" priority="489" operator="equal">
      <formula>"H"</formula>
    </cfRule>
    <cfRule type="cellIs" dxfId="186" priority="490" operator="equal">
      <formula>"S"</formula>
    </cfRule>
    <cfRule type="cellIs" dxfId="185" priority="491" operator="equal">
      <formula>"L"</formula>
    </cfRule>
    <cfRule type="cellIs" dxfId="184" priority="492" operator="equal">
      <formula>"HL"</formula>
    </cfRule>
  </conditionalFormatting>
  <conditionalFormatting sqref="C143:AG149">
    <cfRule type="cellIs" dxfId="183" priority="453" operator="equal">
      <formula>"H"</formula>
    </cfRule>
    <cfRule type="cellIs" dxfId="182" priority="454" operator="equal">
      <formula>"S"</formula>
    </cfRule>
    <cfRule type="cellIs" dxfId="181" priority="455" operator="equal">
      <formula>"L"</formula>
    </cfRule>
    <cfRule type="cellIs" dxfId="180" priority="456" operator="equal">
      <formula>"HL"</formula>
    </cfRule>
  </conditionalFormatting>
  <conditionalFormatting sqref="C153:AG159">
    <cfRule type="cellIs" dxfId="179" priority="913" operator="equal">
      <formula>"H"</formula>
    </cfRule>
    <cfRule type="cellIs" dxfId="178" priority="914" operator="equal">
      <formula>"S"</formula>
    </cfRule>
    <cfRule type="cellIs" dxfId="177" priority="915" operator="equal">
      <formula>"L"</formula>
    </cfRule>
    <cfRule type="cellIs" dxfId="176" priority="916" operator="equal">
      <formula>"HL"</formula>
    </cfRule>
  </conditionalFormatting>
  <conditionalFormatting sqref="C163:AG169">
    <cfRule type="cellIs" dxfId="175" priority="29" operator="equal">
      <formula>"H"</formula>
    </cfRule>
    <cfRule type="cellIs" dxfId="174" priority="30" operator="equal">
      <formula>"S"</formula>
    </cfRule>
    <cfRule type="cellIs" dxfId="173" priority="31" operator="equal">
      <formula>"L"</formula>
    </cfRule>
    <cfRule type="cellIs" dxfId="172" priority="32" operator="equal">
      <formula>"HL"</formula>
    </cfRule>
  </conditionalFormatting>
  <conditionalFormatting sqref="C173:AG179">
    <cfRule type="cellIs" dxfId="171" priority="13" operator="equal">
      <formula>"H"</formula>
    </cfRule>
    <cfRule type="cellIs" dxfId="170" priority="14" operator="equal">
      <formula>"S"</formula>
    </cfRule>
    <cfRule type="cellIs" dxfId="169" priority="15" operator="equal">
      <formula>"L"</formula>
    </cfRule>
    <cfRule type="cellIs" dxfId="168" priority="16" operator="equal">
      <formula>"HL"</formula>
    </cfRule>
  </conditionalFormatting>
  <conditionalFormatting sqref="C183:AG189">
    <cfRule type="cellIs" dxfId="167" priority="1" operator="equal">
      <formula>"H"</formula>
    </cfRule>
    <cfRule type="cellIs" dxfId="166" priority="2" operator="equal">
      <formula>"S"</formula>
    </cfRule>
    <cfRule type="cellIs" dxfId="165" priority="3" operator="equal">
      <formula>"L"</formula>
    </cfRule>
    <cfRule type="cellIs" dxfId="164" priority="4" operator="equal">
      <formula>"HL"</formula>
    </cfRule>
  </conditionalFormatting>
  <conditionalFormatting sqref="C193:AG199">
    <cfRule type="cellIs" dxfId="163" priority="45" operator="equal">
      <formula>"H"</formula>
    </cfRule>
    <cfRule type="cellIs" dxfId="162" priority="46" operator="equal">
      <formula>"S"</formula>
    </cfRule>
    <cfRule type="cellIs" dxfId="161" priority="47" operator="equal">
      <formula>"L"</formula>
    </cfRule>
    <cfRule type="cellIs" dxfId="160" priority="48" operator="equal">
      <formula>"HL"</formula>
    </cfRule>
  </conditionalFormatting>
  <conditionalFormatting sqref="D174:E179">
    <cfRule type="cellIs" dxfId="159" priority="293" operator="equal">
      <formula>"H"</formula>
    </cfRule>
    <cfRule type="cellIs" dxfId="158" priority="294" operator="equal">
      <formula>"S"</formula>
    </cfRule>
    <cfRule type="cellIs" dxfId="157" priority="295" operator="equal">
      <formula>"L"</formula>
    </cfRule>
    <cfRule type="cellIs" dxfId="156" priority="296" operator="equal">
      <formula>"HL"</formula>
    </cfRule>
  </conditionalFormatting>
  <conditionalFormatting sqref="E46:H54">
    <cfRule type="cellIs" dxfId="155" priority="701" operator="equal">
      <formula>"H"</formula>
    </cfRule>
    <cfRule type="cellIs" dxfId="154" priority="702" operator="equal">
      <formula>"S"</formula>
    </cfRule>
    <cfRule type="cellIs" dxfId="153" priority="703" operator="equal">
      <formula>"L"</formula>
    </cfRule>
    <cfRule type="cellIs" dxfId="152" priority="704" operator="equal">
      <formula>"HL"</formula>
    </cfRule>
  </conditionalFormatting>
  <conditionalFormatting sqref="F194:G199">
    <cfRule type="cellIs" dxfId="151" priority="121" operator="equal">
      <formula>"H"</formula>
    </cfRule>
    <cfRule type="cellIs" dxfId="150" priority="122" operator="equal">
      <formula>"S"</formula>
    </cfRule>
    <cfRule type="cellIs" dxfId="149" priority="123" operator="equal">
      <formula>"L"</formula>
    </cfRule>
    <cfRule type="cellIs" dxfId="148" priority="124" operator="equal">
      <formula>"HL"</formula>
    </cfRule>
  </conditionalFormatting>
  <conditionalFormatting sqref="H33:I41">
    <cfRule type="cellIs" dxfId="147" priority="793" operator="equal">
      <formula>"H"</formula>
    </cfRule>
    <cfRule type="cellIs" dxfId="146" priority="794" operator="equal">
      <formula>"S"</formula>
    </cfRule>
    <cfRule type="cellIs" dxfId="145" priority="795" operator="equal">
      <formula>"L"</formula>
    </cfRule>
    <cfRule type="cellIs" dxfId="144" priority="796" operator="equal">
      <formula>"HL"</formula>
    </cfRule>
  </conditionalFormatting>
  <conditionalFormatting sqref="H184:I189">
    <cfRule type="cellIs" dxfId="143" priority="249" operator="equal">
      <formula>"H"</formula>
    </cfRule>
    <cfRule type="cellIs" dxfId="142" priority="250" operator="equal">
      <formula>"S"</formula>
    </cfRule>
    <cfRule type="cellIs" dxfId="141" priority="251" operator="equal">
      <formula>"L"</formula>
    </cfRule>
    <cfRule type="cellIs" dxfId="140" priority="252" operator="equal">
      <formula>"HL"</formula>
    </cfRule>
  </conditionalFormatting>
  <conditionalFormatting sqref="I154:K159">
    <cfRule type="cellIs" dxfId="139" priority="401" operator="equal">
      <formula>"H"</formula>
    </cfRule>
    <cfRule type="cellIs" dxfId="138" priority="402" operator="equal">
      <formula>"S"</formula>
    </cfRule>
    <cfRule type="cellIs" dxfId="137" priority="403" operator="equal">
      <formula>"L"</formula>
    </cfRule>
    <cfRule type="cellIs" dxfId="136" priority="404" operator="equal">
      <formula>"HL"</formula>
    </cfRule>
  </conditionalFormatting>
  <conditionalFormatting sqref="J19:K29">
    <cfRule type="cellIs" dxfId="135" priority="849" operator="equal">
      <formula>"H"</formula>
    </cfRule>
    <cfRule type="cellIs" dxfId="134" priority="850" operator="equal">
      <formula>"S"</formula>
    </cfRule>
    <cfRule type="cellIs" dxfId="133" priority="851" operator="equal">
      <formula>"L"</formula>
    </cfRule>
    <cfRule type="cellIs" dxfId="132" priority="852" operator="equal">
      <formula>"HL"</formula>
    </cfRule>
  </conditionalFormatting>
  <conditionalFormatting sqref="J33:K42">
    <cfRule type="cellIs" dxfId="131" priority="809" operator="equal">
      <formula>"H"</formula>
    </cfRule>
    <cfRule type="cellIs" dxfId="130" priority="810" operator="equal">
      <formula>"S"</formula>
    </cfRule>
    <cfRule type="cellIs" dxfId="129" priority="811" operator="equal">
      <formula>"L"</formula>
    </cfRule>
    <cfRule type="cellIs" dxfId="128" priority="812" operator="equal">
      <formula>"HL"</formula>
    </cfRule>
  </conditionalFormatting>
  <conditionalFormatting sqref="J185:K189">
    <cfRule type="cellIs" dxfId="127" priority="313" operator="equal">
      <formula>"H"</formula>
    </cfRule>
    <cfRule type="cellIs" dxfId="126" priority="314" operator="equal">
      <formula>"S"</formula>
    </cfRule>
    <cfRule type="cellIs" dxfId="125" priority="315" operator="equal">
      <formula>"L"</formula>
    </cfRule>
    <cfRule type="cellIs" dxfId="124" priority="316" operator="equal">
      <formula>"HL"</formula>
    </cfRule>
  </conditionalFormatting>
  <conditionalFormatting sqref="J194:K199">
    <cfRule type="cellIs" dxfId="123" priority="197" operator="equal">
      <formula>"H"</formula>
    </cfRule>
    <cfRule type="cellIs" dxfId="122" priority="198" operator="equal">
      <formula>"S"</formula>
    </cfRule>
    <cfRule type="cellIs" dxfId="121" priority="199" operator="equal">
      <formula>"L"</formula>
    </cfRule>
    <cfRule type="cellIs" dxfId="120" priority="200" operator="equal">
      <formula>"HL"</formula>
    </cfRule>
  </conditionalFormatting>
  <conditionalFormatting sqref="J59:M67">
    <cfRule type="cellIs" dxfId="119" priority="653" operator="equal">
      <formula>"H"</formula>
    </cfRule>
    <cfRule type="cellIs" dxfId="118" priority="654" operator="equal">
      <formula>"S"</formula>
    </cfRule>
    <cfRule type="cellIs" dxfId="117" priority="655" operator="equal">
      <formula>"L"</formula>
    </cfRule>
    <cfRule type="cellIs" dxfId="116" priority="656" operator="equal">
      <formula>"HL"</formula>
    </cfRule>
  </conditionalFormatting>
  <conditionalFormatting sqref="K174:L179">
    <cfRule type="cellIs" dxfId="115" priority="285" operator="equal">
      <formula>"H"</formula>
    </cfRule>
    <cfRule type="cellIs" dxfId="114" priority="286" operator="equal">
      <formula>"S"</formula>
    </cfRule>
    <cfRule type="cellIs" dxfId="113" priority="287" operator="equal">
      <formula>"L"</formula>
    </cfRule>
    <cfRule type="cellIs" dxfId="112" priority="288" operator="equal">
      <formula>"HL"</formula>
    </cfRule>
  </conditionalFormatting>
  <conditionalFormatting sqref="L46:O54">
    <cfRule type="cellIs" dxfId="111" priority="689" operator="equal">
      <formula>"H"</formula>
    </cfRule>
    <cfRule type="cellIs" dxfId="110" priority="690" operator="equal">
      <formula>"S"</formula>
    </cfRule>
    <cfRule type="cellIs" dxfId="109" priority="691" operator="equal">
      <formula>"L"</formula>
    </cfRule>
    <cfRule type="cellIs" dxfId="108" priority="692" operator="equal">
      <formula>"HL"</formula>
    </cfRule>
  </conditionalFormatting>
  <conditionalFormatting sqref="M194:N199">
    <cfRule type="cellIs" dxfId="107" priority="101" operator="equal">
      <formula>"H"</formula>
    </cfRule>
    <cfRule type="cellIs" dxfId="106" priority="102" operator="equal">
      <formula>"S"</formula>
    </cfRule>
    <cfRule type="cellIs" dxfId="105" priority="103" operator="equal">
      <formula>"L"</formula>
    </cfRule>
    <cfRule type="cellIs" dxfId="104" priority="104" operator="equal">
      <formula>"HL"</formula>
    </cfRule>
  </conditionalFormatting>
  <conditionalFormatting sqref="O184:P189">
    <cfRule type="cellIs" dxfId="103" priority="237" operator="equal">
      <formula>"H"</formula>
    </cfRule>
    <cfRule type="cellIs" dxfId="102" priority="238" operator="equal">
      <formula>"S"</formula>
    </cfRule>
    <cfRule type="cellIs" dxfId="101" priority="239" operator="equal">
      <formula>"L"</formula>
    </cfRule>
    <cfRule type="cellIs" dxfId="100" priority="240" operator="equal">
      <formula>"HL"</formula>
    </cfRule>
  </conditionalFormatting>
  <conditionalFormatting sqref="O33:R41">
    <cfRule type="cellIs" dxfId="99" priority="785" operator="equal">
      <formula>"H"</formula>
    </cfRule>
    <cfRule type="cellIs" dxfId="98" priority="786" operator="equal">
      <formula>"S"</formula>
    </cfRule>
    <cfRule type="cellIs" dxfId="97" priority="787" operator="equal">
      <formula>"L"</formula>
    </cfRule>
    <cfRule type="cellIs" dxfId="96" priority="788" operator="equal">
      <formula>"HL"</formula>
    </cfRule>
  </conditionalFormatting>
  <conditionalFormatting sqref="P154:R159">
    <cfRule type="cellIs" dxfId="95" priority="389" operator="equal">
      <formula>"H"</formula>
    </cfRule>
    <cfRule type="cellIs" dxfId="94" priority="390" operator="equal">
      <formula>"S"</formula>
    </cfRule>
    <cfRule type="cellIs" dxfId="93" priority="391" operator="equal">
      <formula>"L"</formula>
    </cfRule>
    <cfRule type="cellIs" dxfId="92" priority="392" operator="equal">
      <formula>"HL"</formula>
    </cfRule>
  </conditionalFormatting>
  <conditionalFormatting sqref="Q194:R199">
    <cfRule type="cellIs" dxfId="91" priority="193" operator="equal">
      <formula>"H"</formula>
    </cfRule>
    <cfRule type="cellIs" dxfId="90" priority="194" operator="equal">
      <formula>"S"</formula>
    </cfRule>
    <cfRule type="cellIs" dxfId="89" priority="195" operator="equal">
      <formula>"L"</formula>
    </cfRule>
    <cfRule type="cellIs" dxfId="88" priority="196" operator="equal">
      <formula>"HL"</formula>
    </cfRule>
  </conditionalFormatting>
  <conditionalFormatting sqref="Q59:T67">
    <cfRule type="cellIs" dxfId="87" priority="645" operator="equal">
      <formula>"H"</formula>
    </cfRule>
    <cfRule type="cellIs" dxfId="86" priority="646" operator="equal">
      <formula>"S"</formula>
    </cfRule>
    <cfRule type="cellIs" dxfId="85" priority="647" operator="equal">
      <formula>"L"</formula>
    </cfRule>
    <cfRule type="cellIs" dxfId="84" priority="648" operator="equal">
      <formula>"HL"</formula>
    </cfRule>
  </conditionalFormatting>
  <conditionalFormatting sqref="R174:S179">
    <cfRule type="cellIs" dxfId="83" priority="277" operator="equal">
      <formula>"H"</formula>
    </cfRule>
    <cfRule type="cellIs" dxfId="82" priority="278" operator="equal">
      <formula>"S"</formula>
    </cfRule>
    <cfRule type="cellIs" dxfId="81" priority="279" operator="equal">
      <formula>"L"</formula>
    </cfRule>
    <cfRule type="cellIs" dxfId="80" priority="280" operator="equal">
      <formula>"HL"</formula>
    </cfRule>
  </conditionalFormatting>
  <conditionalFormatting sqref="S46:V54">
    <cfRule type="cellIs" dxfId="79" priority="677" operator="equal">
      <formula>"H"</formula>
    </cfRule>
    <cfRule type="cellIs" dxfId="78" priority="678" operator="equal">
      <formula>"S"</formula>
    </cfRule>
    <cfRule type="cellIs" dxfId="77" priority="679" operator="equal">
      <formula>"L"</formula>
    </cfRule>
    <cfRule type="cellIs" dxfId="76" priority="680" operator="equal">
      <formula>"HL"</formula>
    </cfRule>
  </conditionalFormatting>
  <conditionalFormatting sqref="T194:U199">
    <cfRule type="cellIs" dxfId="75" priority="81" operator="equal">
      <formula>"H"</formula>
    </cfRule>
    <cfRule type="cellIs" dxfId="74" priority="82" operator="equal">
      <formula>"S"</formula>
    </cfRule>
    <cfRule type="cellIs" dxfId="73" priority="83" operator="equal">
      <formula>"L"</formula>
    </cfRule>
    <cfRule type="cellIs" dxfId="72" priority="84" operator="equal">
      <formula>"HL"</formula>
    </cfRule>
  </conditionalFormatting>
  <conditionalFormatting sqref="V33:X41">
    <cfRule type="cellIs" dxfId="71" priority="753" operator="equal">
      <formula>"H"</formula>
    </cfRule>
    <cfRule type="cellIs" dxfId="70" priority="754" operator="equal">
      <formula>"S"</formula>
    </cfRule>
    <cfRule type="cellIs" dxfId="69" priority="755" operator="equal">
      <formula>"L"</formula>
    </cfRule>
    <cfRule type="cellIs" dxfId="68" priority="756" operator="equal">
      <formula>"HL"</formula>
    </cfRule>
  </conditionalFormatting>
  <conditionalFormatting sqref="V184:Y189">
    <cfRule type="cellIs" dxfId="67" priority="225" operator="equal">
      <formula>"H"</formula>
    </cfRule>
    <cfRule type="cellIs" dxfId="66" priority="226" operator="equal">
      <formula>"S"</formula>
    </cfRule>
    <cfRule type="cellIs" dxfId="65" priority="227" operator="equal">
      <formula>"L"</formula>
    </cfRule>
    <cfRule type="cellIs" dxfId="64" priority="228" operator="equal">
      <formula>"HL"</formula>
    </cfRule>
  </conditionalFormatting>
  <conditionalFormatting sqref="W154:Y159">
    <cfRule type="cellIs" dxfId="63" priority="385" operator="equal">
      <formula>"H"</formula>
    </cfRule>
    <cfRule type="cellIs" dxfId="62" priority="386" operator="equal">
      <formula>"S"</formula>
    </cfRule>
    <cfRule type="cellIs" dxfId="61" priority="387" operator="equal">
      <formula>"L"</formula>
    </cfRule>
    <cfRule type="cellIs" dxfId="60" priority="388" operator="equal">
      <formula>"HL"</formula>
    </cfRule>
  </conditionalFormatting>
  <conditionalFormatting sqref="X19:Y29">
    <cfRule type="cellIs" dxfId="59" priority="845" operator="equal">
      <formula>"H"</formula>
    </cfRule>
    <cfRule type="cellIs" dxfId="58" priority="846" operator="equal">
      <formula>"S"</formula>
    </cfRule>
    <cfRule type="cellIs" dxfId="57" priority="847" operator="equal">
      <formula>"L"</formula>
    </cfRule>
    <cfRule type="cellIs" dxfId="56" priority="848" operator="equal">
      <formula>"HL"</formula>
    </cfRule>
  </conditionalFormatting>
  <conditionalFormatting sqref="X33:Y42">
    <cfRule type="cellIs" dxfId="55" priority="781" operator="equal">
      <formula>"H"</formula>
    </cfRule>
    <cfRule type="cellIs" dxfId="54" priority="782" operator="equal">
      <formula>"S"</formula>
    </cfRule>
    <cfRule type="cellIs" dxfId="53" priority="783" operator="equal">
      <formula>"L"</formula>
    </cfRule>
    <cfRule type="cellIs" dxfId="52" priority="784" operator="equal">
      <formula>"HL"</formula>
    </cfRule>
  </conditionalFormatting>
  <conditionalFormatting sqref="X194:Y199">
    <cfRule type="cellIs" dxfId="51" priority="189" operator="equal">
      <formula>"H"</formula>
    </cfRule>
    <cfRule type="cellIs" dxfId="50" priority="190" operator="equal">
      <formula>"S"</formula>
    </cfRule>
    <cfRule type="cellIs" dxfId="49" priority="191" operator="equal">
      <formula>"L"</formula>
    </cfRule>
    <cfRule type="cellIs" dxfId="48" priority="192" operator="equal">
      <formula>"HL"</formula>
    </cfRule>
  </conditionalFormatting>
  <conditionalFormatting sqref="X59:AA67">
    <cfRule type="cellIs" dxfId="47" priority="637" operator="equal">
      <formula>"H"</formula>
    </cfRule>
    <cfRule type="cellIs" dxfId="46" priority="638" operator="equal">
      <formula>"S"</formula>
    </cfRule>
    <cfRule type="cellIs" dxfId="45" priority="639" operator="equal">
      <formula>"L"</formula>
    </cfRule>
    <cfRule type="cellIs" dxfId="44" priority="640" operator="equal">
      <formula>"HL"</formula>
    </cfRule>
  </conditionalFormatting>
  <conditionalFormatting sqref="Y174:Z179">
    <cfRule type="cellIs" dxfId="43" priority="269" operator="equal">
      <formula>"H"</formula>
    </cfRule>
    <cfRule type="cellIs" dxfId="42" priority="270" operator="equal">
      <formula>"S"</formula>
    </cfRule>
    <cfRule type="cellIs" dxfId="41" priority="271" operator="equal">
      <formula>"L"</formula>
    </cfRule>
    <cfRule type="cellIs" dxfId="40" priority="272" operator="equal">
      <formula>"HL"</formula>
    </cfRule>
  </conditionalFormatting>
  <conditionalFormatting sqref="Z46:AC54">
    <cfRule type="cellIs" dxfId="39" priority="665" operator="equal">
      <formula>"H"</formula>
    </cfRule>
    <cfRule type="cellIs" dxfId="38" priority="666" operator="equal">
      <formula>"S"</formula>
    </cfRule>
    <cfRule type="cellIs" dxfId="37" priority="667" operator="equal">
      <formula>"L"</formula>
    </cfRule>
    <cfRule type="cellIs" dxfId="36" priority="668" operator="equal">
      <formula>"HL"</formula>
    </cfRule>
  </conditionalFormatting>
  <conditionalFormatting sqref="AA194:AB199">
    <cfRule type="cellIs" dxfId="35" priority="61" operator="equal">
      <formula>"H"</formula>
    </cfRule>
    <cfRule type="cellIs" dxfId="34" priority="62" operator="equal">
      <formula>"S"</formula>
    </cfRule>
    <cfRule type="cellIs" dxfId="33" priority="63" operator="equal">
      <formula>"L"</formula>
    </cfRule>
    <cfRule type="cellIs" dxfId="32" priority="64" operator="equal">
      <formula>"HL"</formula>
    </cfRule>
  </conditionalFormatting>
  <conditionalFormatting sqref="AC33:AD41">
    <cfRule type="cellIs" dxfId="31" priority="765" operator="equal">
      <formula>"H"</formula>
    </cfRule>
    <cfRule type="cellIs" dxfId="30" priority="766" operator="equal">
      <formula>"S"</formula>
    </cfRule>
    <cfRule type="cellIs" dxfId="29" priority="767" operator="equal">
      <formula>"L"</formula>
    </cfRule>
    <cfRule type="cellIs" dxfId="28" priority="768" operator="equal">
      <formula>"HL"</formula>
    </cfRule>
  </conditionalFormatting>
  <conditionalFormatting sqref="AC154:AF159">
    <cfRule type="cellIs" dxfId="27" priority="377" operator="equal">
      <formula>"H"</formula>
    </cfRule>
    <cfRule type="cellIs" dxfId="26" priority="378" operator="equal">
      <formula>"S"</formula>
    </cfRule>
    <cfRule type="cellIs" dxfId="25" priority="379" operator="equal">
      <formula>"L"</formula>
    </cfRule>
    <cfRule type="cellIs" dxfId="24" priority="380" operator="equal">
      <formula>"HL"</formula>
    </cfRule>
  </conditionalFormatting>
  <conditionalFormatting sqref="AC184:AF189">
    <cfRule type="cellIs" dxfId="23" priority="213" operator="equal">
      <formula>"H"</formula>
    </cfRule>
    <cfRule type="cellIs" dxfId="22" priority="214" operator="equal">
      <formula>"S"</formula>
    </cfRule>
    <cfRule type="cellIs" dxfId="21" priority="215" operator="equal">
      <formula>"L"</formula>
    </cfRule>
    <cfRule type="cellIs" dxfId="20" priority="216" operator="equal">
      <formula>"HL"</formula>
    </cfRule>
  </conditionalFormatting>
  <conditionalFormatting sqref="AE19:AF29">
    <cfRule type="cellIs" dxfId="19" priority="841" operator="equal">
      <formula>"H"</formula>
    </cfRule>
    <cfRule type="cellIs" dxfId="18" priority="842" operator="equal">
      <formula>"S"</formula>
    </cfRule>
    <cfRule type="cellIs" dxfId="17" priority="843" operator="equal">
      <formula>"L"</formula>
    </cfRule>
    <cfRule type="cellIs" dxfId="16" priority="844" operator="equal">
      <formula>"HL"</formula>
    </cfRule>
  </conditionalFormatting>
  <conditionalFormatting sqref="AE33:AF42">
    <cfRule type="cellIs" dxfId="15" priority="769" operator="equal">
      <formula>"H"</formula>
    </cfRule>
    <cfRule type="cellIs" dxfId="14" priority="770" operator="equal">
      <formula>"S"</formula>
    </cfRule>
    <cfRule type="cellIs" dxfId="13" priority="771" operator="equal">
      <formula>"L"</formula>
    </cfRule>
    <cfRule type="cellIs" dxfId="12" priority="772" operator="equal">
      <formula>"HL"</formula>
    </cfRule>
  </conditionalFormatting>
  <conditionalFormatting sqref="AF46:AF54">
    <cfRule type="cellIs" dxfId="11" priority="725" operator="equal">
      <formula>"H"</formula>
    </cfRule>
    <cfRule type="cellIs" dxfId="10" priority="726" operator="equal">
      <formula>"S"</formula>
    </cfRule>
    <cfRule type="cellIs" dxfId="9" priority="727" operator="equal">
      <formula>"L"</formula>
    </cfRule>
    <cfRule type="cellIs" dxfId="8" priority="728" operator="equal">
      <formula>"HL"</formula>
    </cfRule>
  </conditionalFormatting>
  <conditionalFormatting sqref="AF194:AF199">
    <cfRule type="cellIs" dxfId="7" priority="185" operator="equal">
      <formula>"H"</formula>
    </cfRule>
    <cfRule type="cellIs" dxfId="6" priority="186" operator="equal">
      <formula>"S"</formula>
    </cfRule>
    <cfRule type="cellIs" dxfId="5" priority="187" operator="equal">
      <formula>"L"</formula>
    </cfRule>
    <cfRule type="cellIs" dxfId="4" priority="188" operator="equal">
      <formula>"HL"</formula>
    </cfRule>
  </conditionalFormatting>
  <conditionalFormatting sqref="AF174:AG179">
    <cfRule type="cellIs" dxfId="3" priority="261" operator="equal">
      <formula>"H"</formula>
    </cfRule>
    <cfRule type="cellIs" dxfId="2" priority="262" operator="equal">
      <formula>"S"</formula>
    </cfRule>
    <cfRule type="cellIs" dxfId="1" priority="263" operator="equal">
      <formula>"L"</formula>
    </cfRule>
    <cfRule type="cellIs" dxfId="0" priority="264" operator="equal">
      <formula>"HL"</formula>
    </cfRule>
  </conditionalFormatting>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2:L77"/>
  <sheetViews>
    <sheetView view="pageBreakPreview" topLeftCell="A38" zoomScale="85" zoomScaleNormal="85" zoomScaleSheetLayoutView="85" workbookViewId="0">
      <selection activeCell="A38" sqref="A38"/>
    </sheetView>
  </sheetViews>
  <sheetFormatPr defaultColWidth="9" defaultRowHeight="20.100000000000001" customHeight="1" x14ac:dyDescent="0.4"/>
  <cols>
    <col min="1" max="1" width="4.5" style="1" customWidth="1"/>
    <col min="2" max="2" width="9" style="1"/>
    <col min="3" max="3" width="27.25" style="1" bestFit="1" customWidth="1"/>
    <col min="4" max="4" width="31.25" style="1" bestFit="1" customWidth="1"/>
    <col min="5" max="5" width="11.625" style="1" bestFit="1" customWidth="1"/>
    <col min="6" max="7" width="9" style="1"/>
    <col min="8" max="8" width="11.125" style="1" customWidth="1"/>
    <col min="9" max="9" width="28.125" style="1" customWidth="1"/>
    <col min="10" max="16384" width="9" style="1"/>
  </cols>
  <sheetData>
    <row r="2" spans="2:12" s="201" customFormat="1" ht="20.100000000000001" customHeight="1" x14ac:dyDescent="0.4">
      <c r="B2" s="38" t="s">
        <v>561</v>
      </c>
      <c r="C2" s="33"/>
      <c r="D2" s="34"/>
      <c r="G2" s="38" t="s">
        <v>562</v>
      </c>
      <c r="H2" s="33"/>
      <c r="I2" s="34"/>
    </row>
    <row r="3" spans="2:12" s="201" customFormat="1" ht="20.100000000000001" customHeight="1" x14ac:dyDescent="0.4">
      <c r="B3" s="35" t="s">
        <v>49</v>
      </c>
      <c r="C3" s="36">
        <v>45658</v>
      </c>
      <c r="D3" s="200" t="s">
        <v>563</v>
      </c>
      <c r="G3" s="2" t="s">
        <v>113</v>
      </c>
      <c r="H3" s="36">
        <v>45658</v>
      </c>
      <c r="I3" s="37" t="s">
        <v>50</v>
      </c>
      <c r="K3" s="279"/>
      <c r="L3" s="279"/>
    </row>
    <row r="4" spans="2:12" s="201" customFormat="1" ht="20.100000000000001" customHeight="1" x14ac:dyDescent="0.4">
      <c r="B4" s="35"/>
      <c r="C4" s="36">
        <v>45661</v>
      </c>
      <c r="D4" s="200" t="s">
        <v>332</v>
      </c>
      <c r="G4" s="2"/>
      <c r="H4" s="36">
        <v>45659</v>
      </c>
      <c r="I4" s="37" t="s">
        <v>50</v>
      </c>
      <c r="K4" s="279"/>
      <c r="L4" s="279"/>
    </row>
    <row r="5" spans="2:12" s="201" customFormat="1" ht="20.100000000000001" customHeight="1" x14ac:dyDescent="0.4">
      <c r="B5" s="35"/>
      <c r="C5" s="36">
        <v>45686</v>
      </c>
      <c r="D5" s="200" t="s">
        <v>564</v>
      </c>
      <c r="H5" s="36">
        <v>45660</v>
      </c>
      <c r="I5" s="37" t="s">
        <v>50</v>
      </c>
      <c r="K5" s="279"/>
      <c r="L5" s="279"/>
    </row>
    <row r="6" spans="2:12" s="201" customFormat="1" ht="20.100000000000001" customHeight="1" x14ac:dyDescent="0.4">
      <c r="B6" s="35" t="s">
        <v>51</v>
      </c>
      <c r="C6" s="36">
        <v>45700</v>
      </c>
      <c r="D6" s="200" t="s">
        <v>52</v>
      </c>
      <c r="H6" s="36">
        <v>45670</v>
      </c>
      <c r="I6" s="37" t="s">
        <v>114</v>
      </c>
      <c r="K6" s="279"/>
      <c r="L6" s="279"/>
    </row>
    <row r="7" spans="2:12" s="201" customFormat="1" ht="20.100000000000001" customHeight="1" x14ac:dyDescent="0.4">
      <c r="B7" s="35" t="s">
        <v>53</v>
      </c>
      <c r="C7" s="36">
        <v>45718</v>
      </c>
      <c r="D7" s="200" t="s">
        <v>568</v>
      </c>
      <c r="G7" s="2" t="s">
        <v>117</v>
      </c>
      <c r="H7" s="36">
        <v>45699</v>
      </c>
      <c r="I7" s="37" t="s">
        <v>175</v>
      </c>
      <c r="K7" s="279"/>
      <c r="L7" s="279"/>
    </row>
    <row r="8" spans="2:12" s="201" customFormat="1" ht="20.100000000000001" customHeight="1" x14ac:dyDescent="0.4">
      <c r="B8" s="35"/>
      <c r="C8" s="36">
        <v>45728</v>
      </c>
      <c r="D8" s="37" t="s">
        <v>342</v>
      </c>
      <c r="H8" s="36">
        <v>45711</v>
      </c>
      <c r="I8" s="201" t="s">
        <v>115</v>
      </c>
      <c r="K8" s="279"/>
      <c r="L8" s="279"/>
    </row>
    <row r="9" spans="2:12" s="201" customFormat="1" ht="20.100000000000001" customHeight="1" x14ac:dyDescent="0.4">
      <c r="C9" s="36">
        <v>45729</v>
      </c>
      <c r="D9" s="200" t="s">
        <v>334</v>
      </c>
      <c r="G9" s="2"/>
      <c r="H9" s="36">
        <v>45712</v>
      </c>
      <c r="I9" s="37" t="s">
        <v>342</v>
      </c>
      <c r="K9" s="279"/>
      <c r="L9" s="279"/>
    </row>
    <row r="10" spans="2:12" s="201" customFormat="1" ht="20.100000000000001" customHeight="1" x14ac:dyDescent="0.4">
      <c r="C10" s="36">
        <v>45730</v>
      </c>
      <c r="D10" s="37" t="s">
        <v>342</v>
      </c>
      <c r="G10" s="2" t="s">
        <v>116</v>
      </c>
      <c r="H10" s="36">
        <v>45736</v>
      </c>
      <c r="I10" s="201" t="s">
        <v>118</v>
      </c>
      <c r="K10" s="279"/>
      <c r="L10" s="279"/>
    </row>
    <row r="11" spans="2:12" s="201" customFormat="1" ht="20.100000000000001" customHeight="1" x14ac:dyDescent="0.4">
      <c r="C11" s="36">
        <v>45743</v>
      </c>
      <c r="D11" s="200" t="s">
        <v>54</v>
      </c>
      <c r="G11" s="2" t="s">
        <v>119</v>
      </c>
      <c r="H11" s="36">
        <v>45776</v>
      </c>
      <c r="I11" s="201" t="s">
        <v>120</v>
      </c>
      <c r="K11" s="279"/>
      <c r="L11" s="279"/>
    </row>
    <row r="12" spans="2:12" s="201" customFormat="1" ht="20.100000000000001" customHeight="1" x14ac:dyDescent="0.4">
      <c r="B12" s="35" t="s">
        <v>55</v>
      </c>
      <c r="C12" s="36">
        <v>45760</v>
      </c>
      <c r="D12" s="200" t="s">
        <v>335</v>
      </c>
      <c r="G12" s="2" t="s">
        <v>121</v>
      </c>
      <c r="H12" s="36">
        <v>45780</v>
      </c>
      <c r="I12" s="201" t="s">
        <v>122</v>
      </c>
      <c r="K12" s="279"/>
      <c r="L12" s="279"/>
    </row>
    <row r="13" spans="2:12" s="201" customFormat="1" ht="20.100000000000001" customHeight="1" x14ac:dyDescent="0.4">
      <c r="C13" s="36">
        <v>45761</v>
      </c>
      <c r="D13" s="200" t="s">
        <v>335</v>
      </c>
      <c r="G13" s="2"/>
      <c r="H13" s="36">
        <v>45781</v>
      </c>
      <c r="I13" s="201" t="s">
        <v>123</v>
      </c>
      <c r="K13" s="279"/>
      <c r="L13" s="279"/>
    </row>
    <row r="14" spans="2:12" s="201" customFormat="1" ht="20.100000000000001" customHeight="1" x14ac:dyDescent="0.4">
      <c r="C14" s="36">
        <v>45762</v>
      </c>
      <c r="D14" s="200" t="s">
        <v>335</v>
      </c>
      <c r="G14" s="2"/>
      <c r="H14" s="36">
        <v>45782</v>
      </c>
      <c r="I14" s="201" t="s">
        <v>124</v>
      </c>
      <c r="K14" s="279"/>
      <c r="L14" s="279"/>
    </row>
    <row r="15" spans="2:12" s="201" customFormat="1" ht="20.100000000000001" customHeight="1" x14ac:dyDescent="0.4">
      <c r="C15" s="36">
        <v>45763</v>
      </c>
      <c r="D15" s="200" t="s">
        <v>335</v>
      </c>
      <c r="H15" s="36">
        <v>45783</v>
      </c>
      <c r="I15" s="37" t="s">
        <v>342</v>
      </c>
      <c r="K15" s="279"/>
      <c r="L15" s="279"/>
    </row>
    <row r="16" spans="2:12" s="201" customFormat="1" ht="20.100000000000001" customHeight="1" x14ac:dyDescent="0.4">
      <c r="C16" s="36">
        <v>45764</v>
      </c>
      <c r="D16" s="200" t="s">
        <v>335</v>
      </c>
      <c r="G16" s="2" t="s">
        <v>125</v>
      </c>
      <c r="H16" s="36">
        <v>45859</v>
      </c>
      <c r="I16" s="201" t="s">
        <v>126</v>
      </c>
      <c r="K16" s="279"/>
      <c r="L16" s="279"/>
    </row>
    <row r="17" spans="2:12" s="201" customFormat="1" ht="20.100000000000001" customHeight="1" x14ac:dyDescent="0.4">
      <c r="C17" s="36">
        <v>45765</v>
      </c>
      <c r="D17" s="200" t="s">
        <v>335</v>
      </c>
      <c r="G17" s="2" t="s">
        <v>127</v>
      </c>
      <c r="H17" s="36">
        <v>45880</v>
      </c>
      <c r="I17" s="201" t="s">
        <v>128</v>
      </c>
      <c r="K17" s="279"/>
      <c r="L17" s="279"/>
    </row>
    <row r="18" spans="2:12" s="201" customFormat="1" ht="20.100000000000001" customHeight="1" x14ac:dyDescent="0.4">
      <c r="C18" s="36">
        <v>45766</v>
      </c>
      <c r="D18" s="200" t="s">
        <v>335</v>
      </c>
      <c r="G18" s="2" t="s">
        <v>129</v>
      </c>
      <c r="H18" s="36">
        <v>45915</v>
      </c>
      <c r="I18" s="201" t="s">
        <v>130</v>
      </c>
      <c r="K18" s="279"/>
      <c r="L18" s="279"/>
    </row>
    <row r="19" spans="2:12" s="201" customFormat="1" ht="20.100000000000001" customHeight="1" x14ac:dyDescent="0.4">
      <c r="C19" s="36">
        <v>45767</v>
      </c>
      <c r="D19" s="200" t="s">
        <v>335</v>
      </c>
      <c r="G19" s="2"/>
      <c r="H19" s="36">
        <v>45923</v>
      </c>
      <c r="I19" s="201" t="s">
        <v>131</v>
      </c>
      <c r="K19" s="279"/>
      <c r="L19" s="279"/>
    </row>
    <row r="20" spans="2:12" s="201" customFormat="1" ht="20.100000000000001" customHeight="1" x14ac:dyDescent="0.4">
      <c r="C20" s="36">
        <v>45768</v>
      </c>
      <c r="D20" s="200" t="s">
        <v>335</v>
      </c>
      <c r="G20" s="35" t="s">
        <v>58</v>
      </c>
      <c r="H20" s="36">
        <v>45943</v>
      </c>
      <c r="I20" s="37" t="s">
        <v>162</v>
      </c>
      <c r="K20" s="279"/>
      <c r="L20" s="279"/>
    </row>
    <row r="21" spans="2:12" s="201" customFormat="1" ht="20.100000000000001" customHeight="1" x14ac:dyDescent="0.4">
      <c r="B21" s="35" t="s">
        <v>56</v>
      </c>
      <c r="C21" s="36">
        <v>45778</v>
      </c>
      <c r="D21" s="279" t="s">
        <v>565</v>
      </c>
      <c r="G21" s="35" t="s">
        <v>132</v>
      </c>
      <c r="H21" s="36">
        <v>45964</v>
      </c>
      <c r="I21" s="37" t="s">
        <v>133</v>
      </c>
      <c r="K21" s="279"/>
      <c r="L21" s="279"/>
    </row>
    <row r="22" spans="2:12" s="201" customFormat="1" ht="20.100000000000001" customHeight="1" x14ac:dyDescent="0.4">
      <c r="C22" s="36">
        <v>45788</v>
      </c>
      <c r="D22" s="200" t="s">
        <v>336</v>
      </c>
      <c r="H22" s="36">
        <v>45984</v>
      </c>
      <c r="I22" s="201" t="s">
        <v>134</v>
      </c>
      <c r="K22" s="279"/>
      <c r="L22" s="279"/>
    </row>
    <row r="23" spans="2:12" s="201" customFormat="1" ht="20.100000000000001" customHeight="1" x14ac:dyDescent="0.4">
      <c r="B23" s="35" t="s">
        <v>566</v>
      </c>
      <c r="C23" s="36">
        <v>45815</v>
      </c>
      <c r="D23" s="279" t="s">
        <v>567</v>
      </c>
      <c r="G23" s="2"/>
      <c r="H23" s="36">
        <v>45985</v>
      </c>
      <c r="I23" s="37" t="s">
        <v>342</v>
      </c>
      <c r="K23" s="279"/>
      <c r="L23" s="279"/>
    </row>
    <row r="24" spans="2:12" s="201" customFormat="1" ht="20.100000000000001" customHeight="1" x14ac:dyDescent="0.4">
      <c r="B24" s="35" t="s">
        <v>57</v>
      </c>
      <c r="C24" s="36">
        <v>45847</v>
      </c>
      <c r="D24" s="200" t="s">
        <v>338</v>
      </c>
      <c r="G24" s="2" t="s">
        <v>148</v>
      </c>
      <c r="H24" s="36">
        <v>46022</v>
      </c>
      <c r="I24" s="201" t="s">
        <v>149</v>
      </c>
      <c r="K24" s="279"/>
      <c r="L24" s="279"/>
    </row>
    <row r="25" spans="2:12" s="201" customFormat="1" ht="20.100000000000001" customHeight="1" x14ac:dyDescent="0.4">
      <c r="C25" s="36">
        <v>45857</v>
      </c>
      <c r="D25" s="200" t="s">
        <v>337</v>
      </c>
      <c r="K25" s="279"/>
      <c r="L25" s="279"/>
    </row>
    <row r="26" spans="2:12" s="201" customFormat="1" ht="20.100000000000001" customHeight="1" x14ac:dyDescent="0.4">
      <c r="B26" s="35" t="s">
        <v>58</v>
      </c>
      <c r="C26" s="36">
        <v>45935</v>
      </c>
      <c r="D26" s="200" t="s">
        <v>339</v>
      </c>
      <c r="K26" s="279"/>
      <c r="L26" s="279"/>
    </row>
    <row r="27" spans="2:12" s="201" customFormat="1" ht="20.100000000000001" customHeight="1" x14ac:dyDescent="0.4">
      <c r="C27" s="36">
        <v>45936</v>
      </c>
      <c r="D27" s="200" t="s">
        <v>339</v>
      </c>
      <c r="G27" s="2"/>
      <c r="H27" s="36"/>
      <c r="K27" s="279"/>
      <c r="L27" s="279"/>
    </row>
    <row r="28" spans="2:12" s="201" customFormat="1" ht="20.100000000000001" customHeight="1" x14ac:dyDescent="0.4">
      <c r="C28" s="36">
        <v>45937</v>
      </c>
      <c r="D28" s="200" t="s">
        <v>339</v>
      </c>
      <c r="G28" s="2"/>
      <c r="H28" s="36"/>
      <c r="K28" s="279"/>
      <c r="L28" s="279"/>
    </row>
    <row r="29" spans="2:12" s="201" customFormat="1" ht="20.100000000000001" customHeight="1" x14ac:dyDescent="0.4">
      <c r="C29" s="36">
        <v>45950</v>
      </c>
      <c r="D29" s="200" t="s">
        <v>340</v>
      </c>
      <c r="G29" s="35"/>
      <c r="H29" s="36"/>
      <c r="I29" s="200"/>
      <c r="K29" s="279"/>
      <c r="L29" s="279"/>
    </row>
    <row r="30" spans="2:12" s="201" customFormat="1" ht="20.100000000000001" customHeight="1" x14ac:dyDescent="0.4">
      <c r="B30" s="35" t="s">
        <v>59</v>
      </c>
      <c r="C30" s="36">
        <v>45964</v>
      </c>
      <c r="D30" s="200" t="s">
        <v>570</v>
      </c>
      <c r="H30" s="36"/>
      <c r="I30" s="200"/>
      <c r="K30" s="279"/>
      <c r="L30" s="279"/>
    </row>
    <row r="31" spans="2:12" s="201" customFormat="1" ht="20.100000000000001" customHeight="1" x14ac:dyDescent="0.4">
      <c r="C31" s="36">
        <v>45965</v>
      </c>
      <c r="D31" s="200" t="s">
        <v>569</v>
      </c>
      <c r="G31" s="35"/>
      <c r="H31" s="36"/>
      <c r="I31" s="200"/>
      <c r="K31" s="279"/>
      <c r="L31" s="279"/>
    </row>
    <row r="32" spans="2:12" s="201" customFormat="1" ht="20.100000000000001" customHeight="1" x14ac:dyDescent="0.4">
      <c r="C32" s="36">
        <v>45975</v>
      </c>
      <c r="D32" s="200" t="s">
        <v>341</v>
      </c>
      <c r="H32" s="36"/>
      <c r="I32" s="200"/>
      <c r="K32" s="279"/>
      <c r="L32" s="279"/>
    </row>
    <row r="33" spans="2:12" s="201" customFormat="1" ht="20.100000000000001" customHeight="1" x14ac:dyDescent="0.4">
      <c r="B33" s="35" t="s">
        <v>60</v>
      </c>
      <c r="C33" s="36">
        <v>46010</v>
      </c>
      <c r="D33" s="200" t="s">
        <v>333</v>
      </c>
      <c r="K33" s="279"/>
      <c r="L33" s="279"/>
    </row>
    <row r="34" spans="2:12" s="201" customFormat="1" ht="20.100000000000001" customHeight="1" x14ac:dyDescent="0.4">
      <c r="C34" s="36">
        <v>46016</v>
      </c>
      <c r="D34" s="200" t="s">
        <v>572</v>
      </c>
      <c r="K34" s="279"/>
      <c r="L34" s="279"/>
    </row>
    <row r="35" spans="2:12" s="201" customFormat="1" ht="20.100000000000001" customHeight="1" x14ac:dyDescent="0.4">
      <c r="C35" s="36">
        <v>46017</v>
      </c>
      <c r="D35" s="200" t="s">
        <v>571</v>
      </c>
      <c r="K35" s="279"/>
      <c r="L35" s="279"/>
    </row>
    <row r="36" spans="2:12" s="201" customFormat="1" ht="20.100000000000001" customHeight="1" x14ac:dyDescent="0.4"/>
    <row r="37" spans="2:12" s="201" customFormat="1" ht="20.100000000000001" customHeight="1" x14ac:dyDescent="0.4"/>
    <row r="38" spans="2:12" s="201" customFormat="1" ht="20.100000000000001" customHeight="1" x14ac:dyDescent="0.4">
      <c r="B38" s="38" t="s">
        <v>799</v>
      </c>
      <c r="C38" s="33"/>
      <c r="D38" s="34"/>
      <c r="G38" s="38" t="s">
        <v>798</v>
      </c>
      <c r="H38" s="33"/>
      <c r="I38" s="34"/>
    </row>
    <row r="39" spans="2:12" s="201" customFormat="1" ht="20.100000000000001" customHeight="1" x14ac:dyDescent="0.4">
      <c r="B39" s="35" t="s">
        <v>49</v>
      </c>
      <c r="C39" s="36">
        <v>46023</v>
      </c>
      <c r="D39" s="200" t="s">
        <v>563</v>
      </c>
      <c r="G39" s="2" t="s">
        <v>113</v>
      </c>
      <c r="H39" s="36">
        <v>46023</v>
      </c>
      <c r="I39" s="37" t="s">
        <v>50</v>
      </c>
      <c r="K39" s="279"/>
      <c r="L39" s="279"/>
    </row>
    <row r="40" spans="2:12" s="201" customFormat="1" ht="20.100000000000001" customHeight="1" x14ac:dyDescent="0.4">
      <c r="B40" s="35"/>
      <c r="C40" s="36">
        <v>46024</v>
      </c>
      <c r="D40" s="200" t="s">
        <v>563</v>
      </c>
      <c r="G40" s="2"/>
      <c r="H40" s="36">
        <v>46024</v>
      </c>
      <c r="I40" s="37" t="s">
        <v>50</v>
      </c>
      <c r="K40" s="279"/>
      <c r="L40" s="279"/>
    </row>
    <row r="41" spans="2:12" s="201" customFormat="1" ht="20.100000000000001" customHeight="1" x14ac:dyDescent="0.4">
      <c r="B41" s="35"/>
      <c r="C41" s="36">
        <v>46025</v>
      </c>
      <c r="D41" s="200" t="s">
        <v>342</v>
      </c>
      <c r="H41" s="36">
        <v>46025</v>
      </c>
      <c r="I41" s="37" t="s">
        <v>50</v>
      </c>
      <c r="K41" s="279"/>
      <c r="L41" s="279"/>
    </row>
    <row r="42" spans="2:12" s="201" customFormat="1" ht="20.100000000000001" customHeight="1" x14ac:dyDescent="0.4">
      <c r="B42" s="35"/>
      <c r="C42" s="36">
        <v>46026</v>
      </c>
      <c r="D42" s="200" t="s">
        <v>332</v>
      </c>
      <c r="H42" s="36">
        <v>46034</v>
      </c>
      <c r="I42" s="37" t="s">
        <v>114</v>
      </c>
      <c r="K42" s="279"/>
      <c r="L42" s="279"/>
    </row>
    <row r="43" spans="2:12" s="201" customFormat="1" ht="20.100000000000001" customHeight="1" x14ac:dyDescent="0.4">
      <c r="B43" s="35" t="s">
        <v>51</v>
      </c>
      <c r="C43" s="36">
        <v>46065</v>
      </c>
      <c r="D43" s="200" t="s">
        <v>823</v>
      </c>
      <c r="G43" s="2" t="s">
        <v>117</v>
      </c>
      <c r="H43" s="36">
        <v>46064</v>
      </c>
      <c r="I43" s="37" t="s">
        <v>175</v>
      </c>
      <c r="K43" s="279"/>
      <c r="L43" s="279"/>
    </row>
    <row r="44" spans="2:12" s="201" customFormat="1" ht="20.100000000000001" customHeight="1" x14ac:dyDescent="0.4">
      <c r="B44" s="35"/>
      <c r="C44" s="36">
        <v>46066</v>
      </c>
      <c r="D44" s="200" t="s">
        <v>824</v>
      </c>
      <c r="H44" s="36">
        <v>46076</v>
      </c>
      <c r="I44" s="201" t="s">
        <v>115</v>
      </c>
      <c r="K44" s="279"/>
      <c r="L44" s="279"/>
    </row>
    <row r="45" spans="2:12" s="201" customFormat="1" ht="20.100000000000001" customHeight="1" x14ac:dyDescent="0.4">
      <c r="B45" s="35"/>
      <c r="C45" s="36">
        <v>46069</v>
      </c>
      <c r="D45" s="200" t="s">
        <v>564</v>
      </c>
      <c r="G45" s="2" t="s">
        <v>116</v>
      </c>
      <c r="H45" s="36">
        <v>46101</v>
      </c>
      <c r="I45" s="201" t="s">
        <v>118</v>
      </c>
      <c r="K45" s="279"/>
      <c r="L45" s="279"/>
    </row>
    <row r="46" spans="2:12" s="201" customFormat="1" ht="20.100000000000001" customHeight="1" x14ac:dyDescent="0.4">
      <c r="B46" s="35"/>
      <c r="C46" s="36">
        <v>46070</v>
      </c>
      <c r="D46" s="200" t="s">
        <v>825</v>
      </c>
      <c r="G46" s="2" t="s">
        <v>119</v>
      </c>
      <c r="H46" s="36">
        <v>46141</v>
      </c>
      <c r="I46" s="201" t="s">
        <v>120</v>
      </c>
      <c r="K46" s="279"/>
      <c r="L46" s="279"/>
    </row>
    <row r="47" spans="2:12" s="201" customFormat="1" ht="20.100000000000001" customHeight="1" x14ac:dyDescent="0.4">
      <c r="B47" s="35" t="s">
        <v>53</v>
      </c>
      <c r="C47" s="36">
        <v>46083</v>
      </c>
      <c r="D47" s="200" t="s">
        <v>568</v>
      </c>
      <c r="G47" s="2" t="s">
        <v>121</v>
      </c>
      <c r="H47" s="36">
        <v>46145</v>
      </c>
      <c r="I47" s="201" t="s">
        <v>122</v>
      </c>
      <c r="K47" s="279"/>
      <c r="L47" s="279"/>
    </row>
    <row r="48" spans="2:12" s="201" customFormat="1" ht="20.100000000000001" customHeight="1" x14ac:dyDescent="0.4">
      <c r="C48" s="36">
        <v>46108</v>
      </c>
      <c r="D48" s="200" t="s">
        <v>54</v>
      </c>
      <c r="G48" s="2"/>
      <c r="H48" s="36">
        <v>46146</v>
      </c>
      <c r="I48" s="201" t="s">
        <v>123</v>
      </c>
      <c r="K48" s="279"/>
      <c r="L48" s="279"/>
    </row>
    <row r="49" spans="2:12" s="201" customFormat="1" ht="20.100000000000001" customHeight="1" x14ac:dyDescent="0.4">
      <c r="B49" s="35" t="s">
        <v>55</v>
      </c>
      <c r="C49" s="36">
        <v>46125</v>
      </c>
      <c r="D49" s="200" t="s">
        <v>822</v>
      </c>
      <c r="G49" s="2"/>
      <c r="H49" s="36">
        <v>46147</v>
      </c>
      <c r="I49" s="201" t="s">
        <v>124</v>
      </c>
      <c r="K49" s="279"/>
      <c r="L49" s="279"/>
    </row>
    <row r="50" spans="2:12" s="201" customFormat="1" ht="20.100000000000001" customHeight="1" x14ac:dyDescent="0.4">
      <c r="C50" s="36">
        <v>46126</v>
      </c>
      <c r="D50" s="200" t="s">
        <v>335</v>
      </c>
      <c r="H50" s="36">
        <v>46148</v>
      </c>
      <c r="I50" s="37" t="s">
        <v>342</v>
      </c>
      <c r="K50" s="279"/>
      <c r="L50" s="279"/>
    </row>
    <row r="51" spans="2:12" s="201" customFormat="1" ht="20.100000000000001" customHeight="1" x14ac:dyDescent="0.4">
      <c r="C51" s="36">
        <v>46127</v>
      </c>
      <c r="D51" s="200" t="s">
        <v>335</v>
      </c>
      <c r="G51" s="2" t="s">
        <v>125</v>
      </c>
      <c r="H51" s="36">
        <v>46223</v>
      </c>
      <c r="I51" s="201" t="s">
        <v>126</v>
      </c>
      <c r="K51" s="279"/>
      <c r="L51" s="279"/>
    </row>
    <row r="52" spans="2:12" s="201" customFormat="1" ht="20.100000000000001" customHeight="1" x14ac:dyDescent="0.4">
      <c r="C52" s="36">
        <v>46128</v>
      </c>
      <c r="D52" s="200" t="s">
        <v>335</v>
      </c>
      <c r="G52" s="2" t="s">
        <v>127</v>
      </c>
      <c r="H52" s="36">
        <v>46245</v>
      </c>
      <c r="I52" s="201" t="s">
        <v>128</v>
      </c>
      <c r="K52" s="279"/>
      <c r="L52" s="279"/>
    </row>
    <row r="53" spans="2:12" s="201" customFormat="1" ht="20.100000000000001" customHeight="1" x14ac:dyDescent="0.4">
      <c r="C53" s="36">
        <v>46129</v>
      </c>
      <c r="D53" s="200" t="s">
        <v>335</v>
      </c>
      <c r="G53" s="2" t="s">
        <v>129</v>
      </c>
      <c r="H53" s="36">
        <v>46286</v>
      </c>
      <c r="I53" s="201" t="s">
        <v>130</v>
      </c>
      <c r="K53" s="279"/>
      <c r="L53" s="279"/>
    </row>
    <row r="54" spans="2:12" s="201" customFormat="1" ht="20.100000000000001" customHeight="1" x14ac:dyDescent="0.4">
      <c r="C54" s="36">
        <v>46130</v>
      </c>
      <c r="D54" s="200" t="s">
        <v>335</v>
      </c>
      <c r="G54" s="2"/>
      <c r="H54" s="36">
        <v>46287</v>
      </c>
      <c r="I54" s="201" t="s">
        <v>830</v>
      </c>
      <c r="K54" s="279"/>
      <c r="L54" s="279"/>
    </row>
    <row r="55" spans="2:12" s="201" customFormat="1" ht="20.100000000000001" customHeight="1" x14ac:dyDescent="0.4">
      <c r="C55" s="36">
        <v>46131</v>
      </c>
      <c r="D55" s="200" t="s">
        <v>335</v>
      </c>
      <c r="G55" s="2"/>
      <c r="H55" s="36">
        <v>46288</v>
      </c>
      <c r="I55" s="201" t="s">
        <v>131</v>
      </c>
      <c r="K55" s="279"/>
      <c r="L55" s="279"/>
    </row>
    <row r="56" spans="2:12" s="201" customFormat="1" ht="20.100000000000001" customHeight="1" x14ac:dyDescent="0.4">
      <c r="C56" s="36">
        <v>45777</v>
      </c>
      <c r="D56" s="200" t="s">
        <v>336</v>
      </c>
      <c r="G56" s="35" t="s">
        <v>58</v>
      </c>
      <c r="H56" s="36">
        <v>46307</v>
      </c>
      <c r="I56" s="37" t="s">
        <v>162</v>
      </c>
      <c r="K56" s="279"/>
      <c r="L56" s="279"/>
    </row>
    <row r="57" spans="2:12" s="201" customFormat="1" ht="20.100000000000001" customHeight="1" x14ac:dyDescent="0.4">
      <c r="B57" s="35" t="s">
        <v>56</v>
      </c>
      <c r="C57" s="36">
        <v>46143</v>
      </c>
      <c r="D57" s="279" t="s">
        <v>826</v>
      </c>
      <c r="G57" s="35" t="s">
        <v>132</v>
      </c>
      <c r="H57" s="36">
        <v>46329</v>
      </c>
      <c r="I57" s="37" t="s">
        <v>133</v>
      </c>
      <c r="K57" s="279"/>
      <c r="L57" s="279"/>
    </row>
    <row r="58" spans="2:12" s="201" customFormat="1" ht="20.100000000000001" customHeight="1" x14ac:dyDescent="0.4">
      <c r="B58" s="35" t="s">
        <v>566</v>
      </c>
      <c r="C58" s="36" t="s">
        <v>827</v>
      </c>
      <c r="D58" s="279" t="s">
        <v>567</v>
      </c>
      <c r="H58" s="36">
        <v>46349</v>
      </c>
      <c r="I58" s="201" t="s">
        <v>134</v>
      </c>
      <c r="K58" s="279"/>
      <c r="L58" s="279"/>
    </row>
    <row r="59" spans="2:12" s="201" customFormat="1" ht="20.100000000000001" customHeight="1" x14ac:dyDescent="0.4">
      <c r="B59" s="35" t="s">
        <v>57</v>
      </c>
      <c r="C59" s="36">
        <v>46222</v>
      </c>
      <c r="D59" s="200" t="s">
        <v>337</v>
      </c>
      <c r="G59" s="2" t="s">
        <v>148</v>
      </c>
      <c r="H59" s="36">
        <v>46387</v>
      </c>
      <c r="I59" s="201" t="s">
        <v>149</v>
      </c>
      <c r="K59" s="279"/>
      <c r="L59" s="279"/>
    </row>
    <row r="60" spans="2:12" s="201" customFormat="1" ht="20.100000000000001" customHeight="1" x14ac:dyDescent="0.4">
      <c r="C60" s="36">
        <v>46232</v>
      </c>
      <c r="D60" s="200" t="s">
        <v>828</v>
      </c>
      <c r="K60" s="279"/>
      <c r="L60" s="279"/>
    </row>
    <row r="61" spans="2:12" s="201" customFormat="1" ht="20.100000000000001" customHeight="1" x14ac:dyDescent="0.4">
      <c r="B61" s="35" t="s">
        <v>58</v>
      </c>
      <c r="C61" s="36">
        <v>46320</v>
      </c>
      <c r="D61" s="200" t="s">
        <v>339</v>
      </c>
      <c r="K61" s="279"/>
      <c r="L61" s="279"/>
    </row>
    <row r="62" spans="2:12" s="201" customFormat="1" ht="20.100000000000001" customHeight="1" x14ac:dyDescent="0.4">
      <c r="C62" s="36">
        <v>46321</v>
      </c>
      <c r="D62" s="200" t="s">
        <v>339</v>
      </c>
      <c r="G62" s="2"/>
      <c r="H62" s="36"/>
      <c r="K62" s="279"/>
      <c r="L62" s="279"/>
    </row>
    <row r="63" spans="2:12" s="201" customFormat="1" ht="20.100000000000001" customHeight="1" x14ac:dyDescent="0.4">
      <c r="C63" s="36">
        <v>46322</v>
      </c>
      <c r="D63" s="200" t="s">
        <v>339</v>
      </c>
      <c r="G63" s="2"/>
      <c r="H63" s="36"/>
      <c r="K63" s="279"/>
      <c r="L63" s="279"/>
    </row>
    <row r="64" spans="2:12" s="201" customFormat="1" ht="20.100000000000001" customHeight="1" x14ac:dyDescent="0.4">
      <c r="C64" s="36" t="s">
        <v>827</v>
      </c>
      <c r="D64" s="200" t="s">
        <v>340</v>
      </c>
      <c r="G64" s="35"/>
      <c r="H64" s="36"/>
      <c r="I64" s="200"/>
      <c r="K64" s="279"/>
      <c r="L64" s="279"/>
    </row>
    <row r="65" spans="2:12" s="201" customFormat="1" ht="20.100000000000001" customHeight="1" x14ac:dyDescent="0.4">
      <c r="B65" s="35" t="s">
        <v>59</v>
      </c>
      <c r="C65" s="36">
        <v>46349</v>
      </c>
      <c r="D65" s="200" t="s">
        <v>570</v>
      </c>
      <c r="H65" s="36"/>
      <c r="I65" s="200"/>
      <c r="K65" s="279"/>
      <c r="L65" s="279"/>
    </row>
    <row r="66" spans="2:12" s="201" customFormat="1" ht="20.100000000000001" customHeight="1" x14ac:dyDescent="0.4">
      <c r="C66" s="36">
        <v>46350</v>
      </c>
      <c r="D66" s="200" t="s">
        <v>569</v>
      </c>
      <c r="G66" s="35"/>
      <c r="H66" s="36"/>
      <c r="I66" s="200"/>
      <c r="K66" s="279"/>
      <c r="L66" s="279"/>
    </row>
    <row r="67" spans="2:12" s="201" customFormat="1" ht="20.100000000000001" customHeight="1" x14ac:dyDescent="0.4">
      <c r="B67" s="35" t="s">
        <v>60</v>
      </c>
      <c r="C67" s="36">
        <v>46360</v>
      </c>
      <c r="D67" s="200" t="s">
        <v>829</v>
      </c>
      <c r="H67" s="36"/>
      <c r="I67" s="200"/>
      <c r="K67" s="279"/>
      <c r="L67" s="279"/>
    </row>
    <row r="68" spans="2:12" s="201" customFormat="1" ht="20.100000000000001" customHeight="1" x14ac:dyDescent="0.4">
      <c r="C68" s="36">
        <v>46381</v>
      </c>
      <c r="D68" s="200" t="s">
        <v>572</v>
      </c>
      <c r="K68" s="279"/>
      <c r="L68" s="279"/>
    </row>
    <row r="69" spans="2:12" s="201" customFormat="1" ht="20.100000000000001" customHeight="1" x14ac:dyDescent="0.4">
      <c r="B69" s="1"/>
      <c r="C69" s="1"/>
      <c r="D69" s="1"/>
      <c r="K69" s="279"/>
      <c r="L69" s="279"/>
    </row>
    <row r="70" spans="2:12" s="201" customFormat="1" ht="20.100000000000001" customHeight="1" x14ac:dyDescent="0.4">
      <c r="B70" s="1"/>
      <c r="C70" s="1"/>
      <c r="D70" s="1"/>
      <c r="K70" s="279"/>
      <c r="L70" s="279"/>
    </row>
    <row r="71" spans="2:12" s="201" customFormat="1" ht="20.100000000000001" customHeight="1" x14ac:dyDescent="0.4">
      <c r="B71" s="1"/>
      <c r="C71" s="1"/>
      <c r="D71" s="1"/>
      <c r="G71" s="1"/>
      <c r="H71" s="1"/>
      <c r="I71" s="1"/>
      <c r="K71" s="279"/>
      <c r="L71" s="279"/>
    </row>
    <row r="72" spans="2:12" s="201" customFormat="1" ht="20.100000000000001" customHeight="1" x14ac:dyDescent="0.4">
      <c r="B72" s="1"/>
      <c r="C72" s="1"/>
      <c r="D72" s="1"/>
      <c r="G72" s="1"/>
      <c r="H72" s="1"/>
      <c r="I72" s="1"/>
      <c r="K72" s="279"/>
      <c r="L72" s="279"/>
    </row>
    <row r="73" spans="2:12" s="201" customFormat="1" ht="20.100000000000001" customHeight="1" x14ac:dyDescent="0.4">
      <c r="B73" s="1"/>
      <c r="C73" s="1"/>
      <c r="D73" s="1"/>
      <c r="G73" s="1"/>
      <c r="H73" s="1"/>
      <c r="I73" s="1"/>
      <c r="K73" s="279"/>
      <c r="L73" s="279"/>
    </row>
    <row r="74" spans="2:12" s="201" customFormat="1" ht="20.100000000000001" customHeight="1" x14ac:dyDescent="0.4">
      <c r="B74" s="1"/>
      <c r="C74" s="1"/>
      <c r="D74" s="1"/>
      <c r="G74" s="1"/>
      <c r="H74" s="1"/>
      <c r="I74" s="1"/>
      <c r="K74" s="279"/>
      <c r="L74" s="279"/>
    </row>
    <row r="75" spans="2:12" s="201" customFormat="1" ht="20.100000000000001" customHeight="1" x14ac:dyDescent="0.4">
      <c r="B75" s="1"/>
      <c r="C75" s="1"/>
      <c r="D75" s="1"/>
      <c r="G75" s="1"/>
      <c r="H75" s="1"/>
      <c r="I75" s="1"/>
      <c r="K75" s="279"/>
      <c r="L75" s="279"/>
    </row>
    <row r="76" spans="2:12" s="201" customFormat="1" ht="20.100000000000001" customHeight="1" x14ac:dyDescent="0.4">
      <c r="B76" s="1"/>
      <c r="C76" s="1"/>
      <c r="D76" s="1"/>
      <c r="G76" s="1"/>
      <c r="H76" s="1"/>
      <c r="I76" s="1"/>
      <c r="K76" s="279"/>
      <c r="L76" s="279"/>
    </row>
    <row r="77" spans="2:12" s="201" customFormat="1" ht="20.100000000000001" customHeight="1" x14ac:dyDescent="0.4">
      <c r="B77" s="1"/>
      <c r="C77" s="1"/>
      <c r="D77" s="1"/>
      <c r="G77" s="1"/>
      <c r="H77" s="1"/>
      <c r="I77" s="1"/>
      <c r="K77" s="279"/>
      <c r="L77" s="279"/>
    </row>
  </sheetData>
  <phoneticPr fontId="2"/>
  <pageMargins left="0.7" right="0.7" top="0.75" bottom="0.75" header="0.3" footer="0.3"/>
  <pageSetup paperSize="9" scale="4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EC37E-F762-47AE-BDC1-2A77F41DF976}">
  <dimension ref="A1:P17"/>
  <sheetViews>
    <sheetView view="pageBreakPreview" zoomScale="85" zoomScaleNormal="100" zoomScaleSheetLayoutView="85" workbookViewId="0"/>
  </sheetViews>
  <sheetFormatPr defaultColWidth="8.75" defaultRowHeight="18.75" x14ac:dyDescent="0.4"/>
  <cols>
    <col min="1" max="1" width="25.375" style="200" bestFit="1" customWidth="1"/>
    <col min="2" max="2" width="6" style="200" customWidth="1"/>
    <col min="3" max="11" width="9.5" style="200" bestFit="1" customWidth="1"/>
    <col min="12" max="16384" width="8.75" style="200"/>
  </cols>
  <sheetData>
    <row r="1" spans="1:16" x14ac:dyDescent="0.4">
      <c r="A1" s="311"/>
      <c r="B1" s="311"/>
      <c r="C1" s="312" t="s">
        <v>870</v>
      </c>
      <c r="D1" s="312" t="s">
        <v>871</v>
      </c>
      <c r="E1" s="312" t="s">
        <v>872</v>
      </c>
      <c r="F1" s="312" t="s">
        <v>873</v>
      </c>
      <c r="G1" s="312" t="s">
        <v>874</v>
      </c>
      <c r="H1" s="312" t="s">
        <v>875</v>
      </c>
      <c r="I1" s="312" t="s">
        <v>876</v>
      </c>
      <c r="J1" s="312" t="s">
        <v>877</v>
      </c>
      <c r="K1" s="312" t="s">
        <v>878</v>
      </c>
      <c r="L1" s="312" t="s">
        <v>879</v>
      </c>
      <c r="M1" s="312" t="s">
        <v>880</v>
      </c>
      <c r="N1" s="312" t="s">
        <v>881</v>
      </c>
    </row>
    <row r="2" spans="1:16" x14ac:dyDescent="0.4">
      <c r="A2" s="309" t="s">
        <v>353</v>
      </c>
      <c r="B2" s="309"/>
      <c r="C2" s="310">
        <v>8</v>
      </c>
      <c r="D2" s="310">
        <v>8</v>
      </c>
      <c r="E2" s="310">
        <v>8</v>
      </c>
      <c r="F2" s="310">
        <v>8</v>
      </c>
      <c r="G2" s="310">
        <v>8</v>
      </c>
      <c r="H2" s="310">
        <v>8</v>
      </c>
      <c r="I2" s="310">
        <v>8</v>
      </c>
      <c r="J2" s="310">
        <v>8</v>
      </c>
      <c r="K2" s="310">
        <v>5</v>
      </c>
      <c r="L2" s="310">
        <v>5</v>
      </c>
      <c r="M2" s="310">
        <v>5</v>
      </c>
      <c r="N2" s="310">
        <v>5</v>
      </c>
    </row>
    <row r="3" spans="1:16" x14ac:dyDescent="0.4">
      <c r="A3" s="257" t="s">
        <v>17</v>
      </c>
      <c r="B3" s="258"/>
      <c r="C3" s="258"/>
      <c r="D3" s="258"/>
      <c r="E3" s="258"/>
      <c r="F3" s="258"/>
      <c r="G3" s="258"/>
      <c r="H3" s="258"/>
      <c r="I3" s="258"/>
      <c r="J3" s="258"/>
      <c r="K3" s="258"/>
      <c r="L3" s="258"/>
      <c r="M3" s="258"/>
      <c r="N3" s="258"/>
    </row>
    <row r="4" spans="1:16" x14ac:dyDescent="0.4">
      <c r="A4" s="255" t="s">
        <v>354</v>
      </c>
      <c r="B4" s="255" t="s">
        <v>24</v>
      </c>
      <c r="C4" s="256">
        <f>'案件．要員情報まとめ'!O166</f>
        <v>7.4249999999999998</v>
      </c>
      <c r="D4" s="256">
        <f>'案件．要員情報まとめ'!P166</f>
        <v>6.3238095238095218</v>
      </c>
      <c r="E4" s="256">
        <f>'案件．要員情報まとめ'!Q166</f>
        <v>7.0429206349206348</v>
      </c>
      <c r="F4" s="256">
        <f>'案件．要員情報まとめ'!R166</f>
        <v>7.3939393939393936</v>
      </c>
      <c r="G4" s="256">
        <f>'案件．要員情報まとめ'!S166</f>
        <v>7.8920634920634907</v>
      </c>
      <c r="H4" s="256">
        <f>'案件．要員情報まとめ'!T166</f>
        <v>9.0545454545454529</v>
      </c>
      <c r="I4" s="256">
        <f>'案件．要員情報まとめ'!U166</f>
        <v>8.0666666666666664</v>
      </c>
      <c r="J4" s="256">
        <f>'案件．要員情報まとめ'!V166</f>
        <v>3.4444444444444442</v>
      </c>
      <c r="K4" s="256">
        <f>'案件．要員情報まとめ'!W166</f>
        <v>4.746666666666667</v>
      </c>
      <c r="L4" s="256">
        <f>'案件．要員情報まとめ'!X166</f>
        <v>4.526984126984126</v>
      </c>
      <c r="M4" s="256">
        <f>'案件．要員情報まとめ'!Y166</f>
        <v>3.2784313725490195</v>
      </c>
      <c r="N4" s="256">
        <f>'案件．要員情報まとめ'!Z166</f>
        <v>0</v>
      </c>
    </row>
    <row r="5" spans="1:16" x14ac:dyDescent="0.4">
      <c r="A5" s="255" t="s">
        <v>355</v>
      </c>
      <c r="B5" s="255" t="s">
        <v>25</v>
      </c>
      <c r="C5" s="256">
        <f>'案件．要員情報まとめ'!O167</f>
        <v>7.1541666666666677</v>
      </c>
      <c r="D5" s="256">
        <f>'案件．要員情報まとめ'!P167</f>
        <v>6.0412698412698402</v>
      </c>
      <c r="E5" s="256">
        <f>'案件．要員情報まとめ'!Q167</f>
        <v>6.9746031746031747</v>
      </c>
      <c r="F5" s="256">
        <f>'案件．要員情報まとめ'!R167</f>
        <v>7.1727272727272711</v>
      </c>
      <c r="G5" s="256">
        <f>'案件．要員情報まとめ'!S167</f>
        <v>7.6603174603174597</v>
      </c>
      <c r="H5" s="256">
        <f>'案件．要員情報まとめ'!T167</f>
        <v>8.6499999999999986</v>
      </c>
      <c r="I5" s="256">
        <f>'案件．要員情報まとめ'!U167</f>
        <v>7.8766666666666652</v>
      </c>
      <c r="J5" s="302">
        <f>'案件．要員情報まとめ'!V167</f>
        <v>3.0518518518518523</v>
      </c>
      <c r="K5" s="256">
        <f>'案件．要員情報まとめ'!W167</f>
        <v>4.546666666666666</v>
      </c>
      <c r="L5" s="256">
        <f>'案件．要員情報まとめ'!X167</f>
        <v>4.4253968253968248</v>
      </c>
      <c r="M5" s="256">
        <f>'案件．要員情報まとめ'!Y167</f>
        <v>4.4235294117647062</v>
      </c>
      <c r="N5" s="256">
        <f>'案件．要員情報まとめ'!Z167</f>
        <v>0</v>
      </c>
    </row>
    <row r="6" spans="1:16" s="288" customFormat="1" x14ac:dyDescent="0.4">
      <c r="A6" s="285" t="s">
        <v>356</v>
      </c>
      <c r="B6" s="286"/>
      <c r="C6" s="287">
        <f>C2-C5</f>
        <v>0.84583333333333233</v>
      </c>
      <c r="D6" s="287">
        <f>D2-D5</f>
        <v>1.9587301587301598</v>
      </c>
      <c r="E6" s="287">
        <f t="shared" ref="E6:N6" si="0">E2-E5</f>
        <v>1.0253968253968253</v>
      </c>
      <c r="F6" s="287">
        <f>F2-F5</f>
        <v>0.82727272727272894</v>
      </c>
      <c r="G6" s="287">
        <f>G2-G5</f>
        <v>0.33968253968254025</v>
      </c>
      <c r="H6" s="287">
        <f t="shared" si="0"/>
        <v>-0.64999999999999858</v>
      </c>
      <c r="I6" s="287">
        <f t="shared" si="0"/>
        <v>0.12333333333333485</v>
      </c>
      <c r="J6" s="287">
        <f t="shared" si="0"/>
        <v>4.9481481481481477</v>
      </c>
      <c r="K6" s="287">
        <f t="shared" si="0"/>
        <v>0.45333333333333403</v>
      </c>
      <c r="L6" s="287">
        <f t="shared" si="0"/>
        <v>0.57460317460317523</v>
      </c>
      <c r="M6" s="287">
        <f t="shared" si="0"/>
        <v>0.57647058823529385</v>
      </c>
      <c r="N6" s="287">
        <f t="shared" si="0"/>
        <v>5</v>
      </c>
    </row>
    <row r="7" spans="1:16" x14ac:dyDescent="0.4">
      <c r="A7" s="257" t="s">
        <v>29</v>
      </c>
      <c r="B7" s="258"/>
      <c r="C7" s="258"/>
      <c r="D7" s="258"/>
      <c r="E7" s="258"/>
      <c r="F7" s="258"/>
      <c r="G7" s="258"/>
      <c r="H7" s="258"/>
      <c r="I7" s="258"/>
      <c r="J7" s="258"/>
      <c r="K7" s="258"/>
      <c r="L7" s="258"/>
      <c r="M7" s="258"/>
      <c r="N7" s="258"/>
    </row>
    <row r="8" spans="1:16" x14ac:dyDescent="0.4">
      <c r="A8" s="255" t="s">
        <v>357</v>
      </c>
      <c r="B8" s="255" t="s">
        <v>24</v>
      </c>
      <c r="C8" s="256">
        <f>'案件．要員情報まとめ'!O184</f>
        <v>1.9125000000000001</v>
      </c>
      <c r="D8" s="256">
        <f>'案件．要員情報まとめ'!P184</f>
        <v>1.873015873015873</v>
      </c>
      <c r="E8" s="256">
        <f>'案件．要員情報まとめ'!Q184</f>
        <v>1.5536507936507937</v>
      </c>
      <c r="F8" s="256">
        <f>'案件．要員情報まとめ'!R184</f>
        <v>1.606060606060606</v>
      </c>
      <c r="G8" s="256">
        <f>'案件．要員情報まとめ'!S184</f>
        <v>1.3339047619047619</v>
      </c>
      <c r="H8" s="256">
        <f>'案件．要員情報まとめ'!T184</f>
        <v>0.92121212121212115</v>
      </c>
      <c r="I8" s="256">
        <f>'案件．要員情報まとめ'!U184</f>
        <v>1.1600000000000001</v>
      </c>
      <c r="J8" s="256">
        <f>'案件．要員情報まとめ'!V184</f>
        <v>1.4814814814814814</v>
      </c>
      <c r="K8" s="256">
        <f>'案件．要員情報まとめ'!W184</f>
        <v>0.80333333333333323</v>
      </c>
      <c r="L8" s="256">
        <f>'案件．要員情報まとめ'!X184</f>
        <v>0.88222222222222213</v>
      </c>
      <c r="M8" s="256">
        <f>'案件．要員情報まとめ'!Y184</f>
        <v>1.4431372549019605</v>
      </c>
      <c r="N8" s="256">
        <f>'案件．要員情報まとめ'!Z184</f>
        <v>0</v>
      </c>
    </row>
    <row r="9" spans="1:16" x14ac:dyDescent="0.4">
      <c r="A9" s="255" t="s">
        <v>358</v>
      </c>
      <c r="B9" s="255" t="s">
        <v>25</v>
      </c>
      <c r="C9" s="256">
        <f>'案件．要員情報まとめ'!O185</f>
        <v>1.8708333333333331</v>
      </c>
      <c r="D9" s="256">
        <f>'案件．要員情報まとめ'!P185</f>
        <v>1.6730158730158731</v>
      </c>
      <c r="E9" s="256">
        <f>'案件．要員情報まとめ'!Q185</f>
        <v>1.5333333333333332</v>
      </c>
      <c r="F9" s="256">
        <f>'案件．要員情報まとめ'!R185</f>
        <v>1.5666666666666664</v>
      </c>
      <c r="G9" s="256">
        <f>'案件．要員情報まとめ'!S185</f>
        <v>1.3365079365079364</v>
      </c>
      <c r="H9" s="256">
        <f>'案件．要員情報まとめ'!T185</f>
        <v>1.1348484848484848</v>
      </c>
      <c r="I9" s="256">
        <f>'案件．要員情報まとめ'!U185</f>
        <v>1.1666666666666665</v>
      </c>
      <c r="J9" s="256">
        <f>'案件．要員情報まとめ'!V185</f>
        <v>1.2370370370370369</v>
      </c>
      <c r="K9" s="256">
        <f>'案件．要員情報まとめ'!W185</f>
        <v>0.73666666666666658</v>
      </c>
      <c r="L9" s="256">
        <f>'案件．要員情報まとめ'!X185</f>
        <v>0.87301587301587302</v>
      </c>
      <c r="M9" s="256">
        <f>'案件．要員情報まとめ'!Y185</f>
        <v>0.74117647058823533</v>
      </c>
      <c r="N9" s="256">
        <f>'案件．要員情報まとめ'!Z185</f>
        <v>0</v>
      </c>
    </row>
    <row r="10" spans="1:16" x14ac:dyDescent="0.4">
      <c r="A10" s="257" t="s">
        <v>359</v>
      </c>
      <c r="B10" s="258"/>
      <c r="C10" s="258"/>
      <c r="D10" s="258"/>
      <c r="E10" s="258"/>
      <c r="F10" s="258"/>
      <c r="G10" s="258"/>
      <c r="H10" s="258"/>
      <c r="I10" s="258"/>
      <c r="J10" s="258"/>
      <c r="K10" s="258"/>
      <c r="L10" s="258"/>
      <c r="M10" s="258"/>
      <c r="N10" s="258"/>
    </row>
    <row r="11" spans="1:16" x14ac:dyDescent="0.4">
      <c r="A11" s="255" t="s">
        <v>360</v>
      </c>
      <c r="B11" s="255" t="s">
        <v>24</v>
      </c>
      <c r="C11" s="256">
        <f>'案件．要員情報まとめ'!O187</f>
        <v>9.3375000000000004</v>
      </c>
      <c r="D11" s="256">
        <f>'案件．要員情報まとめ'!P187</f>
        <v>8.1968253968253943</v>
      </c>
      <c r="E11" s="256">
        <f>'案件．要員情報まとめ'!Q187</f>
        <v>8.5965714285714281</v>
      </c>
      <c r="F11" s="256">
        <f>'案件．要員情報まとめ'!R187</f>
        <v>9</v>
      </c>
      <c r="G11" s="256">
        <f>'案件．要員情報まとめ'!S187</f>
        <v>9.2259682539682526</v>
      </c>
      <c r="H11" s="256">
        <f>'案件．要員情報まとめ'!T187</f>
        <v>9.9757575757575747</v>
      </c>
      <c r="I11" s="256">
        <f>'案件．要員情報まとめ'!U187</f>
        <v>9.2266666666666666</v>
      </c>
      <c r="J11" s="256">
        <f>'案件．要員情報まとめ'!V187</f>
        <v>4.9259259259259256</v>
      </c>
      <c r="K11" s="256">
        <f>'案件．要員情報まとめ'!W187</f>
        <v>5.5500000000000007</v>
      </c>
      <c r="L11" s="256">
        <f>'案件．要員情報まとめ'!X187</f>
        <v>5.4092063492063485</v>
      </c>
      <c r="M11" s="256">
        <f>'案件．要員情報まとめ'!Y187</f>
        <v>4.7215686274509796</v>
      </c>
      <c r="N11" s="256">
        <f>'案件．要員情報まとめ'!Z187</f>
        <v>0</v>
      </c>
    </row>
    <row r="12" spans="1:16" ht="19.5" customHeight="1" x14ac:dyDescent="0.4">
      <c r="A12" s="255" t="s">
        <v>360</v>
      </c>
      <c r="B12" s="255" t="s">
        <v>25</v>
      </c>
      <c r="C12" s="256">
        <f>'案件．要員情報まとめ'!O188</f>
        <v>9.0250000000000004</v>
      </c>
      <c r="D12" s="256">
        <f>'案件．要員情報まとめ'!P188</f>
        <v>7.7142857142857135</v>
      </c>
      <c r="E12" s="256">
        <f>'案件．要員情報まとめ'!Q188</f>
        <v>8.5079365079365079</v>
      </c>
      <c r="F12" s="256">
        <f>'案件．要員情報まとめ'!R188</f>
        <v>8.7393939393939384</v>
      </c>
      <c r="G12" s="256">
        <f>'案件．要員情報まとめ'!S188</f>
        <v>8.9968253968253968</v>
      </c>
      <c r="H12" s="256">
        <f>'案件．要員情報まとめ'!T188</f>
        <v>9.7848484848484834</v>
      </c>
      <c r="I12" s="256">
        <f>'案件．要員情報まとめ'!U188</f>
        <v>9.0433333333333312</v>
      </c>
      <c r="J12" s="302">
        <f>'案件．要員情報まとめ'!V188</f>
        <v>4.2888888888888896</v>
      </c>
      <c r="K12" s="256">
        <f>'案件．要員情報まとめ'!W188</f>
        <v>5.2833333333333323</v>
      </c>
      <c r="L12" s="256">
        <f>'案件．要員情報まとめ'!X188</f>
        <v>5.2984126984126974</v>
      </c>
      <c r="M12" s="256">
        <f>'案件．要員情報まとめ'!Y188</f>
        <v>5.1647058823529415</v>
      </c>
      <c r="N12" s="256">
        <f>'案件．要員情報まとめ'!Z188</f>
        <v>0</v>
      </c>
      <c r="O12" s="290">
        <f>SUM(C12:N12)</f>
        <v>81.84696417961122</v>
      </c>
      <c r="P12" s="290">
        <f>O12/7</f>
        <v>11.692423454230175</v>
      </c>
    </row>
    <row r="13" spans="1:16" s="288" customFormat="1" ht="19.5" customHeight="1" x14ac:dyDescent="0.4">
      <c r="A13" s="289" t="s">
        <v>356</v>
      </c>
      <c r="B13" s="286"/>
      <c r="C13" s="287">
        <f t="shared" ref="C13:N13" si="1">C2-C12</f>
        <v>-1.0250000000000004</v>
      </c>
      <c r="D13" s="287">
        <f t="shared" si="1"/>
        <v>0.28571428571428648</v>
      </c>
      <c r="E13" s="287">
        <f t="shared" si="1"/>
        <v>-0.50793650793650791</v>
      </c>
      <c r="F13" s="287">
        <f t="shared" si="1"/>
        <v>-0.73939393939393838</v>
      </c>
      <c r="G13" s="287">
        <f t="shared" si="1"/>
        <v>-0.99682539682539684</v>
      </c>
      <c r="H13" s="287">
        <f t="shared" si="1"/>
        <v>-1.7848484848484834</v>
      </c>
      <c r="I13" s="287">
        <f t="shared" si="1"/>
        <v>-1.0433333333333312</v>
      </c>
      <c r="J13" s="287">
        <f t="shared" si="1"/>
        <v>3.7111111111111104</v>
      </c>
      <c r="K13" s="287">
        <f t="shared" si="1"/>
        <v>-0.28333333333333233</v>
      </c>
      <c r="L13" s="287">
        <f t="shared" si="1"/>
        <v>-0.29841269841269735</v>
      </c>
      <c r="M13" s="287">
        <f t="shared" si="1"/>
        <v>-0.16470588235294148</v>
      </c>
      <c r="N13" s="287">
        <f t="shared" si="1"/>
        <v>5</v>
      </c>
    </row>
    <row r="14" spans="1:16" x14ac:dyDescent="0.4">
      <c r="A14" s="313" t="s">
        <v>884</v>
      </c>
      <c r="B14" s="314"/>
      <c r="C14" s="315"/>
      <c r="D14" s="315"/>
      <c r="E14" s="315"/>
      <c r="F14" s="315"/>
      <c r="G14" s="315"/>
      <c r="H14" s="315"/>
      <c r="I14" s="315"/>
      <c r="J14" s="315"/>
      <c r="K14" s="315"/>
      <c r="L14" s="315"/>
      <c r="M14" s="315"/>
      <c r="N14" s="315"/>
    </row>
    <row r="15" spans="1:16" x14ac:dyDescent="0.4">
      <c r="A15" s="316" t="s">
        <v>882</v>
      </c>
      <c r="B15" s="317"/>
      <c r="C15" s="318">
        <v>1.131</v>
      </c>
      <c r="D15" s="318">
        <v>0.96599999999999997</v>
      </c>
      <c r="E15" s="318">
        <v>1.0649999999999999</v>
      </c>
      <c r="F15" s="318">
        <v>1.095</v>
      </c>
      <c r="G15" s="318">
        <v>1.1299999999999999</v>
      </c>
      <c r="H15" s="318">
        <v>1.103</v>
      </c>
      <c r="I15" s="318">
        <v>1.1339999999999999</v>
      </c>
      <c r="J15" s="318">
        <v>0.53900000000000003</v>
      </c>
      <c r="K15" s="318">
        <v>1.06</v>
      </c>
      <c r="L15" s="318">
        <v>1.0640000000000001</v>
      </c>
      <c r="M15" s="319" t="s">
        <v>382</v>
      </c>
      <c r="N15" s="319" t="s">
        <v>382</v>
      </c>
    </row>
    <row r="16" spans="1:16" ht="19.5" customHeight="1" x14ac:dyDescent="0.4">
      <c r="A16" s="316" t="s">
        <v>883</v>
      </c>
      <c r="B16" s="317"/>
      <c r="C16" s="318">
        <v>1.0309999999999999</v>
      </c>
      <c r="D16" s="318">
        <v>1.0609999999999999</v>
      </c>
      <c r="E16" s="318">
        <v>1.0089999999999999</v>
      </c>
      <c r="F16" s="318">
        <v>1.0269999999999999</v>
      </c>
      <c r="G16" s="318">
        <v>1.0209999999999999</v>
      </c>
      <c r="H16" s="318">
        <v>1.0089999999999999</v>
      </c>
      <c r="I16" s="318">
        <v>1.018</v>
      </c>
      <c r="J16" s="318">
        <v>1.1439999999999999</v>
      </c>
      <c r="K16" s="318">
        <v>1.0469999999999999</v>
      </c>
      <c r="L16" s="318">
        <v>1.0169172932330828</v>
      </c>
      <c r="M16" s="319" t="s">
        <v>382</v>
      </c>
      <c r="N16" s="319" t="s">
        <v>382</v>
      </c>
      <c r="O16" s="290"/>
      <c r="P16" s="290"/>
    </row>
    <row r="17" spans="1:14" s="288" customFormat="1" ht="19.5" customHeight="1" x14ac:dyDescent="0.4">
      <c r="A17" s="289"/>
      <c r="B17" s="286"/>
      <c r="C17" s="287"/>
      <c r="D17" s="287"/>
      <c r="E17" s="287"/>
      <c r="F17" s="287"/>
      <c r="G17" s="287"/>
      <c r="H17" s="287"/>
      <c r="I17" s="287"/>
      <c r="J17" s="287"/>
      <c r="K17" s="287"/>
      <c r="L17" s="287"/>
      <c r="M17" s="287"/>
      <c r="N17" s="287"/>
    </row>
  </sheetData>
  <phoneticPr fontId="2"/>
  <pageMargins left="0.7" right="0.7" top="0.75" bottom="0.75" header="0.3" footer="0.3"/>
  <pageSetup paperSize="9" scale="36"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1:B13"/>
  <sheetViews>
    <sheetView workbookViewId="0"/>
  </sheetViews>
  <sheetFormatPr defaultRowHeight="18.75" x14ac:dyDescent="0.4"/>
  <sheetData>
    <row r="1" spans="2:2" x14ac:dyDescent="0.4">
      <c r="B1" t="s">
        <v>16</v>
      </c>
    </row>
    <row r="2" spans="2:2" x14ac:dyDescent="0.4">
      <c r="B2" t="s">
        <v>10</v>
      </c>
    </row>
    <row r="3" spans="2:2" x14ac:dyDescent="0.4">
      <c r="B3" t="s">
        <v>11</v>
      </c>
    </row>
    <row r="4" spans="2:2" x14ac:dyDescent="0.4">
      <c r="B4" t="s">
        <v>12</v>
      </c>
    </row>
    <row r="5" spans="2:2" x14ac:dyDescent="0.4">
      <c r="B5" t="s">
        <v>13</v>
      </c>
    </row>
    <row r="6" spans="2:2" x14ac:dyDescent="0.4">
      <c r="B6" t="s">
        <v>28</v>
      </c>
    </row>
    <row r="7" spans="2:2" x14ac:dyDescent="0.4">
      <c r="B7" t="s">
        <v>15</v>
      </c>
    </row>
    <row r="9" spans="2:2" x14ac:dyDescent="0.4">
      <c r="B9" t="s">
        <v>44</v>
      </c>
    </row>
    <row r="10" spans="2:2" x14ac:dyDescent="0.4">
      <c r="B10" t="s">
        <v>45</v>
      </c>
    </row>
    <row r="11" spans="2:2" x14ac:dyDescent="0.4">
      <c r="B11" t="s">
        <v>46</v>
      </c>
    </row>
    <row r="12" spans="2:2" x14ac:dyDescent="0.4">
      <c r="B12" t="s">
        <v>48</v>
      </c>
    </row>
    <row r="13" spans="2:2" x14ac:dyDescent="0.4">
      <c r="B13" t="s">
        <v>47</v>
      </c>
    </row>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5</vt:i4>
      </vt:variant>
    </vt:vector>
  </HeadingPairs>
  <TitlesOfParts>
    <vt:vector size="13" baseType="lpstr">
      <vt:lpstr>説明</vt:lpstr>
      <vt:lpstr>案件．要員情報まとめ</vt:lpstr>
      <vt:lpstr>案件．要員情報</vt:lpstr>
      <vt:lpstr>週次報告</vt:lpstr>
      <vt:lpstr>休暇</vt:lpstr>
      <vt:lpstr>祝日</vt:lpstr>
      <vt:lpstr>DIRタスク対応の人月まとめ</vt:lpstr>
      <vt:lpstr>Not Available</vt:lpstr>
      <vt:lpstr>Division</vt:lpstr>
      <vt:lpstr>DIRタスク対応の人月まとめ!Print_Area</vt:lpstr>
      <vt:lpstr>祝日!Print_Area</vt:lpstr>
      <vt:lpstr>案件．要員情報まとめ!Status</vt:lpstr>
      <vt:lpstr>Status</vt:lpstr>
    </vt:vector>
  </TitlesOfParts>
  <Company>Daiwa Institute of Research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チーそーウィン/DIR-BI金融システム開発第一部</dc:creator>
  <cp:lastModifiedBy>ティンザー アウン/DIR金融フロントシステム部</cp:lastModifiedBy>
  <dcterms:created xsi:type="dcterms:W3CDTF">2020-02-26T11:03:32Z</dcterms:created>
  <dcterms:modified xsi:type="dcterms:W3CDTF">2026-02-25T06:13:54Z</dcterms:modified>
</cp:coreProperties>
</file>