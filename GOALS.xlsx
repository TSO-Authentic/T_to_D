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hinc_Git\"/>
    </mc:Choice>
  </mc:AlternateContent>
  <xr:revisionPtr revIDLastSave="0" documentId="13_ncr:1_{EE999276-68CD-415D-AF81-03C4EDED80FE}" xr6:coauthVersionLast="47" xr6:coauthVersionMax="47" xr10:uidLastSave="{00000000-0000-0000-0000-000000000000}"/>
  <bookViews>
    <workbookView xWindow="-120" yWindow="-120" windowWidth="29040" windowHeight="15720" xr2:uid="{2B7703D9-FB3E-48FB-B8F9-26C34D699C61}"/>
  </bookViews>
  <sheets>
    <sheet name="2027-2028(APR)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W14" i="3" l="1"/>
  <c r="Q28" i="3"/>
  <c r="O28" i="3"/>
  <c r="N28" i="3"/>
  <c r="M28" i="3"/>
  <c r="W26" i="3"/>
  <c r="V26" i="3"/>
  <c r="U26" i="3"/>
  <c r="T26" i="3"/>
  <c r="S26" i="3"/>
  <c r="R26" i="3"/>
  <c r="Q26" i="3"/>
  <c r="P26" i="3"/>
  <c r="O26" i="3"/>
  <c r="N26" i="3"/>
  <c r="M26" i="3"/>
  <c r="L26" i="3"/>
  <c r="W25" i="3"/>
  <c r="V25" i="3"/>
  <c r="V28" i="3" s="1"/>
  <c r="U25" i="3"/>
  <c r="T25" i="3"/>
  <c r="T28" i="3" s="1"/>
  <c r="S25" i="3"/>
  <c r="S28" i="3" s="1"/>
  <c r="R25" i="3"/>
  <c r="Q25" i="3"/>
  <c r="P25" i="3"/>
  <c r="P28" i="3" s="1"/>
  <c r="O25" i="3"/>
  <c r="N25" i="3"/>
  <c r="M25" i="3"/>
  <c r="L25" i="3"/>
  <c r="L28" i="3" s="1"/>
  <c r="N5" i="3"/>
  <c r="N4" i="3"/>
  <c r="C28" i="3"/>
  <c r="D28" i="3"/>
  <c r="E28" i="3"/>
  <c r="F28" i="3"/>
  <c r="G28" i="3"/>
  <c r="H28" i="3"/>
  <c r="I28" i="3"/>
  <c r="J28" i="3"/>
  <c r="K28" i="3"/>
  <c r="B28" i="3"/>
  <c r="K26" i="3"/>
  <c r="J26" i="3"/>
  <c r="I26" i="3"/>
  <c r="H26" i="3"/>
  <c r="G26" i="3"/>
  <c r="F26" i="3"/>
  <c r="E26" i="3"/>
  <c r="D26" i="3"/>
  <c r="C26" i="3"/>
  <c r="B26" i="3"/>
  <c r="C25" i="3"/>
  <c r="D25" i="3"/>
  <c r="E25" i="3"/>
  <c r="F25" i="3"/>
  <c r="G25" i="3"/>
  <c r="H25" i="3"/>
  <c r="I25" i="3"/>
  <c r="J25" i="3"/>
  <c r="K25" i="3"/>
  <c r="B25" i="3"/>
  <c r="C13" i="3"/>
  <c r="D13" i="3"/>
  <c r="E13" i="3"/>
  <c r="F13" i="3"/>
  <c r="G13" i="3"/>
  <c r="H13" i="3"/>
  <c r="I13" i="3"/>
  <c r="J13" i="3"/>
  <c r="B13" i="3"/>
  <c r="C10" i="3"/>
  <c r="C11" i="3" s="1"/>
  <c r="D10" i="3"/>
  <c r="D11" i="3" s="1"/>
  <c r="E10" i="3"/>
  <c r="E11" i="3" s="1"/>
  <c r="F10" i="3"/>
  <c r="F11" i="3" s="1"/>
  <c r="G10" i="3"/>
  <c r="G11" i="3" s="1"/>
  <c r="H10" i="3"/>
  <c r="H11" i="3" s="1"/>
  <c r="I10" i="3"/>
  <c r="I11" i="3" s="1"/>
  <c r="J10" i="3"/>
  <c r="J11" i="3" s="1"/>
  <c r="B10" i="3"/>
  <c r="B11" i="3" s="1"/>
  <c r="W28" i="3" l="1"/>
  <c r="U28" i="3"/>
  <c r="R28" i="3"/>
</calcChain>
</file>

<file path=xl/sharedStrings.xml><?xml version="1.0" encoding="utf-8"?>
<sst xmlns="http://schemas.openxmlformats.org/spreadsheetml/2006/main" count="38" uniqueCount="18">
  <si>
    <t>OCT</t>
    <phoneticPr fontId="2"/>
  </si>
  <si>
    <t>NOV</t>
    <phoneticPr fontId="2"/>
  </si>
  <si>
    <t>DEC</t>
    <phoneticPr fontId="2"/>
  </si>
  <si>
    <t>JAN</t>
    <phoneticPr fontId="2"/>
  </si>
  <si>
    <t>FEB</t>
    <phoneticPr fontId="2"/>
  </si>
  <si>
    <t>MAR</t>
    <phoneticPr fontId="2"/>
  </si>
  <si>
    <t>APR</t>
    <phoneticPr fontId="2"/>
  </si>
  <si>
    <t>MAY</t>
    <phoneticPr fontId="2"/>
  </si>
  <si>
    <t>JUN</t>
    <phoneticPr fontId="2"/>
  </si>
  <si>
    <t>SAL AVG</t>
    <phoneticPr fontId="2"/>
  </si>
  <si>
    <t>EXTRA</t>
    <phoneticPr fontId="2"/>
  </si>
  <si>
    <t>EXP</t>
    <phoneticPr fontId="2"/>
  </si>
  <si>
    <t>SAV</t>
    <phoneticPr fontId="2"/>
  </si>
  <si>
    <t>EST</t>
    <phoneticPr fontId="2"/>
  </si>
  <si>
    <t>EST-2</t>
    <phoneticPr fontId="2"/>
  </si>
  <si>
    <t>JUL</t>
    <phoneticPr fontId="2"/>
  </si>
  <si>
    <t>AUG</t>
    <phoneticPr fontId="2"/>
  </si>
  <si>
    <t>SEP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</si>
</sst>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0" tint="-4.9989318521683403E-2"/>
      <name val="游ゴシック"/>
      <family val="2"/>
      <charset val="128"/>
      <scheme val="minor"/>
    </font>
    <font>
      <sz val="11"/>
      <name val="游ゴシック"/>
      <family val="2"/>
      <charset val="128"/>
      <scheme val="minor"/>
    </font>
  </fonts>
  <fills count="9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00CC99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2" borderId="1" xfId="0" applyFill="1" applyBorder="1">
      <alignment vertical="center"/>
    </xf>
    <xf numFmtId="38" fontId="3" fillId="0" borderId="2" xfId="1" applyFont="1" applyBorder="1">
      <alignment vertical="center"/>
    </xf>
    <xf numFmtId="38" fontId="0" fillId="0" borderId="1" xfId="1" applyFont="1" applyBorder="1">
      <alignment vertical="center"/>
    </xf>
    <xf numFmtId="38" fontId="0" fillId="0" borderId="3" xfId="1" applyFont="1" applyBorder="1">
      <alignment vertical="center"/>
    </xf>
    <xf numFmtId="38" fontId="0" fillId="0" borderId="4" xfId="1" applyFont="1" applyBorder="1">
      <alignment vertical="center"/>
    </xf>
    <xf numFmtId="38" fontId="0" fillId="3" borderId="1" xfId="0" applyNumberFormat="1" applyFill="1" applyBorder="1">
      <alignment vertical="center"/>
    </xf>
    <xf numFmtId="38" fontId="0" fillId="4" borderId="1" xfId="0" applyNumberFormat="1" applyFill="1" applyBorder="1">
      <alignment vertical="center"/>
    </xf>
    <xf numFmtId="0" fontId="0" fillId="5" borderId="1" xfId="0" applyFill="1" applyBorder="1">
      <alignment vertical="center"/>
    </xf>
    <xf numFmtId="38" fontId="0" fillId="0" borderId="6" xfId="1" applyFont="1" applyBorder="1">
      <alignment vertical="center"/>
    </xf>
    <xf numFmtId="0" fontId="0" fillId="0" borderId="5" xfId="0" applyBorder="1">
      <alignment vertical="center"/>
    </xf>
    <xf numFmtId="38" fontId="0" fillId="6" borderId="1" xfId="0" applyNumberFormat="1" applyFill="1" applyBorder="1">
      <alignment vertical="center"/>
    </xf>
    <xf numFmtId="38" fontId="4" fillId="0" borderId="2" xfId="1" applyFont="1" applyBorder="1">
      <alignment vertical="center"/>
    </xf>
    <xf numFmtId="38" fontId="0" fillId="0" borderId="7" xfId="1" applyFont="1" applyFill="1" applyBorder="1">
      <alignment vertical="center"/>
    </xf>
    <xf numFmtId="0" fontId="0" fillId="7" borderId="1" xfId="0" applyFill="1" applyBorder="1">
      <alignment vertical="center"/>
    </xf>
    <xf numFmtId="0" fontId="0" fillId="8" borderId="1" xfId="0" applyFill="1" applyBorder="1">
      <alignment vertical="center"/>
    </xf>
    <xf numFmtId="38" fontId="4" fillId="0" borderId="2" xfId="1" applyFont="1" applyFill="1" applyBorder="1">
      <alignment vertical="center"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colors>
    <mruColors>
      <color rgb="FF00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AE1DC-77A9-4F5D-909F-13409174EAC7}">
  <dimension ref="A2:W28"/>
  <sheetViews>
    <sheetView tabSelected="1" zoomScale="85" zoomScaleNormal="85" workbookViewId="0"/>
  </sheetViews>
  <sheetFormatPr defaultRowHeight="18.75" x14ac:dyDescent="0.4"/>
  <cols>
    <col min="2" max="10" width="10.375" customWidth="1"/>
    <col min="14" max="14" width="9.875" bestFit="1" customWidth="1"/>
    <col min="23" max="23" width="10.875" bestFit="1" customWidth="1"/>
  </cols>
  <sheetData>
    <row r="2" spans="1:23" x14ac:dyDescent="0.4">
      <c r="B2" s="9" t="s">
        <v>0</v>
      </c>
      <c r="C2" s="9" t="s">
        <v>1</v>
      </c>
      <c r="D2" s="9" t="s">
        <v>2</v>
      </c>
      <c r="E2" s="9" t="s">
        <v>3</v>
      </c>
      <c r="F2" s="9" t="s">
        <v>4</v>
      </c>
      <c r="G2" s="9" t="s">
        <v>5</v>
      </c>
      <c r="H2" s="9" t="s">
        <v>6</v>
      </c>
      <c r="I2" s="9" t="s">
        <v>7</v>
      </c>
      <c r="J2" s="9" t="s">
        <v>8</v>
      </c>
      <c r="M2" s="2" t="s">
        <v>9</v>
      </c>
      <c r="N2" s="3">
        <v>1650000</v>
      </c>
    </row>
    <row r="3" spans="1:23" x14ac:dyDescent="0.4">
      <c r="B3" s="5">
        <v>300000</v>
      </c>
      <c r="C3" s="5">
        <v>300000</v>
      </c>
      <c r="D3" s="5">
        <v>300000</v>
      </c>
      <c r="E3" s="5">
        <v>300000</v>
      </c>
      <c r="F3" s="5">
        <v>300000</v>
      </c>
      <c r="G3" s="5">
        <v>300000</v>
      </c>
      <c r="H3" s="5">
        <v>300000</v>
      </c>
      <c r="I3" s="5">
        <v>300000</v>
      </c>
      <c r="J3" s="5">
        <v>300000</v>
      </c>
    </row>
    <row r="4" spans="1:23" x14ac:dyDescent="0.4">
      <c r="B4" s="6">
        <v>315000</v>
      </c>
      <c r="C4" s="6">
        <v>315000</v>
      </c>
      <c r="D4" s="6">
        <v>315000</v>
      </c>
      <c r="E4" s="6">
        <v>315000</v>
      </c>
      <c r="F4" s="6">
        <v>315000</v>
      </c>
      <c r="G4" s="6">
        <v>315000</v>
      </c>
      <c r="H4" s="6">
        <v>315000</v>
      </c>
      <c r="I4" s="6">
        <v>315000</v>
      </c>
      <c r="J4" s="6">
        <v>315000</v>
      </c>
      <c r="M4" s="2" t="s">
        <v>13</v>
      </c>
      <c r="N4" s="13">
        <f>SUM(B13:J13)</f>
        <v>6265000</v>
      </c>
    </row>
    <row r="5" spans="1:23" x14ac:dyDescent="0.4">
      <c r="B5" s="6">
        <v>200000</v>
      </c>
      <c r="C5" s="6">
        <v>200000</v>
      </c>
      <c r="D5" s="6">
        <v>200000</v>
      </c>
      <c r="E5" s="6">
        <v>200000</v>
      </c>
      <c r="F5" s="6">
        <v>200000</v>
      </c>
      <c r="G5" s="6">
        <v>200000</v>
      </c>
      <c r="H5" s="6">
        <v>200000</v>
      </c>
      <c r="I5" s="6">
        <v>200000</v>
      </c>
      <c r="J5" s="6">
        <v>200000</v>
      </c>
      <c r="M5" s="2" t="s">
        <v>14</v>
      </c>
      <c r="N5" s="13">
        <f>SUM(B13:J13) + SUM(B5:J5)</f>
        <v>8065000</v>
      </c>
    </row>
    <row r="6" spans="1:23" x14ac:dyDescent="0.4">
      <c r="B6" s="6">
        <v>100000</v>
      </c>
      <c r="C6" s="6">
        <v>100000</v>
      </c>
      <c r="D6" s="6">
        <v>100000</v>
      </c>
      <c r="E6" s="6">
        <v>100000</v>
      </c>
      <c r="F6" s="6">
        <v>100000</v>
      </c>
      <c r="G6" s="6">
        <v>100000</v>
      </c>
      <c r="H6" s="6">
        <v>100000</v>
      </c>
      <c r="I6" s="6">
        <v>100000</v>
      </c>
      <c r="J6" s="6">
        <v>100000</v>
      </c>
    </row>
    <row r="7" spans="1:23" x14ac:dyDescent="0.4">
      <c r="B7" s="6">
        <v>500000</v>
      </c>
      <c r="C7" s="6">
        <v>250000</v>
      </c>
      <c r="D7" s="6">
        <v>250000</v>
      </c>
      <c r="E7" s="6">
        <v>250000</v>
      </c>
      <c r="F7" s="6">
        <v>250000</v>
      </c>
      <c r="G7" s="6">
        <v>250000</v>
      </c>
      <c r="H7" s="6">
        <v>250000</v>
      </c>
      <c r="I7" s="6">
        <v>250000</v>
      </c>
      <c r="J7" s="6">
        <v>250000</v>
      </c>
    </row>
    <row r="8" spans="1:23" x14ac:dyDescent="0.4">
      <c r="B8" s="10">
        <v>100000</v>
      </c>
      <c r="C8" s="10">
        <v>300000</v>
      </c>
      <c r="D8" s="10">
        <v>100000</v>
      </c>
      <c r="E8" s="10">
        <v>100000</v>
      </c>
      <c r="F8" s="10">
        <v>100000</v>
      </c>
      <c r="G8" s="10">
        <v>100000</v>
      </c>
      <c r="H8" s="10">
        <v>100000</v>
      </c>
      <c r="I8" s="10">
        <v>100000</v>
      </c>
      <c r="J8" s="10">
        <v>100000</v>
      </c>
    </row>
    <row r="9" spans="1:23" x14ac:dyDescent="0.4">
      <c r="B9" s="11">
        <v>0</v>
      </c>
      <c r="C9" s="11">
        <v>0</v>
      </c>
      <c r="D9" s="11">
        <v>0</v>
      </c>
      <c r="E9" s="11">
        <v>0</v>
      </c>
      <c r="F9" s="11">
        <v>0</v>
      </c>
      <c r="G9" s="11">
        <v>0</v>
      </c>
      <c r="H9" s="11">
        <v>0</v>
      </c>
      <c r="I9" s="11">
        <v>0</v>
      </c>
      <c r="J9" s="11">
        <v>0</v>
      </c>
    </row>
    <row r="10" spans="1:23" x14ac:dyDescent="0.4">
      <c r="A10" t="s">
        <v>11</v>
      </c>
      <c r="B10" s="8">
        <f>SUM(B3:B9)</f>
        <v>1515000</v>
      </c>
      <c r="C10" s="8">
        <f>SUM(C3:C9)</f>
        <v>1465000</v>
      </c>
      <c r="D10" s="8">
        <f>SUM(D3:D9)</f>
        <v>1265000</v>
      </c>
      <c r="E10" s="8">
        <f>SUM(E3:E9)</f>
        <v>1265000</v>
      </c>
      <c r="F10" s="8">
        <f>SUM(F3:F9)</f>
        <v>1265000</v>
      </c>
      <c r="G10" s="8">
        <f>SUM(G3:G9)</f>
        <v>1265000</v>
      </c>
      <c r="H10" s="8">
        <f>SUM(H3:H9)</f>
        <v>1265000</v>
      </c>
      <c r="I10" s="8">
        <f>SUM(I3:I9)</f>
        <v>1265000</v>
      </c>
      <c r="J10" s="8">
        <f>SUM(J3:J9)</f>
        <v>1265000</v>
      </c>
    </row>
    <row r="11" spans="1:23" x14ac:dyDescent="0.4">
      <c r="A11" t="s">
        <v>12</v>
      </c>
      <c r="B11" s="7">
        <f>N2-B10</f>
        <v>135000</v>
      </c>
      <c r="C11" s="7">
        <f>N2-C10</f>
        <v>185000</v>
      </c>
      <c r="D11" s="7">
        <f>N2-D10</f>
        <v>385000</v>
      </c>
      <c r="E11" s="7">
        <f>N2-E10</f>
        <v>385000</v>
      </c>
      <c r="F11" s="7">
        <f>N2-F10</f>
        <v>385000</v>
      </c>
      <c r="G11" s="7">
        <f>N2-G10</f>
        <v>385000</v>
      </c>
      <c r="H11" s="7">
        <f>N2-H10</f>
        <v>385000</v>
      </c>
      <c r="I11" s="7">
        <f>N2-I10</f>
        <v>385000</v>
      </c>
      <c r="J11" s="7">
        <f>N2-J10</f>
        <v>385000</v>
      </c>
    </row>
    <row r="12" spans="1:23" x14ac:dyDescent="0.4">
      <c r="A12" t="s">
        <v>10</v>
      </c>
      <c r="B12" s="1">
        <v>0</v>
      </c>
      <c r="C12" s="1">
        <v>0</v>
      </c>
      <c r="D12" s="4">
        <v>1250000</v>
      </c>
      <c r="E12" s="1">
        <v>0</v>
      </c>
      <c r="F12" s="1">
        <v>0</v>
      </c>
      <c r="G12" s="4">
        <v>2000000</v>
      </c>
      <c r="H12" s="1">
        <v>0</v>
      </c>
      <c r="I12" s="1">
        <v>0</v>
      </c>
      <c r="J12" s="1">
        <v>0</v>
      </c>
    </row>
    <row r="13" spans="1:23" x14ac:dyDescent="0.4">
      <c r="B13" s="12">
        <f>SUM(B11:B12)</f>
        <v>135000</v>
      </c>
      <c r="C13" s="12">
        <f t="shared" ref="C13:J13" si="0">SUM(C11:C12)</f>
        <v>185000</v>
      </c>
      <c r="D13" s="12">
        <f t="shared" si="0"/>
        <v>1635000</v>
      </c>
      <c r="E13" s="12">
        <f t="shared" si="0"/>
        <v>385000</v>
      </c>
      <c r="F13" s="12">
        <f t="shared" si="0"/>
        <v>385000</v>
      </c>
      <c r="G13" s="12">
        <f t="shared" si="0"/>
        <v>2385000</v>
      </c>
      <c r="H13" s="12">
        <f t="shared" si="0"/>
        <v>385000</v>
      </c>
      <c r="I13" s="12">
        <f t="shared" si="0"/>
        <v>385000</v>
      </c>
      <c r="J13" s="12">
        <f t="shared" si="0"/>
        <v>385000</v>
      </c>
    </row>
    <row r="14" spans="1:23" x14ac:dyDescent="0.4">
      <c r="V14" s="16" t="s">
        <v>12</v>
      </c>
      <c r="W14" s="17">
        <f>SUM(B28:W28)</f>
        <v>11265000</v>
      </c>
    </row>
    <row r="16" spans="1:23" x14ac:dyDescent="0.4">
      <c r="B16" s="9" t="s">
        <v>15</v>
      </c>
      <c r="C16" s="9" t="s">
        <v>16</v>
      </c>
      <c r="D16" s="9" t="s">
        <v>17</v>
      </c>
      <c r="E16" s="9" t="s">
        <v>0</v>
      </c>
      <c r="F16" s="9" t="s">
        <v>1</v>
      </c>
      <c r="G16" s="9" t="s">
        <v>2</v>
      </c>
      <c r="H16" s="15" t="s">
        <v>3</v>
      </c>
      <c r="I16" s="9" t="s">
        <v>4</v>
      </c>
      <c r="J16" s="9" t="s">
        <v>5</v>
      </c>
      <c r="K16" s="9" t="s">
        <v>6</v>
      </c>
      <c r="L16" s="9" t="s">
        <v>7</v>
      </c>
      <c r="M16" s="9" t="s">
        <v>8</v>
      </c>
      <c r="N16" s="9" t="s">
        <v>15</v>
      </c>
      <c r="O16" s="9" t="s">
        <v>16</v>
      </c>
      <c r="P16" s="9" t="s">
        <v>17</v>
      </c>
      <c r="Q16" s="9" t="s">
        <v>0</v>
      </c>
      <c r="R16" s="9" t="s">
        <v>1</v>
      </c>
      <c r="S16" s="9" t="s">
        <v>2</v>
      </c>
      <c r="T16" s="15" t="s">
        <v>3</v>
      </c>
      <c r="U16" s="9" t="s">
        <v>4</v>
      </c>
      <c r="V16" s="9" t="s">
        <v>5</v>
      </c>
      <c r="W16" s="9" t="s">
        <v>6</v>
      </c>
    </row>
    <row r="17" spans="2:23" x14ac:dyDescent="0.4">
      <c r="B17" s="5">
        <v>300000</v>
      </c>
      <c r="C17" s="5">
        <v>300000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14">
        <v>0</v>
      </c>
      <c r="L17" s="14">
        <v>0</v>
      </c>
      <c r="M17" s="14">
        <v>0</v>
      </c>
      <c r="N17" s="14">
        <v>0</v>
      </c>
      <c r="O17" s="14">
        <v>0</v>
      </c>
      <c r="P17" s="14">
        <v>0</v>
      </c>
      <c r="Q17" s="14">
        <v>0</v>
      </c>
      <c r="R17" s="14">
        <v>0</v>
      </c>
      <c r="S17" s="14">
        <v>0</v>
      </c>
      <c r="T17" s="14">
        <v>0</v>
      </c>
      <c r="U17" s="14">
        <v>0</v>
      </c>
      <c r="V17" s="14">
        <v>0</v>
      </c>
      <c r="W17" s="14">
        <v>0</v>
      </c>
    </row>
    <row r="18" spans="2:23" x14ac:dyDescent="0.4">
      <c r="B18" s="6">
        <v>315000</v>
      </c>
      <c r="C18" s="6">
        <v>315000</v>
      </c>
      <c r="D18" s="6">
        <v>315000</v>
      </c>
      <c r="E18" s="6">
        <v>315000</v>
      </c>
      <c r="F18" s="6">
        <v>315000</v>
      </c>
      <c r="G18" s="6">
        <v>315000</v>
      </c>
      <c r="H18" s="6">
        <v>315000</v>
      </c>
      <c r="I18" s="6">
        <v>315000</v>
      </c>
      <c r="J18" s="6">
        <v>315000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6">
        <v>0</v>
      </c>
      <c r="W18" s="6">
        <v>0</v>
      </c>
    </row>
    <row r="19" spans="2:23" x14ac:dyDescent="0.4">
      <c r="B19" s="6">
        <v>200000</v>
      </c>
      <c r="C19" s="6">
        <v>200000</v>
      </c>
      <c r="D19" s="6">
        <v>200000</v>
      </c>
      <c r="E19" s="6">
        <v>200000</v>
      </c>
      <c r="F19" s="6">
        <v>200000</v>
      </c>
      <c r="G19" s="6">
        <v>200000</v>
      </c>
      <c r="H19" s="6">
        <v>200000</v>
      </c>
      <c r="I19" s="6">
        <v>200000</v>
      </c>
      <c r="J19" s="6">
        <v>200000</v>
      </c>
      <c r="K19" s="14">
        <v>0</v>
      </c>
      <c r="L19" s="14">
        <v>0</v>
      </c>
      <c r="M19" s="14">
        <v>0</v>
      </c>
      <c r="N19" s="14">
        <v>0</v>
      </c>
      <c r="O19" s="14">
        <v>0</v>
      </c>
      <c r="P19" s="14">
        <v>0</v>
      </c>
      <c r="Q19" s="14">
        <v>0</v>
      </c>
      <c r="R19" s="14">
        <v>0</v>
      </c>
      <c r="S19" s="14">
        <v>0</v>
      </c>
      <c r="T19" s="14">
        <v>0</v>
      </c>
      <c r="U19" s="14">
        <v>0</v>
      </c>
      <c r="V19" s="14">
        <v>0</v>
      </c>
      <c r="W19" s="14">
        <v>0</v>
      </c>
    </row>
    <row r="20" spans="2:23" x14ac:dyDescent="0.4">
      <c r="B20" s="6">
        <v>200000</v>
      </c>
      <c r="C20" s="6">
        <v>200000</v>
      </c>
      <c r="D20" s="6">
        <v>200000</v>
      </c>
      <c r="E20" s="6">
        <v>200000</v>
      </c>
      <c r="F20" s="6">
        <v>200000</v>
      </c>
      <c r="G20" s="6">
        <v>200000</v>
      </c>
      <c r="H20" s="6">
        <v>200000</v>
      </c>
      <c r="I20" s="6">
        <v>200000</v>
      </c>
      <c r="J20" s="6">
        <v>200000</v>
      </c>
      <c r="K20" s="6">
        <v>200000</v>
      </c>
      <c r="L20" s="6">
        <v>200000</v>
      </c>
      <c r="M20" s="6">
        <v>200000</v>
      </c>
      <c r="N20" s="6">
        <v>200000</v>
      </c>
      <c r="O20" s="6">
        <v>200000</v>
      </c>
      <c r="P20" s="6">
        <v>200000</v>
      </c>
      <c r="Q20" s="6">
        <v>200000</v>
      </c>
      <c r="R20" s="6">
        <v>200000</v>
      </c>
      <c r="S20" s="6">
        <v>200000</v>
      </c>
      <c r="T20" s="6">
        <v>200000</v>
      </c>
      <c r="U20" s="6">
        <v>200000</v>
      </c>
      <c r="V20" s="6">
        <v>200000</v>
      </c>
      <c r="W20" s="6">
        <v>200000</v>
      </c>
    </row>
    <row r="21" spans="2:23" x14ac:dyDescent="0.4">
      <c r="B21" s="14">
        <v>300000</v>
      </c>
      <c r="C21" s="14">
        <v>300000</v>
      </c>
      <c r="D21" s="14">
        <v>300000</v>
      </c>
      <c r="E21" s="14">
        <v>300000</v>
      </c>
      <c r="F21" s="14">
        <v>300000</v>
      </c>
      <c r="G21" s="14">
        <v>300000</v>
      </c>
      <c r="H21" s="14">
        <v>300000</v>
      </c>
      <c r="I21" s="14">
        <v>300000</v>
      </c>
      <c r="J21" s="14">
        <v>300000</v>
      </c>
      <c r="K21" s="14">
        <v>300000</v>
      </c>
      <c r="L21" s="14">
        <v>300000</v>
      </c>
      <c r="M21" s="14">
        <v>300000</v>
      </c>
      <c r="N21" s="14">
        <v>300000</v>
      </c>
      <c r="O21" s="14">
        <v>300000</v>
      </c>
      <c r="P21" s="14">
        <v>300000</v>
      </c>
      <c r="Q21" s="14">
        <v>300000</v>
      </c>
      <c r="R21" s="14">
        <v>300000</v>
      </c>
      <c r="S21" s="14">
        <v>300000</v>
      </c>
      <c r="T21" s="14">
        <v>300000</v>
      </c>
      <c r="U21" s="14">
        <v>300000</v>
      </c>
      <c r="V21" s="14">
        <v>300000</v>
      </c>
      <c r="W21" s="14">
        <v>300000</v>
      </c>
    </row>
    <row r="22" spans="2:23" x14ac:dyDescent="0.4">
      <c r="B22" s="14">
        <v>100000</v>
      </c>
      <c r="C22" s="14">
        <v>100000</v>
      </c>
      <c r="D22" s="14">
        <v>100000</v>
      </c>
      <c r="E22" s="14">
        <v>100000</v>
      </c>
      <c r="F22" s="14">
        <v>100000</v>
      </c>
      <c r="G22" s="14">
        <v>100000</v>
      </c>
      <c r="H22" s="14">
        <v>100000</v>
      </c>
      <c r="I22" s="14">
        <v>100000</v>
      </c>
      <c r="J22" s="14">
        <v>100000</v>
      </c>
      <c r="K22" s="14">
        <v>100000</v>
      </c>
      <c r="L22" s="14">
        <v>100000</v>
      </c>
      <c r="M22" s="14">
        <v>100000</v>
      </c>
      <c r="N22" s="14">
        <v>100000</v>
      </c>
      <c r="O22" s="14">
        <v>100000</v>
      </c>
      <c r="P22" s="14">
        <v>100000</v>
      </c>
      <c r="Q22" s="14">
        <v>100000</v>
      </c>
      <c r="R22" s="14">
        <v>100000</v>
      </c>
      <c r="S22" s="14">
        <v>100000</v>
      </c>
      <c r="T22" s="14">
        <v>100000</v>
      </c>
      <c r="U22" s="14">
        <v>100000</v>
      </c>
      <c r="V22" s="14">
        <v>100000</v>
      </c>
      <c r="W22" s="14">
        <v>100000</v>
      </c>
    </row>
    <row r="23" spans="2:23" x14ac:dyDescent="0.4">
      <c r="B23" s="14">
        <v>300000</v>
      </c>
      <c r="C23" s="14">
        <v>300000</v>
      </c>
      <c r="D23" s="14">
        <v>300000</v>
      </c>
      <c r="E23" s="14">
        <v>300000</v>
      </c>
      <c r="F23" s="14">
        <v>300000</v>
      </c>
      <c r="G23" s="14">
        <v>300000</v>
      </c>
      <c r="H23" s="14">
        <v>300000</v>
      </c>
      <c r="I23" s="14">
        <v>300000</v>
      </c>
      <c r="J23" s="14">
        <v>300000</v>
      </c>
      <c r="K23" s="14">
        <v>300000</v>
      </c>
      <c r="L23" s="14">
        <v>300000</v>
      </c>
      <c r="M23" s="14">
        <v>300000</v>
      </c>
      <c r="N23" s="14">
        <v>300000</v>
      </c>
      <c r="O23" s="14">
        <v>300000</v>
      </c>
      <c r="P23" s="14">
        <v>300000</v>
      </c>
      <c r="Q23" s="14">
        <v>300000</v>
      </c>
      <c r="R23" s="14">
        <v>300000</v>
      </c>
      <c r="S23" s="14">
        <v>300000</v>
      </c>
      <c r="T23" s="14">
        <v>300000</v>
      </c>
      <c r="U23" s="14">
        <v>300000</v>
      </c>
      <c r="V23" s="14">
        <v>300000</v>
      </c>
      <c r="W23" s="14">
        <v>300000</v>
      </c>
    </row>
    <row r="24" spans="2:23" x14ac:dyDescent="0.4">
      <c r="B24" s="11">
        <v>0</v>
      </c>
      <c r="C24" s="11">
        <v>0</v>
      </c>
      <c r="D24" s="11">
        <v>0</v>
      </c>
      <c r="E24" s="11">
        <v>0</v>
      </c>
      <c r="F24" s="11">
        <v>0</v>
      </c>
      <c r="G24" s="11">
        <v>0</v>
      </c>
      <c r="H24" s="11">
        <v>0</v>
      </c>
      <c r="I24" s="11">
        <v>0</v>
      </c>
      <c r="J24" s="11">
        <v>0</v>
      </c>
      <c r="K24" s="11">
        <v>0</v>
      </c>
      <c r="L24" s="11">
        <v>0</v>
      </c>
      <c r="M24" s="11">
        <v>0</v>
      </c>
      <c r="N24" s="11">
        <v>0</v>
      </c>
      <c r="O24" s="11">
        <v>0</v>
      </c>
      <c r="P24" s="11">
        <v>0</v>
      </c>
      <c r="Q24" s="11">
        <v>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11">
        <v>0</v>
      </c>
    </row>
    <row r="25" spans="2:23" x14ac:dyDescent="0.4">
      <c r="B25" s="8">
        <f>SUM(B17:B24)</f>
        <v>1715000</v>
      </c>
      <c r="C25" s="8">
        <f t="shared" ref="C25:K25" si="1">SUM(C17:C24)</f>
        <v>1715000</v>
      </c>
      <c r="D25" s="8">
        <f t="shared" si="1"/>
        <v>1415000</v>
      </c>
      <c r="E25" s="8">
        <f t="shared" si="1"/>
        <v>1415000</v>
      </c>
      <c r="F25" s="8">
        <f t="shared" si="1"/>
        <v>1415000</v>
      </c>
      <c r="G25" s="8">
        <f t="shared" si="1"/>
        <v>1415000</v>
      </c>
      <c r="H25" s="8">
        <f t="shared" si="1"/>
        <v>1415000</v>
      </c>
      <c r="I25" s="8">
        <f t="shared" si="1"/>
        <v>1415000</v>
      </c>
      <c r="J25" s="8">
        <f t="shared" si="1"/>
        <v>1415000</v>
      </c>
      <c r="K25" s="8">
        <f t="shared" si="1"/>
        <v>900000</v>
      </c>
      <c r="L25" s="8">
        <f t="shared" ref="L25" si="2">SUM(L17:L24)</f>
        <v>900000</v>
      </c>
      <c r="M25" s="8">
        <f t="shared" ref="M25" si="3">SUM(M17:M24)</f>
        <v>900000</v>
      </c>
      <c r="N25" s="8">
        <f t="shared" ref="N25" si="4">SUM(N17:N24)</f>
        <v>900000</v>
      </c>
      <c r="O25" s="8">
        <f t="shared" ref="O25" si="5">SUM(O17:O24)</f>
        <v>900000</v>
      </c>
      <c r="P25" s="8">
        <f t="shared" ref="P25" si="6">SUM(P17:P24)</f>
        <v>900000</v>
      </c>
      <c r="Q25" s="8">
        <f t="shared" ref="Q25" si="7">SUM(Q17:Q24)</f>
        <v>900000</v>
      </c>
      <c r="R25" s="8">
        <f t="shared" ref="R25" si="8">SUM(R17:R24)</f>
        <v>900000</v>
      </c>
      <c r="S25" s="8">
        <f t="shared" ref="S25" si="9">SUM(S17:S24)</f>
        <v>900000</v>
      </c>
      <c r="T25" s="8">
        <f t="shared" ref="T25" si="10">SUM(T17:T24)</f>
        <v>900000</v>
      </c>
      <c r="U25" s="8">
        <f t="shared" ref="U25" si="11">SUM(U17:U24)</f>
        <v>900000</v>
      </c>
      <c r="V25" s="8">
        <f t="shared" ref="V25" si="12">SUM(V17:V24)</f>
        <v>900000</v>
      </c>
      <c r="W25" s="8">
        <f t="shared" ref="W25" si="13">SUM(W17:W24)</f>
        <v>900000</v>
      </c>
    </row>
    <row r="26" spans="2:23" x14ac:dyDescent="0.4">
      <c r="B26" s="7">
        <f>N2-B25</f>
        <v>-65000</v>
      </c>
      <c r="C26" s="7">
        <f>N2-C25</f>
        <v>-65000</v>
      </c>
      <c r="D26" s="7">
        <f>N2-D25</f>
        <v>235000</v>
      </c>
      <c r="E26" s="7">
        <f>N2-E25</f>
        <v>235000</v>
      </c>
      <c r="F26" s="7">
        <f>N2-F25</f>
        <v>235000</v>
      </c>
      <c r="G26" s="7">
        <f>N2-G25</f>
        <v>235000</v>
      </c>
      <c r="H26" s="7">
        <f>N2-H25</f>
        <v>235000</v>
      </c>
      <c r="I26" s="7">
        <f>N2-I25</f>
        <v>235000</v>
      </c>
      <c r="J26" s="7">
        <f>N2-J25</f>
        <v>235000</v>
      </c>
      <c r="K26" s="7">
        <f>N2-K25</f>
        <v>750000</v>
      </c>
      <c r="L26" s="7">
        <f>N2-L25</f>
        <v>750000</v>
      </c>
      <c r="M26" s="7">
        <f>N2-M25</f>
        <v>750000</v>
      </c>
      <c r="N26" s="7">
        <f>N2-N25</f>
        <v>750000</v>
      </c>
      <c r="O26" s="7">
        <f>N2-O25</f>
        <v>750000</v>
      </c>
      <c r="P26" s="7">
        <f>N2-P25</f>
        <v>750000</v>
      </c>
      <c r="Q26" s="7">
        <f>N2-Q25</f>
        <v>750000</v>
      </c>
      <c r="R26" s="7">
        <f>N2-R25</f>
        <v>750000</v>
      </c>
      <c r="S26" s="7">
        <f>N2-S25</f>
        <v>750000</v>
      </c>
      <c r="T26" s="7">
        <f>N2-T25</f>
        <v>750000</v>
      </c>
      <c r="U26" s="7">
        <f>N2-U25</f>
        <v>750000</v>
      </c>
      <c r="V26" s="7">
        <f>N2-V25</f>
        <v>750000</v>
      </c>
      <c r="W26" s="7">
        <f>N2-W25</f>
        <v>750000</v>
      </c>
    </row>
    <row r="27" spans="2:23" x14ac:dyDescent="0.4"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</row>
    <row r="28" spans="2:23" x14ac:dyDescent="0.4">
      <c r="B28" s="12">
        <f>SUM(B26:B27)</f>
        <v>-65000</v>
      </c>
      <c r="C28" s="12">
        <f t="shared" ref="C28:K28" si="14">SUM(C26:C27)</f>
        <v>-65000</v>
      </c>
      <c r="D28" s="12">
        <f t="shared" si="14"/>
        <v>235000</v>
      </c>
      <c r="E28" s="12">
        <f t="shared" si="14"/>
        <v>235000</v>
      </c>
      <c r="F28" s="12">
        <f t="shared" si="14"/>
        <v>235000</v>
      </c>
      <c r="G28" s="12">
        <f t="shared" si="14"/>
        <v>235000</v>
      </c>
      <c r="H28" s="12">
        <f t="shared" si="14"/>
        <v>235000</v>
      </c>
      <c r="I28" s="12">
        <f t="shared" si="14"/>
        <v>235000</v>
      </c>
      <c r="J28" s="12">
        <f t="shared" si="14"/>
        <v>235000</v>
      </c>
      <c r="K28" s="12">
        <f t="shared" si="14"/>
        <v>750000</v>
      </c>
      <c r="L28" s="12">
        <f t="shared" ref="L28" si="15">SUM(L26:L27)</f>
        <v>750000</v>
      </c>
      <c r="M28" s="12">
        <f>SUM(M26:M27)</f>
        <v>750000</v>
      </c>
      <c r="N28" s="12">
        <f>SUM(N26:N27)</f>
        <v>750000</v>
      </c>
      <c r="O28" s="12">
        <f>SUM(O26:O27)</f>
        <v>750000</v>
      </c>
      <c r="P28" s="12">
        <f t="shared" ref="P28" si="16">SUM(P26:P27)</f>
        <v>750000</v>
      </c>
      <c r="Q28" s="12">
        <f>SUM(Q26:Q27)</f>
        <v>750000</v>
      </c>
      <c r="R28" s="12">
        <f t="shared" ref="R28" si="17">SUM(R26:R27)</f>
        <v>750000</v>
      </c>
      <c r="S28" s="12">
        <f t="shared" ref="S28" si="18">SUM(S26:S27)</f>
        <v>750000</v>
      </c>
      <c r="T28" s="12">
        <f t="shared" ref="T28" si="19">SUM(T26:T27)</f>
        <v>750000</v>
      </c>
      <c r="U28" s="12">
        <f t="shared" ref="U28" si="20">SUM(U26:U27)</f>
        <v>750000</v>
      </c>
      <c r="V28" s="12">
        <f t="shared" ref="V28" si="21">SUM(V26:V27)</f>
        <v>750000</v>
      </c>
      <c r="W28" s="12">
        <f t="shared" ref="W28" si="22">SUM(W26:W27)</f>
        <v>750000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2027-2028(APR)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タントシン ウー/DIR金融フロントシステム第一部</dc:creator>
  <cp:lastModifiedBy>タントシン ウー/DIR金融フロントシステム第一部</cp:lastModifiedBy>
  <dcterms:created xsi:type="dcterms:W3CDTF">2026-10-15T04:01:35Z</dcterms:created>
  <dcterms:modified xsi:type="dcterms:W3CDTF">2026-10-15T04:52:05Z</dcterms:modified>
</cp:coreProperties>
</file>